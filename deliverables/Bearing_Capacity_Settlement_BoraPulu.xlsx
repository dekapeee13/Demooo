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BH-01" sheetId="3" state="visible" r:id="rId3"/>
    <sheet xmlns:r="http://schemas.openxmlformats.org/officeDocument/2006/relationships" name="BH-02" sheetId="4" state="visible" r:id="rId4"/>
    <sheet xmlns:r="http://schemas.openxmlformats.org/officeDocument/2006/relationships" name="BH-03" sheetId="5" state="visible" r:id="rId5"/>
    <sheet xmlns:r="http://schemas.openxmlformats.org/officeDocument/2006/relationships" name="BH-04" sheetId="6" state="visible" r:id="rId6"/>
    <sheet xmlns:r="http://schemas.openxmlformats.org/officeDocument/2006/relationships" name="BH-05" sheetId="7" state="visible" r:id="rId7"/>
  </sheets>
  <definedNames>
    <definedName name="_xlnm.Print_Area" localSheetId="0">'Input'!$B$2:$AF$73</definedName>
    <definedName name="_xlnm.Print_Area" localSheetId="1">'Summary'!$B$2:$AF$73</definedName>
    <definedName name="_xlnm.Print_Area" localSheetId="2">'BH-01'!$B$2:$AF$361</definedName>
    <definedName name="_xlnm.Print_Area" localSheetId="3">'BH-02'!$B$2:$AF$361</definedName>
    <definedName name="_xlnm.Print_Area" localSheetId="4">'BH-03'!$B$2:$AF$361</definedName>
    <definedName name="_xlnm.Print_Area" localSheetId="5">'BH-04'!$B$2:$AF$361</definedName>
    <definedName name="_xlnm.Print_Area" localSheetId="6">'BH-05'!$B$2:$AF$361</definedName>
  </definedNames>
  <calcPr calcId="124519" fullCalcOnLoad="1"/>
</workbook>
</file>

<file path=xl/styles.xml><?xml version="1.0" encoding="utf-8"?>
<styleSheet xmlns="http://schemas.openxmlformats.org/spreadsheetml/2006/main">
  <numFmts count="10">
    <numFmt numFmtId="164" formatCode="dd-mm-yyyy"/>
    <numFmt numFmtId="165" formatCode="yyyy-mm-dd h:mm:ss"/>
    <numFmt numFmtId="166" formatCode="0.0"/>
    <numFmt numFmtId="167" formatCode="0.000"/>
    <numFmt numFmtId="168" formatCode="0.0E+00"/>
    <numFmt numFmtId="169" formatCode="0;-0;&quot;-&quot;"/>
    <numFmt numFmtId="170" formatCode="0.0000"/>
    <numFmt numFmtId="171" formatCode="0.000;-0;&quot;-&quot;"/>
    <numFmt numFmtId="172" formatCode="0.0;-0;&quot;-&quot;"/>
    <numFmt numFmtId="173" formatCode="0.00;-0;&quot;-&quot;"/>
  </numFmts>
  <fonts count="9">
    <font>
      <name val="Calibri"/>
      <family val="2"/>
      <color theme="1"/>
      <sz val="11"/>
      <scheme val="minor"/>
    </font>
    <font>
      <name val="Proxima Nova Lt"/>
      <b val="1"/>
      <sz val="10.5"/>
    </font>
    <font>
      <name val="Proxima Nova Lt"/>
      <i val="1"/>
      <sz val="9.5"/>
    </font>
    <font>
      <name val="Proxima Nova Lt"/>
      <sz val="10.5"/>
    </font>
    <font>
      <name val="Proxima Nova Lt"/>
      <i val="1"/>
      <sz val="10.5"/>
    </font>
    <font>
      <name val="Proxima Nova Lt"/>
      <b val="1"/>
      <color rgb="00002060"/>
      <sz val="10.5"/>
    </font>
    <font>
      <name val="Proxima Nova Lt"/>
      <sz val="9"/>
    </font>
    <font>
      <name val="Proxima Nova Lt"/>
      <b val="1"/>
      <sz val="9"/>
    </font>
    <font>
      <name val="Proxima Nova Lt"/>
      <b val="1"/>
      <color rgb="00002060"/>
      <sz val="9"/>
    </font>
  </fonts>
  <fills count="4">
    <fill>
      <patternFill/>
    </fill>
    <fill>
      <patternFill patternType="gray125"/>
    </fill>
    <fill>
      <patternFill patternType="solid">
        <fgColor rgb="00CCFFFF"/>
      </patternFill>
    </fill>
    <fill>
      <patternFill patternType="solid">
        <fgColor rgb="00FFFFCC"/>
      </patternFill>
    </fill>
  </fills>
  <borders count="17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 style="double"/>
    </border>
    <border>
      <left style="thin"/>
      <right style="thin"/>
      <top style="thin"/>
      <bottom style="double"/>
    </border>
    <border>
      <left style="medium"/>
      <right/>
      <top/>
      <bottom/>
    </border>
    <border>
      <left/>
      <right style="medium"/>
      <top/>
      <bottom/>
    </border>
    <border>
      <left style="medium"/>
      <right/>
      <top/>
      <bottom style="double"/>
    </border>
    <border>
      <left/>
      <right style="medium"/>
      <top/>
      <bottom style="double"/>
    </border>
    <border>
      <left style="medium"/>
      <right/>
      <top style="medium"/>
      <bottom/>
    </border>
    <border>
      <left style="medium"/>
      <right/>
      <top/>
      <bottom style="medium"/>
    </border>
    <border>
      <left/>
      <right/>
      <top style="medium"/>
      <bottom/>
    </border>
    <border>
      <left/>
      <right/>
      <top/>
      <bottom style="medium"/>
    </border>
    <border>
      <left style="thin"/>
      <right style="thin"/>
      <top style="medium"/>
      <bottom style="thin"/>
    </border>
    <border>
      <left/>
      <right style="medium"/>
      <top style="medium"/>
      <bottom/>
    </border>
    <border>
      <left/>
      <right style="medium"/>
      <top/>
      <bottom style="medium"/>
    </border>
    <border>
      <left style="thin"/>
      <right style="thin"/>
      <top style="hair"/>
      <bottom style="hair"/>
    </border>
    <border>
      <left style="thin"/>
      <right style="thin"/>
      <top style="hair"/>
      <bottom style="medium"/>
    </border>
  </borders>
  <cellStyleXfs count="1">
    <xf numFmtId="0" fontId="0" fillId="0" borderId="0"/>
  </cellStyleXfs>
  <cellXfs count="83">
    <xf numFmtId="0" fontId="0" fillId="0" borderId="0" pivotButton="0" quotePrefix="0" xfId="0"/>
    <xf numFmtId="0" fontId="0" fillId="0" borderId="8" pivotButton="0" quotePrefix="0" xfId="0"/>
    <xf numFmtId="0" fontId="1" fillId="0" borderId="10" applyAlignment="1" pivotButton="0" quotePrefix="0" xfId="0">
      <alignment horizontal="right" vertical="center"/>
    </xf>
    <xf numFmtId="0" fontId="0" fillId="0" borderId="10" pivotButton="0" quotePrefix="0" xfId="0"/>
    <xf numFmtId="0" fontId="1" fillId="0" borderId="10" applyAlignment="1" pivotButton="0" quotePrefix="0" xfId="0">
      <alignment horizontal="left" vertical="center"/>
    </xf>
    <xf numFmtId="0" fontId="1" fillId="0" borderId="12" applyAlignment="1" pivotButton="0" quotePrefix="0" xfId="0">
      <alignment horizontal="center" vertical="center" wrapText="1"/>
    </xf>
    <xf numFmtId="0" fontId="0" fillId="0" borderId="12" pivotButton="0" quotePrefix="0" xfId="0"/>
    <xf numFmtId="164" fontId="1" fillId="0" borderId="12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4" pivotButton="0" quotePrefix="0" xfId="0"/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1" fillId="0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1" fillId="0" borderId="2" applyAlignment="1" pivotButton="0" quotePrefix="0" xfId="0">
      <alignment horizontal="right" vertical="center"/>
    </xf>
    <xf numFmtId="0" fontId="0" fillId="0" borderId="2" pivotButton="0" quotePrefix="0" xfId="0"/>
    <xf numFmtId="0" fontId="1" fillId="0" borderId="2" applyAlignment="1" pivotButton="0" quotePrefix="0" xfId="0">
      <alignment horizontal="left" vertical="center"/>
    </xf>
    <xf numFmtId="0" fontId="1" fillId="0" borderId="3" applyAlignment="1" pivotButton="0" quotePrefix="0" xfId="0">
      <alignment horizontal="center" vertical="center" wrapText="1"/>
    </xf>
    <xf numFmtId="0" fontId="0" fillId="0" borderId="3" pivotButton="0" quotePrefix="0" xfId="0"/>
    <xf numFmtId="164" fontId="1" fillId="0" borderId="3" applyAlignment="1" pivotButton="0" quotePrefix="0" xfId="0">
      <alignment horizontal="center" vertical="center" wrapText="1"/>
    </xf>
    <xf numFmtId="0" fontId="0" fillId="0" borderId="7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2" fontId="3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166" fontId="5" fillId="0" borderId="1" applyAlignment="1" pivotButton="0" quotePrefix="0" xfId="0">
      <alignment horizontal="center" vertical="center" wrapText="1"/>
    </xf>
    <xf numFmtId="167" fontId="3" fillId="2" borderId="1" applyAlignment="1" pivotButton="0" quotePrefix="0" xfId="0">
      <alignment horizontal="center" vertical="center" wrapText="1"/>
    </xf>
    <xf numFmtId="1" fontId="3" fillId="2" borderId="1" applyAlignment="1" pivotButton="0" quotePrefix="0" xfId="0">
      <alignment horizontal="center" vertical="center" wrapText="1"/>
    </xf>
    <xf numFmtId="0" fontId="1" fillId="3" borderId="12" applyAlignment="1" pivotButton="0" quotePrefix="0" xfId="0">
      <alignment horizontal="center" vertical="center" wrapText="1"/>
    </xf>
    <xf numFmtId="0" fontId="0" fillId="3" borderId="12" pivotButton="0" quotePrefix="0" xfId="0"/>
    <xf numFmtId="0" fontId="1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1" fontId="3" fillId="2" borderId="15" applyAlignment="1" pivotButton="0" quotePrefix="0" xfId="0">
      <alignment horizontal="center" vertical="center" wrapText="1"/>
    </xf>
    <xf numFmtId="0" fontId="0" fillId="2" borderId="15" pivotButton="0" quotePrefix="0" xfId="0"/>
    <xf numFmtId="168" fontId="3" fillId="2" borderId="15" applyAlignment="1" pivotButton="0" quotePrefix="0" xfId="0">
      <alignment horizontal="center" vertical="center" wrapText="1"/>
    </xf>
    <xf numFmtId="167" fontId="3" fillId="0" borderId="15" applyAlignment="1" pivotButton="0" quotePrefix="0" xfId="0">
      <alignment horizontal="center" vertical="center" wrapText="1"/>
    </xf>
    <xf numFmtId="0" fontId="0" fillId="0" borderId="15" pivotButton="0" quotePrefix="0" xfId="0"/>
    <xf numFmtId="1" fontId="3" fillId="2" borderId="16" applyAlignment="1" pivotButton="0" quotePrefix="0" xfId="0">
      <alignment horizontal="center" vertical="center" wrapText="1"/>
    </xf>
    <xf numFmtId="0" fontId="0" fillId="2" borderId="16" pivotButton="0" quotePrefix="0" xfId="0"/>
    <xf numFmtId="168" fontId="3" fillId="2" borderId="16" applyAlignment="1" pivotButton="0" quotePrefix="0" xfId="0">
      <alignment horizontal="center" vertical="center" wrapText="1"/>
    </xf>
    <xf numFmtId="167" fontId="3" fillId="0" borderId="16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0" borderId="9" pivotButton="0" quotePrefix="0" xfId="0"/>
    <xf numFmtId="0" fontId="0" fillId="0" borderId="11" pivotButton="0" quotePrefix="0" xfId="0"/>
    <xf numFmtId="0" fontId="1" fillId="0" borderId="11" applyAlignment="1" pivotButton="0" quotePrefix="0" xfId="0">
      <alignment horizontal="center" vertical="center" wrapText="1"/>
    </xf>
    <xf numFmtId="0" fontId="0" fillId="0" borderId="14" pivotButton="0" quotePrefix="0" xfId="0"/>
    <xf numFmtId="49" fontId="3" fillId="0" borderId="15" applyAlignment="1" pivotButton="0" quotePrefix="0" xfId="0">
      <alignment horizontal="left" vertical="center"/>
    </xf>
    <xf numFmtId="49" fontId="3" fillId="0" borderId="15" applyAlignment="1" pivotButton="0" quotePrefix="0" xfId="0">
      <alignment horizontal="center" vertical="center" wrapText="1"/>
    </xf>
    <xf numFmtId="166" fontId="3" fillId="0" borderId="15" applyAlignment="1" pivotButton="0" quotePrefix="0" xfId="0">
      <alignment horizontal="center" vertical="center" wrapText="1"/>
    </xf>
    <xf numFmtId="3" fontId="3" fillId="0" borderId="15" applyAlignment="1" pivotButton="0" quotePrefix="0" xfId="0">
      <alignment horizontal="center" vertical="center" wrapText="1"/>
    </xf>
    <xf numFmtId="2" fontId="3" fillId="0" borderId="15" applyAlignment="1" pivotButton="0" quotePrefix="0" xfId="0">
      <alignment horizontal="center" vertical="center" wrapText="1"/>
    </xf>
    <xf numFmtId="49" fontId="8" fillId="0" borderId="15" applyAlignment="1" pivotButton="0" quotePrefix="0" xfId="0">
      <alignment horizontal="center" vertical="center" wrapText="1"/>
    </xf>
    <xf numFmtId="1" fontId="3" fillId="0" borderId="15" applyAlignment="1" pivotButton="0" quotePrefix="0" xfId="0">
      <alignment horizontal="center" vertical="center" wrapText="1"/>
    </xf>
    <xf numFmtId="49" fontId="3" fillId="0" borderId="16" applyAlignment="1" pivotButton="0" quotePrefix="0" xfId="0">
      <alignment horizontal="left" vertical="center"/>
    </xf>
    <xf numFmtId="49" fontId="3" fillId="0" borderId="16" applyAlignment="1" pivotButton="0" quotePrefix="0" xfId="0">
      <alignment horizontal="center" vertical="center" wrapText="1"/>
    </xf>
    <xf numFmtId="166" fontId="3" fillId="0" borderId="16" applyAlignment="1" pivotButton="0" quotePrefix="0" xfId="0">
      <alignment horizontal="center" vertical="center" wrapText="1"/>
    </xf>
    <xf numFmtId="2" fontId="3" fillId="0" borderId="1" applyAlignment="1" pivotButton="0" quotePrefix="0" xfId="0">
      <alignment horizontal="center" vertical="center" wrapText="1"/>
    </xf>
    <xf numFmtId="166" fontId="3" fillId="0" borderId="1" applyAlignment="1" pivotButton="0" quotePrefix="0" xfId="0">
      <alignment horizontal="center" vertical="center" wrapText="1"/>
    </xf>
    <xf numFmtId="166" fontId="3" fillId="2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7" fillId="3" borderId="0" pivotButton="0" quotePrefix="0" xfId="0"/>
    <xf numFmtId="169" fontId="3" fillId="0" borderId="15" applyAlignment="1" pivotButton="0" quotePrefix="0" xfId="0">
      <alignment horizontal="center" vertical="center" wrapText="1"/>
    </xf>
    <xf numFmtId="0" fontId="6" fillId="2" borderId="0" pivotButton="0" quotePrefix="0" xfId="0"/>
    <xf numFmtId="0" fontId="6" fillId="0" borderId="0" pivotButton="0" quotePrefix="0" xfId="0"/>
    <xf numFmtId="1" fontId="3" fillId="0" borderId="16" applyAlignment="1" pivotButton="0" quotePrefix="0" xfId="0">
      <alignment horizontal="center" vertical="center" wrapText="1"/>
    </xf>
    <xf numFmtId="2" fontId="3" fillId="0" borderId="16" applyAlignment="1" pivotButton="0" quotePrefix="0" xfId="0">
      <alignment horizontal="center" vertical="center" wrapText="1"/>
    </xf>
    <xf numFmtId="169" fontId="3" fillId="0" borderId="16" applyAlignment="1" pivotButton="0" quotePrefix="0" xfId="0">
      <alignment horizontal="center" vertical="center" wrapText="1"/>
    </xf>
    <xf numFmtId="167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3" fontId="3" fillId="0" borderId="16" applyAlignment="1" pivotButton="0" quotePrefix="0" xfId="0">
      <alignment horizontal="center" vertical="center" wrapText="1"/>
    </xf>
    <xf numFmtId="170" fontId="3" fillId="0" borderId="1" applyAlignment="1" pivotButton="0" quotePrefix="0" xfId="0">
      <alignment horizontal="center" vertical="center" wrapText="1"/>
    </xf>
    <xf numFmtId="171" fontId="3" fillId="0" borderId="15" applyAlignment="1" pivotButton="0" quotePrefix="0" xfId="0">
      <alignment horizontal="center" vertical="center" wrapText="1"/>
    </xf>
    <xf numFmtId="172" fontId="3" fillId="0" borderId="15" applyAlignment="1" pivotButton="0" quotePrefix="0" xfId="0">
      <alignment horizontal="center" vertical="center" wrapText="1"/>
    </xf>
    <xf numFmtId="173" fontId="3" fillId="0" borderId="15" applyAlignment="1" pivotButton="0" quotePrefix="0" xfId="0">
      <alignment horizontal="center" vertical="center" wrapText="1"/>
    </xf>
    <xf numFmtId="171" fontId="3" fillId="0" borderId="16" applyAlignment="1" pivotButton="0" quotePrefix="0" xfId="0">
      <alignment horizontal="center" vertical="center" wrapText="1"/>
    </xf>
    <xf numFmtId="172" fontId="3" fillId="0" borderId="16" applyAlignment="1" pivotButton="0" quotePrefix="0" xfId="0">
      <alignment horizontal="center" vertical="center" wrapText="1"/>
    </xf>
    <xf numFmtId="173" fontId="3" fillId="0" borderId="16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3"/>
  <chart>
    <plotArea>
      <scatterChart>
        <ser>
          <idx val="0"/>
          <order val="0"/>
          <tx>
            <v>Immediate Si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'BH-01'!$BG$28:$BG$68</f>
            </numRef>
          </xVal>
          <yVal>
            <numRef>
              <f>'BH-01'!$AL$28:$AL$68</f>
            </numRef>
          </yVal>
        </ser>
        <ser>
          <idx val="1"/>
          <order val="1"/>
          <tx>
            <v>Consolidation Sc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'BH-01'!$BK$28:$BK$68</f>
            </numRef>
          </xVal>
          <yVal>
            <numRef>
              <f>'BH-01'!$AL$28:$AL$68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Settlement per sub-layer (mm)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axMin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Depth (m)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plotArea>
      <scatterChart>
        <ser>
          <idx val="0"/>
          <order val="0"/>
          <tx>
            <v>Immediate Si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'BH-02'!$BG$28:$BG$68</f>
            </numRef>
          </xVal>
          <yVal>
            <numRef>
              <f>'BH-02'!$AL$28:$AL$68</f>
            </numRef>
          </yVal>
        </ser>
        <ser>
          <idx val="1"/>
          <order val="1"/>
          <tx>
            <v>Consolidation Sc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'BH-02'!$BK$28:$BK$68</f>
            </numRef>
          </xVal>
          <yVal>
            <numRef>
              <f>'BH-02'!$AL$28:$AL$68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Settlement per sub-layer (mm)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axMin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Depth (m)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="http://schemas.openxmlformats.org/drawingml/2006/chart">
  <style val="13"/>
  <chart>
    <plotArea>
      <scatterChart>
        <ser>
          <idx val="0"/>
          <order val="0"/>
          <tx>
            <v>Immediate Si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'BH-03'!$BG$28:$BG$68</f>
            </numRef>
          </xVal>
          <yVal>
            <numRef>
              <f>'BH-03'!$AL$28:$AL$68</f>
            </numRef>
          </yVal>
        </ser>
        <ser>
          <idx val="1"/>
          <order val="1"/>
          <tx>
            <v>Consolidation Sc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'BH-03'!$BK$28:$BK$68</f>
            </numRef>
          </xVal>
          <yVal>
            <numRef>
              <f>'BH-03'!$AL$28:$AL$68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Settlement per sub-layer (mm)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axMin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Depth (m)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plotArea>
      <scatterChart>
        <ser>
          <idx val="0"/>
          <order val="0"/>
          <tx>
            <v>Immediate Si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'BH-04'!$BG$28:$BG$68</f>
            </numRef>
          </xVal>
          <yVal>
            <numRef>
              <f>'BH-04'!$AL$28:$AL$68</f>
            </numRef>
          </yVal>
        </ser>
        <ser>
          <idx val="1"/>
          <order val="1"/>
          <tx>
            <v>Consolidation Sc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'BH-04'!$BK$28:$BK$68</f>
            </numRef>
          </xVal>
          <yVal>
            <numRef>
              <f>'BH-04'!$AL$28:$AL$68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Settlement per sub-layer (mm)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axMin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Depth (m)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plotArea>
      <scatterChart>
        <ser>
          <idx val="0"/>
          <order val="0"/>
          <tx>
            <v>Immediate Si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'BH-05'!$BG$28:$BG$68</f>
            </numRef>
          </xVal>
          <yVal>
            <numRef>
              <f>'BH-05'!$AL$28:$AL$68</f>
            </numRef>
          </yVal>
        </ser>
        <ser>
          <idx val="1"/>
          <order val="1"/>
          <tx>
            <v>Consolidation Sc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'BH-05'!$BK$28:$BK$68</f>
            </numRef>
          </xVal>
          <yVal>
            <numRef>
              <f>'BH-05'!$AL$28:$AL$68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Settlement per sub-layer (mm)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axMin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Depth (m)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311</row>
      <rowOff>0</rowOff>
    </from>
    <ext cx="612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311</row>
      <rowOff>0</rowOff>
    </from>
    <ext cx="612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3</col>
      <colOff>0</colOff>
      <row>311</row>
      <rowOff>0</rowOff>
    </from>
    <ext cx="612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3</col>
      <colOff>0</colOff>
      <row>311</row>
      <rowOff>0</rowOff>
    </from>
    <ext cx="612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3</col>
      <colOff>0</colOff>
      <row>311</row>
      <rowOff>0</rowOff>
    </from>
    <ext cx="612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F73"/>
  <sheetViews>
    <sheetView showGridLines="0" zoomScale="85" workbookViewId="0">
      <selection activeCell="A1" sqref="A1"/>
    </sheetView>
  </sheetViews>
  <sheetFormatPr baseColWidth="8" defaultRowHeight="13.9"/>
  <cols>
    <col width="3.43" customWidth="1" min="1" max="1"/>
    <col width="4" customWidth="1" min="2" max="2"/>
    <col width="3.57" customWidth="1" min="3" max="3"/>
    <col width="3.57" customWidth="1" min="4" max="4"/>
    <col width="3.57" customWidth="1" min="5" max="5"/>
    <col width="3.57" customWidth="1" min="6" max="6"/>
    <col width="3.57" customWidth="1" min="7" max="7"/>
    <col width="3.57" customWidth="1" min="8" max="8"/>
    <col width="3.57" customWidth="1" min="9" max="9"/>
    <col width="3.86" customWidth="1" min="10" max="10"/>
    <col width="4" customWidth="1" min="11" max="11"/>
    <col width="4.57" customWidth="1" min="12" max="12"/>
    <col width="4.57" customWidth="1" min="13" max="13"/>
    <col width="4.57" customWidth="1" min="14" max="14"/>
    <col width="4.57" customWidth="1" min="15" max="15"/>
    <col width="4.57" customWidth="1" min="16" max="16"/>
    <col width="4.57" customWidth="1" min="17" max="17"/>
    <col width="4.57" customWidth="1" min="18" max="18"/>
    <col width="4.57" customWidth="1" min="19" max="19"/>
    <col width="4.57" customWidth="1" min="20" max="20"/>
    <col width="4.57" customWidth="1" min="21" max="21"/>
    <col width="4.57" customWidth="1" min="22" max="22"/>
    <col width="4.57" customWidth="1" min="23" max="23"/>
    <col width="4.57" customWidth="1" min="24" max="24"/>
    <col width="4.57" customWidth="1" min="25" max="25"/>
    <col width="4.57" customWidth="1" min="26" max="26"/>
    <col width="4.57" customWidth="1" min="27" max="27"/>
    <col width="4.57" customWidth="1" min="28" max="28"/>
    <col width="4.57" customWidth="1" min="29" max="29"/>
    <col width="4.57" customWidth="1" min="30" max="30"/>
    <col width="4.57" customWidth="1" min="31" max="31"/>
    <col width="3.43" customWidth="1" min="32" max="32"/>
  </cols>
  <sheetData>
    <row r="2">
      <c r="B2" s="1" t="n"/>
      <c r="C2" s="2" t="inlineStr">
        <is>
          <t>PROJECT :</t>
        </is>
      </c>
      <c r="D2" s="3" t="n"/>
      <c r="E2" s="3" t="n"/>
      <c r="F2" s="3" t="n"/>
      <c r="G2" s="3" t="n"/>
      <c r="H2" s="4" t="inlineStr">
        <is>
          <t>GEOTHERMAL WELLPAD PSPE BORA PULU - SIGI, CENTRAL SULAWESI</t>
        </is>
      </c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5" t="inlineStr">
        <is>
          <t>Prepared by :</t>
        </is>
      </c>
      <c r="Y2" s="6" t="n"/>
      <c r="Z2" s="6" t="n"/>
      <c r="AA2" s="6" t="n"/>
      <c r="AB2" s="7" t="inlineStr">
        <is>
          <t>Date</t>
        </is>
      </c>
      <c r="AC2" s="6" t="n"/>
      <c r="AD2" s="6" t="n"/>
      <c r="AE2" s="6" t="n"/>
      <c r="AF2" s="8" t="n"/>
    </row>
    <row r="3">
      <c r="B3" s="9" t="n"/>
      <c r="C3" s="10" t="inlineStr">
        <is>
          <t>CLIENT :</t>
        </is>
      </c>
      <c r="H3" s="11" t="inlineStr">
        <is>
          <t>PT EDC PANAS BUMI INDONESIA</t>
        </is>
      </c>
      <c r="X3" s="12" t="inlineStr">
        <is>
          <t>DF</t>
        </is>
      </c>
      <c r="Y3" s="13" t="n"/>
      <c r="Z3" s="13" t="n"/>
      <c r="AA3" s="13" t="n"/>
      <c r="AB3" s="14" t="n">
        <v>46301</v>
      </c>
      <c r="AC3" s="13" t="n"/>
      <c r="AD3" s="13" t="n"/>
      <c r="AE3" s="13" t="n"/>
      <c r="AF3" s="15" t="n"/>
    </row>
    <row r="4">
      <c r="B4" s="9" t="n"/>
      <c r="C4" s="10" t="inlineStr">
        <is>
          <t>LOCATION :</t>
        </is>
      </c>
      <c r="H4" s="11" t="inlineStr">
        <is>
          <t>All boreholes (BH-01 to BH-05)</t>
        </is>
      </c>
      <c r="X4" s="12" t="inlineStr">
        <is>
          <t>Verified by :</t>
        </is>
      </c>
      <c r="Y4" s="13" t="n"/>
      <c r="Z4" s="13" t="n"/>
      <c r="AA4" s="13" t="n"/>
      <c r="AB4" s="14" t="inlineStr">
        <is>
          <t>Date</t>
        </is>
      </c>
      <c r="AC4" s="13" t="n"/>
      <c r="AD4" s="13" t="n"/>
      <c r="AE4" s="13" t="n"/>
      <c r="AF4" s="15" t="n"/>
    </row>
    <row r="5">
      <c r="B5" s="16" t="n"/>
      <c r="C5" s="17" t="inlineStr">
        <is>
          <t>SHEET :</t>
        </is>
      </c>
      <c r="D5" s="18" t="n"/>
      <c r="E5" s="18" t="n"/>
      <c r="F5" s="18" t="n"/>
      <c r="G5" s="18" t="n"/>
      <c r="H5" s="19" t="inlineStr">
        <is>
          <t>DESIGN INPUT &amp; CORRELATIONS</t>
        </is>
      </c>
      <c r="I5" s="18" t="n"/>
      <c r="J5" s="18" t="n"/>
      <c r="K5" s="18" t="n"/>
      <c r="L5" s="18" t="n"/>
      <c r="M5" s="18" t="n"/>
      <c r="N5" s="18" t="n"/>
      <c r="O5" s="18" t="n"/>
      <c r="P5" s="18" t="n"/>
      <c r="Q5" s="18" t="n"/>
      <c r="R5" s="18" t="n"/>
      <c r="S5" s="18" t="n"/>
      <c r="T5" s="18" t="n"/>
      <c r="U5" s="18" t="n"/>
      <c r="V5" s="18" t="n"/>
      <c r="W5" s="18" t="n"/>
      <c r="X5" s="20" t="inlineStr">
        <is>
          <t>BC</t>
        </is>
      </c>
      <c r="Y5" s="21" t="n"/>
      <c r="Z5" s="21" t="n"/>
      <c r="AA5" s="21" t="n"/>
      <c r="AB5" s="22" t="n">
        <v>46301</v>
      </c>
      <c r="AC5" s="21" t="n"/>
      <c r="AD5" s="21" t="n"/>
      <c r="AE5" s="21" t="n"/>
      <c r="AF5" s="23" t="n"/>
    </row>
    <row r="6">
      <c r="B6" s="9" t="n"/>
      <c r="AF6" s="15" t="n"/>
    </row>
    <row r="7">
      <c r="B7" s="9" t="n"/>
      <c r="C7" s="11" t="inlineStr">
        <is>
          <t>1. DESIGN INPUT</t>
        </is>
      </c>
      <c r="AF7" s="15" t="n"/>
    </row>
    <row r="8">
      <c r="B8" s="9" t="n"/>
      <c r="C8" s="24" t="inlineStr">
        <is>
          <t>Input cells are shaded blue. All borehole sheets and the summary are calculated from this sheet.</t>
        </is>
      </c>
      <c r="AF8" s="15" t="n"/>
    </row>
    <row r="9">
      <c r="B9" s="9" t="n"/>
      <c r="AF9" s="15" t="n"/>
    </row>
    <row r="10">
      <c r="B10" s="9" t="n"/>
      <c r="C10" s="11" t="inlineStr">
        <is>
          <t>1.1. Design load</t>
        </is>
      </c>
      <c r="AF10" s="15" t="n"/>
    </row>
    <row r="11">
      <c r="B11" s="9" t="n"/>
      <c r="C11" s="25" t="inlineStr">
        <is>
          <t>Height of embankment fill</t>
        </is>
      </c>
      <c r="O11" s="26" t="inlineStr">
        <is>
          <t>design brief</t>
        </is>
      </c>
      <c r="X11" s="27" t="inlineStr">
        <is>
          <t>Hf =</t>
        </is>
      </c>
      <c r="Y11" s="13" t="n"/>
      <c r="Z11" s="13" t="n"/>
      <c r="AA11" s="28" t="n">
        <v>2</v>
      </c>
      <c r="AB11" s="29" t="n"/>
      <c r="AC11" s="29" t="n"/>
      <c r="AD11" s="25" t="inlineStr">
        <is>
          <t>m</t>
        </is>
      </c>
      <c r="AF11" s="15" t="n"/>
    </row>
    <row r="12">
      <c r="B12" s="9" t="n"/>
      <c r="C12" s="25" t="inlineStr">
        <is>
          <t>Unit weight of compacted fill</t>
        </is>
      </c>
      <c r="O12" s="26" t="inlineStr">
        <is>
          <t>assumed</t>
        </is>
      </c>
      <c r="X12" s="27" t="inlineStr">
        <is>
          <t>γf =</t>
        </is>
      </c>
      <c r="Y12" s="13" t="n"/>
      <c r="Z12" s="13" t="n"/>
      <c r="AA12" s="28" t="n">
        <v>18</v>
      </c>
      <c r="AB12" s="29" t="n"/>
      <c r="AC12" s="29" t="n"/>
      <c r="AD12" s="25" t="inlineStr">
        <is>
          <t>kN/m³</t>
        </is>
      </c>
      <c r="AF12" s="15" t="n"/>
    </row>
    <row r="13">
      <c r="B13" s="9" t="n"/>
      <c r="C13" s="25" t="inlineStr">
        <is>
          <t>Uniform surcharge on platform</t>
        </is>
      </c>
      <c r="O13" s="26" t="inlineStr">
        <is>
          <t>design brief</t>
        </is>
      </c>
      <c r="X13" s="27" t="inlineStr">
        <is>
          <t>qs =</t>
        </is>
      </c>
      <c r="Y13" s="13" t="n"/>
      <c r="Z13" s="13" t="n"/>
      <c r="AA13" s="28" t="n">
        <v>100</v>
      </c>
      <c r="AB13" s="29" t="n"/>
      <c r="AC13" s="29" t="n"/>
      <c r="AD13" s="25" t="inlineStr">
        <is>
          <t>kPa</t>
        </is>
      </c>
      <c r="AF13" s="15" t="n"/>
    </row>
    <row r="14">
      <c r="B14" s="9" t="n"/>
      <c r="C14" s="25" t="inlineStr">
        <is>
          <t>Total pressure on subgrade</t>
        </is>
      </c>
      <c r="O14" s="26" t="inlineStr">
        <is>
          <t>q = Hf·γf + qs</t>
        </is>
      </c>
      <c r="X14" s="27" t="inlineStr">
        <is>
          <t>q =</t>
        </is>
      </c>
      <c r="Y14" s="13" t="n"/>
      <c r="Z14" s="13" t="n"/>
      <c r="AA14" s="30">
        <f>$AA$11*$AA$12+$AA$13</f>
        <v/>
      </c>
      <c r="AB14" s="13" t="n"/>
      <c r="AC14" s="13" t="n"/>
      <c r="AD14" s="25" t="inlineStr">
        <is>
          <t>kPa</t>
        </is>
      </c>
      <c r="AF14" s="15" t="n"/>
    </row>
    <row r="15">
      <c r="B15" s="9" t="n"/>
      <c r="C15" s="25" t="inlineStr">
        <is>
          <t>Width of loaded area (assumed)</t>
        </is>
      </c>
      <c r="O15" s="26" t="inlineStr">
        <is>
          <t>to be confirmed</t>
        </is>
      </c>
      <c r="X15" s="27" t="inlineStr">
        <is>
          <t>B =</t>
        </is>
      </c>
      <c r="Y15" s="13" t="n"/>
      <c r="Z15" s="13" t="n"/>
      <c r="AA15" s="28" t="n">
        <v>40</v>
      </c>
      <c r="AB15" s="29" t="n"/>
      <c r="AC15" s="29" t="n"/>
      <c r="AD15" s="25" t="inlineStr">
        <is>
          <t>m</t>
        </is>
      </c>
      <c r="AF15" s="15" t="n"/>
    </row>
    <row r="16">
      <c r="B16" s="9" t="n"/>
      <c r="C16" s="25" t="inlineStr">
        <is>
          <t>Length of loaded area (assumed, L ≥ B)</t>
        </is>
      </c>
      <c r="O16" s="26" t="inlineStr">
        <is>
          <t>to be confirmed</t>
        </is>
      </c>
      <c r="X16" s="27" t="inlineStr">
        <is>
          <t>L =</t>
        </is>
      </c>
      <c r="Y16" s="13" t="n"/>
      <c r="Z16" s="13" t="n"/>
      <c r="AA16" s="28" t="n">
        <v>60</v>
      </c>
      <c r="AB16" s="29" t="n"/>
      <c r="AC16" s="29" t="n"/>
      <c r="AD16" s="25" t="inlineStr">
        <is>
          <t>m</t>
        </is>
      </c>
      <c r="AF16" s="15" t="n"/>
    </row>
    <row r="17">
      <c r="B17" s="9" t="n"/>
      <c r="AF17" s="15" t="n"/>
    </row>
    <row r="18">
      <c r="B18" s="9" t="n"/>
      <c r="C18" s="11" t="inlineStr">
        <is>
          <t>1.2. Design criteria</t>
        </is>
      </c>
      <c r="AF18" s="15" t="n"/>
    </row>
    <row r="19">
      <c r="B19" s="9" t="n"/>
      <c r="C19" s="25" t="inlineStr">
        <is>
          <t>Factor of safety for bearing capacity</t>
        </is>
      </c>
      <c r="O19" s="26" t="inlineStr">
        <is>
          <t>SNI 8460:2017</t>
        </is>
      </c>
      <c r="X19" s="27" t="inlineStr">
        <is>
          <t>SF =</t>
        </is>
      </c>
      <c r="Y19" s="13" t="n"/>
      <c r="Z19" s="13" t="n"/>
      <c r="AA19" s="28" t="n">
        <v>3</v>
      </c>
      <c r="AB19" s="29" t="n"/>
      <c r="AC19" s="29" t="n"/>
      <c r="AD19" s="25" t="inlineStr">
        <is>
          <t>-</t>
        </is>
      </c>
      <c r="AF19" s="15" t="n"/>
    </row>
    <row r="20">
      <c r="B20" s="9" t="n"/>
      <c r="C20" s="25" t="inlineStr">
        <is>
          <t>Depth for averaging shear strength</t>
        </is>
      </c>
      <c r="O20" s="26" t="inlineStr">
        <is>
          <t>as previous template</t>
        </is>
      </c>
      <c r="X20" s="27" t="inlineStr">
        <is>
          <t>Hb =</t>
        </is>
      </c>
      <c r="Y20" s="13" t="n"/>
      <c r="Z20" s="13" t="n"/>
      <c r="AA20" s="28" t="n">
        <v>5</v>
      </c>
      <c r="AB20" s="29" t="n"/>
      <c r="AC20" s="29" t="n"/>
      <c r="AD20" s="25" t="inlineStr">
        <is>
          <t>m</t>
        </is>
      </c>
      <c r="AF20" s="15" t="n"/>
    </row>
    <row r="21">
      <c r="B21" s="9" t="n"/>
      <c r="C21" s="25" t="inlineStr">
        <is>
          <t>Influence depth limit: Δσz / σ'v0 ≥</t>
        </is>
      </c>
      <c r="O21" s="26" t="inlineStr">
        <is>
          <t>Das (2019)</t>
        </is>
      </c>
      <c r="X21" s="27" t="inlineStr">
        <is>
          <t>ratio =</t>
        </is>
      </c>
      <c r="Y21" s="13" t="n"/>
      <c r="Z21" s="13" t="n"/>
      <c r="AA21" s="28" t="n">
        <v>0.1</v>
      </c>
      <c r="AB21" s="29" t="n"/>
      <c r="AC21" s="29" t="n"/>
      <c r="AD21" s="25" t="inlineStr">
        <is>
          <t>-</t>
        </is>
      </c>
      <c r="AF21" s="15" t="n"/>
    </row>
    <row r="22">
      <c r="B22" s="9" t="n"/>
      <c r="C22" s="25" t="inlineStr">
        <is>
          <t>Allowable total settlement (assumed)</t>
        </is>
      </c>
      <c r="O22" s="26" t="inlineStr">
        <is>
          <t>to be confirmed</t>
        </is>
      </c>
      <c r="X22" s="27" t="inlineStr">
        <is>
          <t>S all =</t>
        </is>
      </c>
      <c r="Y22" s="13" t="n"/>
      <c r="Z22" s="13" t="n"/>
      <c r="AA22" s="28" t="n">
        <v>100</v>
      </c>
      <c r="AB22" s="29" t="n"/>
      <c r="AC22" s="29" t="n"/>
      <c r="AD22" s="25" t="inlineStr">
        <is>
          <t>mm</t>
        </is>
      </c>
      <c r="AF22" s="15" t="n"/>
    </row>
    <row r="23">
      <c r="B23" s="9" t="n"/>
      <c r="AF23" s="15" t="n"/>
    </row>
    <row r="24">
      <c r="B24" s="9" t="n"/>
      <c r="C24" s="11" t="inlineStr">
        <is>
          <t>1.3. Replacement material</t>
        </is>
      </c>
      <c r="AF24" s="15" t="n"/>
    </row>
    <row r="25">
      <c r="B25" s="9" t="n"/>
      <c r="C25" s="25" t="inlineStr">
        <is>
          <t>Unit weight of compacted granular fill</t>
        </is>
      </c>
      <c r="O25" s="26" t="inlineStr">
        <is>
          <t>assumed</t>
        </is>
      </c>
      <c r="X25" s="27" t="inlineStr">
        <is>
          <t>γr =</t>
        </is>
      </c>
      <c r="Y25" s="13" t="n"/>
      <c r="Z25" s="13" t="n"/>
      <c r="AA25" s="28" t="n">
        <v>19</v>
      </c>
      <c r="AB25" s="29" t="n"/>
      <c r="AC25" s="29" t="n"/>
      <c r="AD25" s="25" t="inlineStr">
        <is>
          <t>kN/m³</t>
        </is>
      </c>
      <c r="AF25" s="15" t="n"/>
    </row>
    <row r="26">
      <c r="B26" s="9" t="n"/>
      <c r="C26" s="25" t="inlineStr">
        <is>
          <t>Friction angle of granular fill</t>
        </is>
      </c>
      <c r="O26" s="26" t="inlineStr">
        <is>
          <t>assumed</t>
        </is>
      </c>
      <c r="X26" s="27" t="inlineStr">
        <is>
          <t>φ'r =</t>
        </is>
      </c>
      <c r="Y26" s="13" t="n"/>
      <c r="Z26" s="13" t="n"/>
      <c r="AA26" s="28" t="n">
        <v>35</v>
      </c>
      <c r="AB26" s="29" t="n"/>
      <c r="AC26" s="29" t="n"/>
      <c r="AD26" s="25" t="inlineStr">
        <is>
          <t>°</t>
        </is>
      </c>
      <c r="AF26" s="15" t="n"/>
    </row>
    <row r="27">
      <c r="B27" s="9" t="n"/>
      <c r="C27" s="24" t="inlineStr">
        <is>
          <t>Replacement depth Dr is entered on each borehole sheet.</t>
        </is>
      </c>
      <c r="AF27" s="15" t="n"/>
    </row>
    <row r="28">
      <c r="B28" s="9" t="n"/>
      <c r="AF28" s="15" t="n"/>
    </row>
    <row r="29">
      <c r="B29" s="9" t="n"/>
      <c r="C29" s="11" t="inlineStr">
        <is>
          <t>2. CORRELATIONS (used where no laboratory test is available)</t>
        </is>
      </c>
      <c r="AF29" s="15" t="n"/>
    </row>
    <row r="30">
      <c r="B30" s="9" t="n"/>
      <c r="AF30" s="15" t="n"/>
    </row>
    <row r="31">
      <c r="B31" s="9" t="n"/>
      <c r="C31" s="25" t="inlineStr">
        <is>
          <t>Undrained shear strength, cu = k·N</t>
        </is>
      </c>
      <c r="O31" s="26" t="inlineStr">
        <is>
          <t>Stroud (1974)</t>
        </is>
      </c>
      <c r="X31" s="27" t="inlineStr">
        <is>
          <t>k =</t>
        </is>
      </c>
      <c r="Y31" s="13" t="n"/>
      <c r="Z31" s="13" t="n"/>
      <c r="AA31" s="28" t="n">
        <v>5</v>
      </c>
      <c r="AB31" s="29" t="n"/>
      <c r="AC31" s="29" t="n"/>
      <c r="AD31" s="25" t="inlineStr">
        <is>
          <t>kPa</t>
        </is>
      </c>
      <c r="AF31" s="15" t="n"/>
    </row>
    <row r="32">
      <c r="B32" s="9" t="n"/>
      <c r="C32" s="25" t="inlineStr">
        <is>
          <t>Energy correction, N60 = CE·N</t>
        </is>
      </c>
      <c r="O32" s="26" t="inlineStr">
        <is>
          <t>liquefaction report</t>
        </is>
      </c>
      <c r="X32" s="27" t="inlineStr">
        <is>
          <t>CE =</t>
        </is>
      </c>
      <c r="Y32" s="13" t="n"/>
      <c r="Z32" s="13" t="n"/>
      <c r="AA32" s="31" t="n">
        <v>1.083</v>
      </c>
      <c r="AB32" s="29" t="n"/>
      <c r="AC32" s="29" t="n"/>
      <c r="AD32" s="25" t="inlineStr">
        <is>
          <t>-</t>
        </is>
      </c>
      <c r="AF32" s="15" t="n"/>
    </row>
    <row r="33">
      <c r="B33" s="9" t="n"/>
      <c r="C33" s="25" t="inlineStr">
        <is>
          <t>Sand modulus, Es = k·N60</t>
        </is>
      </c>
      <c r="O33" s="26" t="inlineStr">
        <is>
          <t>Kulhawy &amp; Mayne (1990)</t>
        </is>
      </c>
      <c r="X33" s="27" t="inlineStr">
        <is>
          <t>k =</t>
        </is>
      </c>
      <c r="Y33" s="13" t="n"/>
      <c r="Z33" s="13" t="n"/>
      <c r="AA33" s="32" t="n">
        <v>1000</v>
      </c>
      <c r="AB33" s="29" t="n"/>
      <c r="AC33" s="29" t="n"/>
      <c r="AD33" s="25" t="inlineStr">
        <is>
          <t>kPa</t>
        </is>
      </c>
      <c r="AF33" s="15" t="n"/>
    </row>
    <row r="34">
      <c r="B34" s="9" t="n"/>
      <c r="C34" s="25" t="inlineStr">
        <is>
          <t>Silt/clay undrained modulus, Eu = k·cu</t>
        </is>
      </c>
      <c r="O34" s="26" t="inlineStr">
        <is>
          <t>Bowles (1996)</t>
        </is>
      </c>
      <c r="X34" s="27" t="inlineStr">
        <is>
          <t>k =</t>
        </is>
      </c>
      <c r="Y34" s="13" t="n"/>
      <c r="Z34" s="13" t="n"/>
      <c r="AA34" s="32" t="n">
        <v>500</v>
      </c>
      <c r="AB34" s="29" t="n"/>
      <c r="AC34" s="29" t="n"/>
      <c r="AD34" s="25" t="inlineStr">
        <is>
          <t>-</t>
        </is>
      </c>
      <c r="AF34" s="15" t="n"/>
    </row>
    <row r="35">
      <c r="B35" s="9" t="n"/>
      <c r="C35" s="25" t="inlineStr">
        <is>
          <t>Poisson ratio of sand (drained)</t>
        </is>
      </c>
      <c r="O35" s="26" t="inlineStr">
        <is>
          <t>silt/clay undrained ν = 0.5</t>
        </is>
      </c>
      <c r="X35" s="27" t="inlineStr">
        <is>
          <t>ν =</t>
        </is>
      </c>
      <c r="Y35" s="13" t="n"/>
      <c r="Z35" s="13" t="n"/>
      <c r="AA35" s="28" t="n">
        <v>0.3</v>
      </c>
      <c r="AB35" s="29" t="n"/>
      <c r="AC35" s="29" t="n"/>
      <c r="AD35" s="25" t="inlineStr">
        <is>
          <t>-</t>
        </is>
      </c>
      <c r="AF35" s="15" t="n"/>
    </row>
    <row r="36">
      <c r="B36" s="9" t="n"/>
      <c r="C36" s="25" t="inlineStr">
        <is>
          <t>Recompression ratio Cr / Cc</t>
        </is>
      </c>
      <c r="O36" s="26" t="inlineStr">
        <is>
          <t>Das (2019)</t>
        </is>
      </c>
      <c r="X36" s="27" t="inlineStr">
        <is>
          <t>Cr/Cc =</t>
        </is>
      </c>
      <c r="Y36" s="13" t="n"/>
      <c r="Z36" s="13" t="n"/>
      <c r="AA36" s="28" t="n">
        <v>0.2</v>
      </c>
      <c r="AB36" s="29" t="n"/>
      <c r="AC36" s="29" t="n"/>
      <c r="AD36" s="25" t="inlineStr">
        <is>
          <t>-</t>
        </is>
      </c>
      <c r="AF36" s="15" t="n"/>
    </row>
    <row r="37">
      <c r="B37" s="9" t="n"/>
      <c r="C37" s="25" t="inlineStr">
        <is>
          <t>Strength ratio su / σ'p</t>
        </is>
      </c>
      <c r="O37" s="26" t="inlineStr">
        <is>
          <t>Mesri (1975)</t>
        </is>
      </c>
      <c r="X37" s="27" t="inlineStr">
        <is>
          <t>ratio =</t>
        </is>
      </c>
      <c r="Y37" s="13" t="n"/>
      <c r="Z37" s="13" t="n"/>
      <c r="AA37" s="28" t="n">
        <v>0.22</v>
      </c>
      <c r="AB37" s="29" t="n"/>
      <c r="AC37" s="29" t="n"/>
      <c r="AD37" s="25" t="inlineStr">
        <is>
          <t>-</t>
        </is>
      </c>
      <c r="AF37" s="15" t="n"/>
    </row>
    <row r="38">
      <c r="B38" s="9" t="n"/>
      <c r="C38" s="25" t="inlineStr">
        <is>
          <t>Time factor for 90 % consolidation</t>
        </is>
      </c>
      <c r="O38" s="26" t="inlineStr">
        <is>
          <t>Terzaghi</t>
        </is>
      </c>
      <c r="X38" s="27" t="inlineStr">
        <is>
          <t>Tv =</t>
        </is>
      </c>
      <c r="Y38" s="13" t="n"/>
      <c r="Z38" s="13" t="n"/>
      <c r="AA38" s="31" t="n">
        <v>0.848</v>
      </c>
      <c r="AB38" s="29" t="n"/>
      <c r="AC38" s="29" t="n"/>
      <c r="AD38" s="25" t="inlineStr">
        <is>
          <t>-</t>
        </is>
      </c>
      <c r="AF38" s="15" t="n"/>
    </row>
    <row r="39">
      <c r="B39" s="9" t="n"/>
      <c r="AF39" s="15" t="n"/>
    </row>
    <row r="40">
      <c r="B40" s="9" t="n"/>
      <c r="C40" s="24" t="inlineStr">
        <is>
          <t>Compression index Cc = 0.009 (LL - 10) (Terzaghi &amp; Peck, 1967).</t>
        </is>
      </c>
      <c r="AF40" s="15" t="n"/>
    </row>
    <row r="41">
      <c r="B41" s="9" t="n"/>
      <c r="C41" s="24" t="inlineStr">
        <is>
          <t>Sand friction angle φ' = 27.1 + 0.3 N60 - 0.00054 N60² (Wolff, 1989).</t>
        </is>
      </c>
      <c r="AF41" s="15" t="n"/>
    </row>
    <row r="42">
      <c r="B42" s="9" t="n"/>
      <c r="C42" s="24" t="inlineStr">
        <is>
          <t>Silt/clay friction angle sin φ' = 0.8 - 0.094 ln(PI) (Terzaghi, Peck &amp; Mesri, 1996), limited to 20° - 30°.</t>
        </is>
      </c>
      <c r="AF42" s="15" t="n"/>
    </row>
    <row r="43">
      <c r="B43" s="9" t="n"/>
      <c r="C43" s="24" t="inlineStr">
        <is>
          <t>No oedometer test is available; Cc, Cr, σ'p and Cv are correlated values.</t>
        </is>
      </c>
      <c r="AF43" s="15" t="n"/>
    </row>
    <row r="44">
      <c r="B44" s="9" t="n"/>
      <c r="AF44" s="15" t="n"/>
    </row>
    <row r="45">
      <c r="B45" s="9" t="n"/>
      <c r="C45" s="11" t="inlineStr">
        <is>
          <t>3. COEFFICIENT OF CONSOLIDATION vs LIQUID LIMIT (NAVFAC DM-7.1)</t>
        </is>
      </c>
      <c r="AF45" s="15" t="n"/>
    </row>
    <row r="46" ht="27" customHeight="1">
      <c r="B46" s="9" t="n"/>
      <c r="C46" s="33" t="inlineStr">
        <is>
          <t>LL</t>
        </is>
      </c>
      <c r="D46" s="34" t="n"/>
      <c r="E46" s="34" t="n"/>
      <c r="F46" s="34" t="n"/>
      <c r="G46" s="34" t="n"/>
      <c r="H46" s="34" t="n"/>
      <c r="I46" s="33" t="inlineStr">
        <is>
          <t>Cv</t>
        </is>
      </c>
      <c r="J46" s="34" t="n"/>
      <c r="K46" s="34" t="n"/>
      <c r="L46" s="34" t="n"/>
      <c r="M46" s="34" t="n"/>
      <c r="N46" s="34" t="n"/>
      <c r="O46" s="34" t="n"/>
      <c r="P46" s="34" t="n"/>
      <c r="Q46" s="33" t="inlineStr">
        <is>
          <t>log10 Cv</t>
        </is>
      </c>
      <c r="R46" s="34" t="n"/>
      <c r="S46" s="34" t="n"/>
      <c r="T46" s="34" t="n"/>
      <c r="U46" s="34" t="n"/>
      <c r="V46" s="34" t="n"/>
      <c r="W46" s="34" t="n"/>
      <c r="X46" s="34" t="n"/>
      <c r="AF46" s="15" t="n"/>
    </row>
    <row r="47">
      <c r="B47" s="9" t="n"/>
      <c r="C47" s="35" t="inlineStr">
        <is>
          <t>%</t>
        </is>
      </c>
      <c r="D47" s="36" t="n"/>
      <c r="E47" s="36" t="n"/>
      <c r="F47" s="36" t="n"/>
      <c r="G47" s="36" t="n"/>
      <c r="H47" s="36" t="n"/>
      <c r="I47" s="35" t="inlineStr">
        <is>
          <t>cm²/s</t>
        </is>
      </c>
      <c r="J47" s="36" t="n"/>
      <c r="K47" s="36" t="n"/>
      <c r="L47" s="36" t="n"/>
      <c r="M47" s="36" t="n"/>
      <c r="N47" s="36" t="n"/>
      <c r="O47" s="36" t="n"/>
      <c r="P47" s="36" t="n"/>
      <c r="Q47" s="35" t="inlineStr">
        <is>
          <t>-</t>
        </is>
      </c>
      <c r="R47" s="36" t="n"/>
      <c r="S47" s="36" t="n"/>
      <c r="T47" s="36" t="n"/>
      <c r="U47" s="36" t="n"/>
      <c r="V47" s="36" t="n"/>
      <c r="W47" s="36" t="n"/>
      <c r="X47" s="36" t="n"/>
      <c r="AF47" s="15" t="n"/>
    </row>
    <row r="48">
      <c r="B48" s="9" t="n"/>
      <c r="C48" s="37" t="n">
        <v>30</v>
      </c>
      <c r="D48" s="38" t="n"/>
      <c r="E48" s="38" t="n"/>
      <c r="F48" s="38" t="n"/>
      <c r="G48" s="38" t="n"/>
      <c r="H48" s="38" t="n"/>
      <c r="I48" s="39" t="n">
        <v>0.003</v>
      </c>
      <c r="J48" s="38" t="n"/>
      <c r="K48" s="38" t="n"/>
      <c r="L48" s="38" t="n"/>
      <c r="M48" s="38" t="n"/>
      <c r="N48" s="38" t="n"/>
      <c r="O48" s="38" t="n"/>
      <c r="P48" s="38" t="n"/>
      <c r="Q48" s="40">
        <f>LOG10(I48)</f>
        <v/>
      </c>
      <c r="R48" s="41" t="n"/>
      <c r="S48" s="41" t="n"/>
      <c r="T48" s="41" t="n"/>
      <c r="U48" s="41" t="n"/>
      <c r="V48" s="41" t="n"/>
      <c r="W48" s="41" t="n"/>
      <c r="X48" s="41" t="n"/>
      <c r="AF48" s="15" t="n"/>
    </row>
    <row r="49">
      <c r="B49" s="9" t="n"/>
      <c r="C49" s="37" t="n">
        <v>40</v>
      </c>
      <c r="D49" s="38" t="n"/>
      <c r="E49" s="38" t="n"/>
      <c r="F49" s="38" t="n"/>
      <c r="G49" s="38" t="n"/>
      <c r="H49" s="38" t="n"/>
      <c r="I49" s="39" t="n">
        <v>0.0015</v>
      </c>
      <c r="J49" s="38" t="n"/>
      <c r="K49" s="38" t="n"/>
      <c r="L49" s="38" t="n"/>
      <c r="M49" s="38" t="n"/>
      <c r="N49" s="38" t="n"/>
      <c r="O49" s="38" t="n"/>
      <c r="P49" s="38" t="n"/>
      <c r="Q49" s="40">
        <f>LOG10(I49)</f>
        <v/>
      </c>
      <c r="R49" s="41" t="n"/>
      <c r="S49" s="41" t="n"/>
      <c r="T49" s="41" t="n"/>
      <c r="U49" s="41" t="n"/>
      <c r="V49" s="41" t="n"/>
      <c r="W49" s="41" t="n"/>
      <c r="X49" s="41" t="n"/>
      <c r="AF49" s="15" t="n"/>
    </row>
    <row r="50">
      <c r="B50" s="9" t="n"/>
      <c r="C50" s="37" t="n">
        <v>50</v>
      </c>
      <c r="D50" s="38" t="n"/>
      <c r="E50" s="38" t="n"/>
      <c r="F50" s="38" t="n"/>
      <c r="G50" s="38" t="n"/>
      <c r="H50" s="38" t="n"/>
      <c r="I50" s="39" t="n">
        <v>0.0007</v>
      </c>
      <c r="J50" s="38" t="n"/>
      <c r="K50" s="38" t="n"/>
      <c r="L50" s="38" t="n"/>
      <c r="M50" s="38" t="n"/>
      <c r="N50" s="38" t="n"/>
      <c r="O50" s="38" t="n"/>
      <c r="P50" s="38" t="n"/>
      <c r="Q50" s="40">
        <f>LOG10(I50)</f>
        <v/>
      </c>
      <c r="R50" s="41" t="n"/>
      <c r="S50" s="41" t="n"/>
      <c r="T50" s="41" t="n"/>
      <c r="U50" s="41" t="n"/>
      <c r="V50" s="41" t="n"/>
      <c r="W50" s="41" t="n"/>
      <c r="X50" s="41" t="n"/>
      <c r="AF50" s="15" t="n"/>
    </row>
    <row r="51">
      <c r="B51" s="9" t="n"/>
      <c r="C51" s="37" t="n">
        <v>60</v>
      </c>
      <c r="D51" s="38" t="n"/>
      <c r="E51" s="38" t="n"/>
      <c r="F51" s="38" t="n"/>
      <c r="G51" s="38" t="n"/>
      <c r="H51" s="38" t="n"/>
      <c r="I51" s="39" t="n">
        <v>0.0004</v>
      </c>
      <c r="J51" s="38" t="n"/>
      <c r="K51" s="38" t="n"/>
      <c r="L51" s="38" t="n"/>
      <c r="M51" s="38" t="n"/>
      <c r="N51" s="38" t="n"/>
      <c r="O51" s="38" t="n"/>
      <c r="P51" s="38" t="n"/>
      <c r="Q51" s="40">
        <f>LOG10(I51)</f>
        <v/>
      </c>
      <c r="R51" s="41" t="n"/>
      <c r="S51" s="41" t="n"/>
      <c r="T51" s="41" t="n"/>
      <c r="U51" s="41" t="n"/>
      <c r="V51" s="41" t="n"/>
      <c r="W51" s="41" t="n"/>
      <c r="X51" s="41" t="n"/>
      <c r="AF51" s="15" t="n"/>
    </row>
    <row r="52">
      <c r="B52" s="9" t="n"/>
      <c r="C52" s="37" t="n">
        <v>80</v>
      </c>
      <c r="D52" s="38" t="n"/>
      <c r="E52" s="38" t="n"/>
      <c r="F52" s="38" t="n"/>
      <c r="G52" s="38" t="n"/>
      <c r="H52" s="38" t="n"/>
      <c r="I52" s="39" t="n">
        <v>0.0002</v>
      </c>
      <c r="J52" s="38" t="n"/>
      <c r="K52" s="38" t="n"/>
      <c r="L52" s="38" t="n"/>
      <c r="M52" s="38" t="n"/>
      <c r="N52" s="38" t="n"/>
      <c r="O52" s="38" t="n"/>
      <c r="P52" s="38" t="n"/>
      <c r="Q52" s="40">
        <f>LOG10(I52)</f>
        <v/>
      </c>
      <c r="R52" s="41" t="n"/>
      <c r="S52" s="41" t="n"/>
      <c r="T52" s="41" t="n"/>
      <c r="U52" s="41" t="n"/>
      <c r="V52" s="41" t="n"/>
      <c r="W52" s="41" t="n"/>
      <c r="X52" s="41" t="n"/>
      <c r="AF52" s="15" t="n"/>
    </row>
    <row r="53">
      <c r="B53" s="9" t="n"/>
      <c r="C53" s="37" t="n">
        <v>100</v>
      </c>
      <c r="D53" s="38" t="n"/>
      <c r="E53" s="38" t="n"/>
      <c r="F53" s="38" t="n"/>
      <c r="G53" s="38" t="n"/>
      <c r="H53" s="38" t="n"/>
      <c r="I53" s="39" t="n">
        <v>0.00012</v>
      </c>
      <c r="J53" s="38" t="n"/>
      <c r="K53" s="38" t="n"/>
      <c r="L53" s="38" t="n"/>
      <c r="M53" s="38" t="n"/>
      <c r="N53" s="38" t="n"/>
      <c r="O53" s="38" t="n"/>
      <c r="P53" s="38" t="n"/>
      <c r="Q53" s="40">
        <f>LOG10(I53)</f>
        <v/>
      </c>
      <c r="R53" s="41" t="n"/>
      <c r="S53" s="41" t="n"/>
      <c r="T53" s="41" t="n"/>
      <c r="U53" s="41" t="n"/>
      <c r="V53" s="41" t="n"/>
      <c r="W53" s="41" t="n"/>
      <c r="X53" s="41" t="n"/>
      <c r="AF53" s="15" t="n"/>
    </row>
    <row r="54">
      <c r="B54" s="9" t="n"/>
      <c r="C54" s="42" t="n">
        <v>120</v>
      </c>
      <c r="D54" s="43" t="n"/>
      <c r="E54" s="43" t="n"/>
      <c r="F54" s="43" t="n"/>
      <c r="G54" s="43" t="n"/>
      <c r="H54" s="43" t="n"/>
      <c r="I54" s="44" t="n">
        <v>8.000000000000001e-05</v>
      </c>
      <c r="J54" s="43" t="n"/>
      <c r="K54" s="43" t="n"/>
      <c r="L54" s="43" t="n"/>
      <c r="M54" s="43" t="n"/>
      <c r="N54" s="43" t="n"/>
      <c r="O54" s="43" t="n"/>
      <c r="P54" s="43" t="n"/>
      <c r="Q54" s="45">
        <f>LOG10(I54)</f>
        <v/>
      </c>
      <c r="R54" s="46" t="n"/>
      <c r="S54" s="46" t="n"/>
      <c r="T54" s="46" t="n"/>
      <c r="U54" s="46" t="n"/>
      <c r="V54" s="46" t="n"/>
      <c r="W54" s="46" t="n"/>
      <c r="X54" s="46" t="n"/>
      <c r="AF54" s="15" t="n"/>
    </row>
    <row r="55">
      <c r="B55" s="9" t="n"/>
      <c r="AF55" s="15" t="n"/>
    </row>
    <row r="56">
      <c r="B56" s="9" t="n"/>
      <c r="AF56" s="15" t="n"/>
    </row>
    <row r="57">
      <c r="B57" s="9" t="n"/>
      <c r="AF57" s="15" t="n"/>
    </row>
    <row r="58">
      <c r="B58" s="9" t="n"/>
      <c r="AF58" s="15" t="n"/>
    </row>
    <row r="59">
      <c r="B59" s="9" t="n"/>
      <c r="AF59" s="15" t="n"/>
    </row>
    <row r="60">
      <c r="B60" s="9" t="n"/>
      <c r="AF60" s="15" t="n"/>
    </row>
    <row r="61">
      <c r="B61" s="9" t="n"/>
      <c r="AF61" s="15" t="n"/>
    </row>
    <row r="62">
      <c r="B62" s="9" t="n"/>
      <c r="AF62" s="15" t="n"/>
    </row>
    <row r="63">
      <c r="B63" s="9" t="n"/>
      <c r="AF63" s="15" t="n"/>
    </row>
    <row r="64">
      <c r="B64" s="9" t="n"/>
      <c r="AF64" s="15" t="n"/>
    </row>
    <row r="65">
      <c r="B65" s="9" t="n"/>
      <c r="AF65" s="15" t="n"/>
    </row>
    <row r="66">
      <c r="B66" s="9" t="n"/>
      <c r="AF66" s="15" t="n"/>
    </row>
    <row r="67">
      <c r="B67" s="9" t="n"/>
      <c r="AF67" s="15" t="n"/>
    </row>
    <row r="68">
      <c r="B68" s="9" t="n"/>
      <c r="AF68" s="15" t="n"/>
    </row>
    <row r="69">
      <c r="B69" s="9" t="n"/>
      <c r="AF69" s="15" t="n"/>
    </row>
    <row r="70">
      <c r="B70" s="9" t="n"/>
      <c r="AF70" s="15" t="n"/>
    </row>
    <row r="71">
      <c r="B71" s="9" t="n"/>
      <c r="AF71" s="15" t="n"/>
    </row>
    <row r="72">
      <c r="B72" s="9" t="n"/>
      <c r="AF72" s="15" t="n"/>
    </row>
    <row r="73">
      <c r="B73" s="47" t="n"/>
      <c r="C73" s="48" t="n"/>
      <c r="D73" s="48" t="n"/>
      <c r="E73" s="48" t="n"/>
      <c r="F73" s="48" t="n"/>
      <c r="G73" s="48" t="n"/>
      <c r="H73" s="48" t="n"/>
      <c r="I73" s="48" t="n"/>
      <c r="J73" s="48" t="n"/>
      <c r="K73" s="48" t="n"/>
      <c r="L73" s="48" t="n"/>
      <c r="M73" s="48" t="n"/>
      <c r="N73" s="48" t="n"/>
      <c r="O73" s="48" t="n"/>
      <c r="P73" s="48" t="n"/>
      <c r="Q73" s="48" t="n"/>
      <c r="R73" s="48" t="n"/>
      <c r="S73" s="48" t="n"/>
      <c r="T73" s="48" t="n"/>
      <c r="U73" s="48" t="n"/>
      <c r="V73" s="48" t="n"/>
      <c r="W73" s="48" t="n"/>
      <c r="X73" s="49" t="inlineStr">
        <is>
          <t>Sheet :</t>
        </is>
      </c>
      <c r="Y73" s="48" t="n"/>
      <c r="Z73" s="48" t="n"/>
      <c r="AA73" s="48" t="n"/>
      <c r="AB73" s="49" t="n">
        <v>1</v>
      </c>
      <c r="AC73" s="48" t="n"/>
      <c r="AD73" s="48" t="n"/>
      <c r="AE73" s="48" t="n"/>
      <c r="AF73" s="50" t="n"/>
    </row>
  </sheetData>
  <mergeCells count="157">
    <mergeCell ref="O32:W32"/>
    <mergeCell ref="O26:W26"/>
    <mergeCell ref="C31:N31"/>
    <mergeCell ref="I49:P49"/>
    <mergeCell ref="C5:G5"/>
    <mergeCell ref="O35:W35"/>
    <mergeCell ref="O16:W16"/>
    <mergeCell ref="C21:N21"/>
    <mergeCell ref="C24:AE24"/>
    <mergeCell ref="O25:W25"/>
    <mergeCell ref="C46:H46"/>
    <mergeCell ref="C4:G4"/>
    <mergeCell ref="AB3:AE3"/>
    <mergeCell ref="AD25:AE25"/>
    <mergeCell ref="C52:H52"/>
    <mergeCell ref="I47:P47"/>
    <mergeCell ref="X2:AA2"/>
    <mergeCell ref="C48:H48"/>
    <mergeCell ref="AD31:AE31"/>
    <mergeCell ref="C10:AE10"/>
    <mergeCell ref="AB5:AE5"/>
    <mergeCell ref="O11:W11"/>
    <mergeCell ref="X22:Z22"/>
    <mergeCell ref="X31:Z31"/>
    <mergeCell ref="AB4:AE4"/>
    <mergeCell ref="X12:Z12"/>
    <mergeCell ref="X21:Z21"/>
    <mergeCell ref="AD32:AE32"/>
    <mergeCell ref="AD26:AE26"/>
    <mergeCell ref="C34:N34"/>
    <mergeCell ref="AD16:AE16"/>
    <mergeCell ref="X13:Z13"/>
    <mergeCell ref="AA34:AC34"/>
    <mergeCell ref="X16:Z16"/>
    <mergeCell ref="C20:N20"/>
    <mergeCell ref="Q47:X47"/>
    <mergeCell ref="C50:H50"/>
    <mergeCell ref="AA36:AC36"/>
    <mergeCell ref="H3:W3"/>
    <mergeCell ref="C22:N22"/>
    <mergeCell ref="O31:W31"/>
    <mergeCell ref="AA20:AC20"/>
    <mergeCell ref="X33:Z33"/>
    <mergeCell ref="AD35:AE35"/>
    <mergeCell ref="C12:N12"/>
    <mergeCell ref="O21:W21"/>
    <mergeCell ref="AA35:AC35"/>
    <mergeCell ref="H5:W5"/>
    <mergeCell ref="AD34:AE34"/>
    <mergeCell ref="Q51:X51"/>
    <mergeCell ref="AA31:AC31"/>
    <mergeCell ref="X35:Z35"/>
    <mergeCell ref="AB73:AE73"/>
    <mergeCell ref="AA12:AC12"/>
    <mergeCell ref="AA21:AC21"/>
    <mergeCell ref="Q50:X50"/>
    <mergeCell ref="X25:Z25"/>
    <mergeCell ref="AD36:AE36"/>
    <mergeCell ref="I53:P53"/>
    <mergeCell ref="C32:N32"/>
    <mergeCell ref="C38:N38"/>
    <mergeCell ref="C41:AE41"/>
    <mergeCell ref="AA32:AC32"/>
    <mergeCell ref="AA14:AC14"/>
    <mergeCell ref="X36:Z36"/>
    <mergeCell ref="C43:AE43"/>
    <mergeCell ref="Q49:X49"/>
    <mergeCell ref="I52:P52"/>
    <mergeCell ref="AA38:AC38"/>
    <mergeCell ref="X11:Z11"/>
    <mergeCell ref="AD22:AE22"/>
    <mergeCell ref="I48:P48"/>
    <mergeCell ref="O19:W19"/>
    <mergeCell ref="C27:AE27"/>
    <mergeCell ref="O34:W34"/>
    <mergeCell ref="X3:AA3"/>
    <mergeCell ref="C33:N33"/>
    <mergeCell ref="C8:AE8"/>
    <mergeCell ref="C26:N26"/>
    <mergeCell ref="H2:W2"/>
    <mergeCell ref="O36:W36"/>
    <mergeCell ref="X5:AA5"/>
    <mergeCell ref="C35:N35"/>
    <mergeCell ref="AA33:AC33"/>
    <mergeCell ref="O20:W20"/>
    <mergeCell ref="C16:N16"/>
    <mergeCell ref="C54:H54"/>
    <mergeCell ref="C25:N25"/>
    <mergeCell ref="X4:AA4"/>
    <mergeCell ref="AD38:AE38"/>
    <mergeCell ref="AD33:AE33"/>
    <mergeCell ref="O22:W22"/>
    <mergeCell ref="X15:Z15"/>
    <mergeCell ref="AA25:AC25"/>
    <mergeCell ref="Q54:X54"/>
    <mergeCell ref="X38:Z38"/>
    <mergeCell ref="C45:AE45"/>
    <mergeCell ref="C11:N11"/>
    <mergeCell ref="I54:P54"/>
    <mergeCell ref="AD19:AE19"/>
    <mergeCell ref="C29:AE29"/>
    <mergeCell ref="X26:Z26"/>
    <mergeCell ref="AA11:AC11"/>
    <mergeCell ref="O38:W38"/>
    <mergeCell ref="H4:W4"/>
    <mergeCell ref="C2:G2"/>
    <mergeCell ref="C40:AE40"/>
    <mergeCell ref="C37:N37"/>
    <mergeCell ref="C53:H53"/>
    <mergeCell ref="AD11:AE11"/>
    <mergeCell ref="C13:N13"/>
    <mergeCell ref="C15:N15"/>
    <mergeCell ref="AA13:AC13"/>
    <mergeCell ref="O33:W33"/>
    <mergeCell ref="X73:AA73"/>
    <mergeCell ref="C7:AE7"/>
    <mergeCell ref="AB2:AE2"/>
    <mergeCell ref="AD37:AE37"/>
    <mergeCell ref="AA37:AC37"/>
    <mergeCell ref="AD12:AE12"/>
    <mergeCell ref="AA15:AC15"/>
    <mergeCell ref="X19:Z19"/>
    <mergeCell ref="AD21:AE21"/>
    <mergeCell ref="X34:Z34"/>
    <mergeCell ref="C47:H47"/>
    <mergeCell ref="Q53:X53"/>
    <mergeCell ref="X37:Z37"/>
    <mergeCell ref="C18:AE18"/>
    <mergeCell ref="AD20:AE20"/>
    <mergeCell ref="AD14:AE14"/>
    <mergeCell ref="I46:P46"/>
    <mergeCell ref="AA26:AC26"/>
    <mergeCell ref="C42:AE42"/>
    <mergeCell ref="AD13:AE13"/>
    <mergeCell ref="Q52:X52"/>
    <mergeCell ref="C51:H51"/>
    <mergeCell ref="X20:Z20"/>
    <mergeCell ref="AA16:AC16"/>
    <mergeCell ref="X14:Z14"/>
    <mergeCell ref="C36:N36"/>
    <mergeCell ref="AD15:AE15"/>
    <mergeCell ref="O12:W12"/>
    <mergeCell ref="O14:W14"/>
    <mergeCell ref="C19:N19"/>
    <mergeCell ref="O37:W37"/>
    <mergeCell ref="Q46:X46"/>
    <mergeCell ref="C49:H49"/>
    <mergeCell ref="AA22:AC22"/>
    <mergeCell ref="O13:W13"/>
    <mergeCell ref="AA19:AC19"/>
    <mergeCell ref="Q48:X48"/>
    <mergeCell ref="X32:Z32"/>
    <mergeCell ref="I51:P51"/>
    <mergeCell ref="O15:W15"/>
    <mergeCell ref="C14:N14"/>
    <mergeCell ref="I50:P50"/>
    <mergeCell ref="C3:G3"/>
  </mergeCells>
  <printOptions horizontalCentered="1"/>
  <pageMargins left="0.5" right="0.5" top="0.6" bottom="0.6" header="0.5" footer="0.5"/>
  <pageSetup orientation="portrait" paperSize="9" scale="66" fitToHeight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AF73"/>
  <sheetViews>
    <sheetView showGridLines="0" zoomScale="85" workbookViewId="0">
      <selection activeCell="A1" sqref="A1"/>
    </sheetView>
  </sheetViews>
  <sheetFormatPr baseColWidth="8" defaultRowHeight="13.9"/>
  <cols>
    <col width="3.43" customWidth="1" min="1" max="1"/>
    <col width="4" customWidth="1" min="2" max="2"/>
    <col width="3.57" customWidth="1" min="3" max="3"/>
    <col width="3.57" customWidth="1" min="4" max="4"/>
    <col width="3.57" customWidth="1" min="5" max="5"/>
    <col width="3.57" customWidth="1" min="6" max="6"/>
    <col width="3.57" customWidth="1" min="7" max="7"/>
    <col width="3.57" customWidth="1" min="8" max="8"/>
    <col width="3.57" customWidth="1" min="9" max="9"/>
    <col width="3.86" customWidth="1" min="10" max="10"/>
    <col width="4" customWidth="1" min="11" max="11"/>
    <col width="4.57" customWidth="1" min="12" max="12"/>
    <col width="4.57" customWidth="1" min="13" max="13"/>
    <col width="4.57" customWidth="1" min="14" max="14"/>
    <col width="4.57" customWidth="1" min="15" max="15"/>
    <col width="4.57" customWidth="1" min="16" max="16"/>
    <col width="4.57" customWidth="1" min="17" max="17"/>
    <col width="4.57" customWidth="1" min="18" max="18"/>
    <col width="4.57" customWidth="1" min="19" max="19"/>
    <col width="4.57" customWidth="1" min="20" max="20"/>
    <col width="4.57" customWidth="1" min="21" max="21"/>
    <col width="4.57" customWidth="1" min="22" max="22"/>
    <col width="4.57" customWidth="1" min="23" max="23"/>
    <col width="4.57" customWidth="1" min="24" max="24"/>
    <col width="4.57" customWidth="1" min="25" max="25"/>
    <col width="4.57" customWidth="1" min="26" max="26"/>
    <col width="4.57" customWidth="1" min="27" max="27"/>
    <col width="4.57" customWidth="1" min="28" max="28"/>
    <col width="4.57" customWidth="1" min="29" max="29"/>
    <col width="4.57" customWidth="1" min="30" max="30"/>
    <col width="4.57" customWidth="1" min="31" max="31"/>
    <col width="3.43" customWidth="1" min="32" max="32"/>
  </cols>
  <sheetData>
    <row r="2">
      <c r="B2" s="1" t="n"/>
      <c r="C2" s="2" t="inlineStr">
        <is>
          <t>PROJECT :</t>
        </is>
      </c>
      <c r="D2" s="3" t="n"/>
      <c r="E2" s="3" t="n"/>
      <c r="F2" s="3" t="n"/>
      <c r="G2" s="3" t="n"/>
      <c r="H2" s="4" t="inlineStr">
        <is>
          <t>GEOTHERMAL WELLPAD PSPE BORA PULU - SIGI, CENTRAL SULAWESI</t>
        </is>
      </c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5" t="inlineStr">
        <is>
          <t>Prepared by :</t>
        </is>
      </c>
      <c r="Y2" s="6" t="n"/>
      <c r="Z2" s="6" t="n"/>
      <c r="AA2" s="6" t="n"/>
      <c r="AB2" s="7" t="inlineStr">
        <is>
          <t>Date</t>
        </is>
      </c>
      <c r="AC2" s="6" t="n"/>
      <c r="AD2" s="6" t="n"/>
      <c r="AE2" s="6" t="n"/>
      <c r="AF2" s="8" t="n"/>
    </row>
    <row r="3">
      <c r="B3" s="9" t="n"/>
      <c r="C3" s="10" t="inlineStr">
        <is>
          <t>CLIENT :</t>
        </is>
      </c>
      <c r="H3" s="11" t="inlineStr">
        <is>
          <t>PT EDC PANAS BUMI INDONESIA</t>
        </is>
      </c>
      <c r="X3" s="12" t="inlineStr">
        <is>
          <t>DF</t>
        </is>
      </c>
      <c r="Y3" s="13" t="n"/>
      <c r="Z3" s="13" t="n"/>
      <c r="AA3" s="13" t="n"/>
      <c r="AB3" s="14" t="n">
        <v>46301</v>
      </c>
      <c r="AC3" s="13" t="n"/>
      <c r="AD3" s="13" t="n"/>
      <c r="AE3" s="13" t="n"/>
      <c r="AF3" s="15" t="n"/>
    </row>
    <row r="4">
      <c r="B4" s="9" t="n"/>
      <c r="C4" s="10" t="inlineStr">
        <is>
          <t>LOCATION :</t>
        </is>
      </c>
      <c r="H4" s="11" t="inlineStr">
        <is>
          <t>All boreholes (BH-01 to BH-05)</t>
        </is>
      </c>
      <c r="X4" s="12" t="inlineStr">
        <is>
          <t>Verified by :</t>
        </is>
      </c>
      <c r="Y4" s="13" t="n"/>
      <c r="Z4" s="13" t="n"/>
      <c r="AA4" s="13" t="n"/>
      <c r="AB4" s="14" t="inlineStr">
        <is>
          <t>Date</t>
        </is>
      </c>
      <c r="AC4" s="13" t="n"/>
      <c r="AD4" s="13" t="n"/>
      <c r="AE4" s="13" t="n"/>
      <c r="AF4" s="15" t="n"/>
    </row>
    <row r="5">
      <c r="B5" s="16" t="n"/>
      <c r="C5" s="17" t="inlineStr">
        <is>
          <t>SHEET :</t>
        </is>
      </c>
      <c r="D5" s="18" t="n"/>
      <c r="E5" s="18" t="n"/>
      <c r="F5" s="18" t="n"/>
      <c r="G5" s="18" t="n"/>
      <c r="H5" s="19" t="inlineStr">
        <is>
          <t>SUMMARY - BEARING CAPACITY AND SETTLEMENT</t>
        </is>
      </c>
      <c r="I5" s="18" t="n"/>
      <c r="J5" s="18" t="n"/>
      <c r="K5" s="18" t="n"/>
      <c r="L5" s="18" t="n"/>
      <c r="M5" s="18" t="n"/>
      <c r="N5" s="18" t="n"/>
      <c r="O5" s="18" t="n"/>
      <c r="P5" s="18" t="n"/>
      <c r="Q5" s="18" t="n"/>
      <c r="R5" s="18" t="n"/>
      <c r="S5" s="18" t="n"/>
      <c r="T5" s="18" t="n"/>
      <c r="U5" s="18" t="n"/>
      <c r="V5" s="18" t="n"/>
      <c r="W5" s="18" t="n"/>
      <c r="X5" s="20" t="inlineStr">
        <is>
          <t>BC</t>
        </is>
      </c>
      <c r="Y5" s="21" t="n"/>
      <c r="Z5" s="21" t="n"/>
      <c r="AA5" s="21" t="n"/>
      <c r="AB5" s="22" t="n">
        <v>46301</v>
      </c>
      <c r="AC5" s="21" t="n"/>
      <c r="AD5" s="21" t="n"/>
      <c r="AE5" s="21" t="n"/>
      <c r="AF5" s="23" t="n"/>
    </row>
    <row r="6">
      <c r="B6" s="9" t="n"/>
      <c r="AF6" s="15" t="n"/>
    </row>
    <row r="7">
      <c r="B7" s="9" t="n"/>
      <c r="C7" s="11" t="inlineStr">
        <is>
          <t>SUMMARY OF BEARING CAPACITY AND SETTLEMENT OF SUBGRADE</t>
        </is>
      </c>
      <c r="AF7" s="15" t="n"/>
    </row>
    <row r="8">
      <c r="B8" s="9" t="n"/>
      <c r="C8" s="25">
        <f>"Load: "&amp;TEXT(Input!$AA$11,"0.0")&amp;" m embankment fill + "&amp;TEXT(Input!$AA$13,"0")&amp;" kPa uniform surcharge  →  q = "&amp;TEXT(Input!$AA$14,"0")&amp;" kPa;  loaded area "&amp;TEXT(Input!$AA$15,"0")&amp;" m × "&amp;TEXT(Input!$AA$16,"0")&amp;" m"</f>
        <v/>
      </c>
      <c r="AF8" s="15" t="n"/>
    </row>
    <row r="9">
      <c r="B9" s="9" t="n"/>
      <c r="AF9" s="15" t="n"/>
    </row>
    <row r="10" ht="27" customHeight="1">
      <c r="B10" s="9" t="n"/>
      <c r="C10" s="33" t="inlineStr">
        <is>
          <t>Item</t>
        </is>
      </c>
      <c r="D10" s="34" t="n"/>
      <c r="E10" s="34" t="n"/>
      <c r="F10" s="34" t="n"/>
      <c r="G10" s="34" t="n"/>
      <c r="H10" s="34" t="n"/>
      <c r="I10" s="34" t="n"/>
      <c r="J10" s="34" t="n"/>
      <c r="K10" s="34" t="n"/>
      <c r="L10" s="34" t="n"/>
      <c r="M10" s="33" t="inlineStr">
        <is>
          <t>Unit</t>
        </is>
      </c>
      <c r="N10" s="34" t="n"/>
      <c r="O10" s="34" t="n"/>
      <c r="P10" s="33" t="inlineStr">
        <is>
          <t>BH-01</t>
        </is>
      </c>
      <c r="Q10" s="34" t="n"/>
      <c r="R10" s="34" t="n"/>
      <c r="S10" s="33" t="inlineStr">
        <is>
          <t>BH-02</t>
        </is>
      </c>
      <c r="T10" s="34" t="n"/>
      <c r="U10" s="34" t="n"/>
      <c r="V10" s="33" t="inlineStr">
        <is>
          <t>BH-03</t>
        </is>
      </c>
      <c r="W10" s="34" t="n"/>
      <c r="X10" s="34" t="n"/>
      <c r="Y10" s="33" t="inlineStr">
        <is>
          <t>BH-04</t>
        </is>
      </c>
      <c r="Z10" s="34" t="n"/>
      <c r="AA10" s="34" t="n"/>
      <c r="AB10" s="33" t="inlineStr">
        <is>
          <t>BH-05</t>
        </is>
      </c>
      <c r="AC10" s="34" t="n"/>
      <c r="AD10" s="34" t="n"/>
      <c r="AF10" s="15" t="n"/>
    </row>
    <row r="11">
      <c r="B11" s="9" t="n"/>
      <c r="C11" s="35" t="inlineStr"/>
      <c r="D11" s="36" t="n"/>
      <c r="E11" s="36" t="n"/>
      <c r="F11" s="36" t="n"/>
      <c r="G11" s="36" t="n"/>
      <c r="H11" s="36" t="n"/>
      <c r="I11" s="36" t="n"/>
      <c r="J11" s="36" t="n"/>
      <c r="K11" s="36" t="n"/>
      <c r="L11" s="36" t="n"/>
      <c r="M11" s="35" t="inlineStr"/>
      <c r="N11" s="36" t="n"/>
      <c r="O11" s="36" t="n"/>
      <c r="P11" s="35" t="inlineStr">
        <is>
          <t>Wellpad D</t>
        </is>
      </c>
      <c r="Q11" s="36" t="n"/>
      <c r="R11" s="36" t="n"/>
      <c r="S11" s="35" t="inlineStr">
        <is>
          <t>Wellpad A</t>
        </is>
      </c>
      <c r="T11" s="36" t="n"/>
      <c r="U11" s="36" t="n"/>
      <c r="V11" s="35" t="inlineStr">
        <is>
          <t>Log Yard</t>
        </is>
      </c>
      <c r="W11" s="36" t="n"/>
      <c r="X11" s="36" t="n"/>
      <c r="Y11" s="35" t="inlineStr">
        <is>
          <t>Wellpad D</t>
        </is>
      </c>
      <c r="Z11" s="36" t="n"/>
      <c r="AA11" s="36" t="n"/>
      <c r="AB11" s="35" t="inlineStr">
        <is>
          <t>Wellpad A</t>
        </is>
      </c>
      <c r="AC11" s="36" t="n"/>
      <c r="AD11" s="36" t="n"/>
      <c r="AF11" s="15" t="n"/>
    </row>
    <row r="12">
      <c r="B12" s="9" t="n"/>
      <c r="C12" s="51" t="inlineStr">
        <is>
          <t>Silt/clay thickness within 0 - Hb</t>
        </is>
      </c>
      <c r="D12" s="41" t="n"/>
      <c r="E12" s="41" t="n"/>
      <c r="F12" s="41" t="n"/>
      <c r="G12" s="41" t="n"/>
      <c r="H12" s="41" t="n"/>
      <c r="I12" s="41" t="n"/>
      <c r="J12" s="41" t="n"/>
      <c r="K12" s="41" t="n"/>
      <c r="L12" s="41" t="n"/>
      <c r="M12" s="52" t="inlineStr">
        <is>
          <t>m</t>
        </is>
      </c>
      <c r="N12" s="41" t="n"/>
      <c r="O12" s="41" t="n"/>
      <c r="P12" s="53">
        <f>'BH-01'!$AA$86</f>
        <v/>
      </c>
      <c r="Q12" s="41" t="n"/>
      <c r="R12" s="41" t="n"/>
      <c r="S12" s="53">
        <f>'BH-02'!$AA$86</f>
        <v/>
      </c>
      <c r="T12" s="41" t="n"/>
      <c r="U12" s="41" t="n"/>
      <c r="V12" s="53">
        <f>'BH-03'!$AA$86</f>
        <v/>
      </c>
      <c r="W12" s="41" t="n"/>
      <c r="X12" s="41" t="n"/>
      <c r="Y12" s="53">
        <f>'BH-04'!$AA$86</f>
        <v/>
      </c>
      <c r="Z12" s="41" t="n"/>
      <c r="AA12" s="41" t="n"/>
      <c r="AB12" s="53">
        <f>'BH-05'!$AA$86</f>
        <v/>
      </c>
      <c r="AC12" s="41" t="n"/>
      <c r="AD12" s="41" t="n"/>
      <c r="AF12" s="15" t="n"/>
    </row>
    <row r="13">
      <c r="B13" s="9" t="n"/>
      <c r="C13" s="51" t="inlineStr">
        <is>
          <t>Average cu (silt/clay)</t>
        </is>
      </c>
      <c r="D13" s="41" t="n"/>
      <c r="E13" s="41" t="n"/>
      <c r="F13" s="41" t="n"/>
      <c r="G13" s="41" t="n"/>
      <c r="H13" s="41" t="n"/>
      <c r="I13" s="41" t="n"/>
      <c r="J13" s="41" t="n"/>
      <c r="K13" s="41" t="n"/>
      <c r="L13" s="41" t="n"/>
      <c r="M13" s="52" t="inlineStr">
        <is>
          <t>kPa</t>
        </is>
      </c>
      <c r="N13" s="41" t="n"/>
      <c r="O13" s="41" t="n"/>
      <c r="P13" s="53">
        <f>'BH-01'!$AA$87</f>
        <v/>
      </c>
      <c r="Q13" s="41" t="n"/>
      <c r="R13" s="41" t="n"/>
      <c r="S13" s="53">
        <f>'BH-02'!$AA$87</f>
        <v/>
      </c>
      <c r="T13" s="41" t="n"/>
      <c r="U13" s="41" t="n"/>
      <c r="V13" s="53">
        <f>'BH-03'!$AA$87</f>
        <v/>
      </c>
      <c r="W13" s="41" t="n"/>
      <c r="X13" s="41" t="n"/>
      <c r="Y13" s="53">
        <f>'BH-04'!$AA$87</f>
        <v/>
      </c>
      <c r="Z13" s="41" t="n"/>
      <c r="AA13" s="41" t="n"/>
      <c r="AB13" s="53">
        <f>'BH-05'!$AA$87</f>
        <v/>
      </c>
      <c r="AC13" s="41" t="n"/>
      <c r="AD13" s="41" t="n"/>
      <c r="AF13" s="15" t="n"/>
    </row>
    <row r="14">
      <c r="B14" s="9" t="n"/>
      <c r="C14" s="51" t="inlineStr">
        <is>
          <t>Average φ'</t>
        </is>
      </c>
      <c r="D14" s="41" t="n"/>
      <c r="E14" s="41" t="n"/>
      <c r="F14" s="41" t="n"/>
      <c r="G14" s="41" t="n"/>
      <c r="H14" s="41" t="n"/>
      <c r="I14" s="41" t="n"/>
      <c r="J14" s="41" t="n"/>
      <c r="K14" s="41" t="n"/>
      <c r="L14" s="41" t="n"/>
      <c r="M14" s="52" t="inlineStr">
        <is>
          <t>°</t>
        </is>
      </c>
      <c r="N14" s="41" t="n"/>
      <c r="O14" s="41" t="n"/>
      <c r="P14" s="53">
        <f>'BH-01'!$AA$88</f>
        <v/>
      </c>
      <c r="Q14" s="41" t="n"/>
      <c r="R14" s="41" t="n"/>
      <c r="S14" s="53">
        <f>'BH-02'!$AA$88</f>
        <v/>
      </c>
      <c r="T14" s="41" t="n"/>
      <c r="U14" s="41" t="n"/>
      <c r="V14" s="53">
        <f>'BH-03'!$AA$88</f>
        <v/>
      </c>
      <c r="W14" s="41" t="n"/>
      <c r="X14" s="41" t="n"/>
      <c r="Y14" s="53">
        <f>'BH-04'!$AA$88</f>
        <v/>
      </c>
      <c r="Z14" s="41" t="n"/>
      <c r="AA14" s="41" t="n"/>
      <c r="AB14" s="53">
        <f>'BH-05'!$AA$88</f>
        <v/>
      </c>
      <c r="AC14" s="41" t="n"/>
      <c r="AD14" s="41" t="n"/>
      <c r="AF14" s="15" t="n"/>
    </row>
    <row r="15">
      <c r="B15" s="9" t="n"/>
      <c r="C15" s="51" t="inlineStr">
        <is>
          <t>qall - without improvement</t>
        </is>
      </c>
      <c r="D15" s="41" t="n"/>
      <c r="E15" s="41" t="n"/>
      <c r="F15" s="41" t="n"/>
      <c r="G15" s="41" t="n"/>
      <c r="H15" s="41" t="n"/>
      <c r="I15" s="41" t="n"/>
      <c r="J15" s="41" t="n"/>
      <c r="K15" s="41" t="n"/>
      <c r="L15" s="41" t="n"/>
      <c r="M15" s="52" t="inlineStr">
        <is>
          <t>kPa</t>
        </is>
      </c>
      <c r="N15" s="41" t="n"/>
      <c r="O15" s="41" t="n"/>
      <c r="P15" s="54">
        <f>'BH-01'!$AA$97</f>
        <v/>
      </c>
      <c r="Q15" s="41" t="n"/>
      <c r="R15" s="41" t="n"/>
      <c r="S15" s="54">
        <f>'BH-02'!$AA$97</f>
        <v/>
      </c>
      <c r="T15" s="41" t="n"/>
      <c r="U15" s="41" t="n"/>
      <c r="V15" s="54">
        <f>'BH-03'!$AA$97</f>
        <v/>
      </c>
      <c r="W15" s="41" t="n"/>
      <c r="X15" s="41" t="n"/>
      <c r="Y15" s="54">
        <f>'BH-04'!$AA$97</f>
        <v/>
      </c>
      <c r="Z15" s="41" t="n"/>
      <c r="AA15" s="41" t="n"/>
      <c r="AB15" s="54">
        <f>'BH-05'!$AA$97</f>
        <v/>
      </c>
      <c r="AC15" s="41" t="n"/>
      <c r="AD15" s="41" t="n"/>
      <c r="AF15" s="15" t="n"/>
    </row>
    <row r="16">
      <c r="B16" s="9" t="n"/>
      <c r="C16" s="51" t="inlineStr">
        <is>
          <t>FS - without improvement</t>
        </is>
      </c>
      <c r="D16" s="41" t="n"/>
      <c r="E16" s="41" t="n"/>
      <c r="F16" s="41" t="n"/>
      <c r="G16" s="41" t="n"/>
      <c r="H16" s="41" t="n"/>
      <c r="I16" s="41" t="n"/>
      <c r="J16" s="41" t="n"/>
      <c r="K16" s="41" t="n"/>
      <c r="L16" s="41" t="n"/>
      <c r="M16" s="52" t="inlineStr">
        <is>
          <t>-</t>
        </is>
      </c>
      <c r="N16" s="41" t="n"/>
      <c r="O16" s="41" t="n"/>
      <c r="P16" s="55">
        <f>'BH-01'!$AA$99</f>
        <v/>
      </c>
      <c r="Q16" s="41" t="n"/>
      <c r="R16" s="41" t="n"/>
      <c r="S16" s="55">
        <f>'BH-02'!$AA$99</f>
        <v/>
      </c>
      <c r="T16" s="41" t="n"/>
      <c r="U16" s="41" t="n"/>
      <c r="V16" s="55">
        <f>'BH-03'!$AA$99</f>
        <v/>
      </c>
      <c r="W16" s="41" t="n"/>
      <c r="X16" s="41" t="n"/>
      <c r="Y16" s="55">
        <f>'BH-04'!$AA$99</f>
        <v/>
      </c>
      <c r="Z16" s="41" t="n"/>
      <c r="AA16" s="41" t="n"/>
      <c r="AB16" s="55">
        <f>'BH-05'!$AA$99</f>
        <v/>
      </c>
      <c r="AC16" s="41" t="n"/>
      <c r="AD16" s="41" t="n"/>
      <c r="AF16" s="15" t="n"/>
    </row>
    <row r="17">
      <c r="B17" s="9" t="n"/>
      <c r="C17" s="51" t="inlineStr">
        <is>
          <t>Check - without improvement</t>
        </is>
      </c>
      <c r="D17" s="41" t="n"/>
      <c r="E17" s="41" t="n"/>
      <c r="F17" s="41" t="n"/>
      <c r="G17" s="41" t="n"/>
      <c r="H17" s="41" t="n"/>
      <c r="I17" s="41" t="n"/>
      <c r="J17" s="41" t="n"/>
      <c r="K17" s="41" t="n"/>
      <c r="L17" s="41" t="n"/>
      <c r="M17" s="52" t="inlineStr"/>
      <c r="N17" s="41" t="n"/>
      <c r="O17" s="41" t="n"/>
      <c r="P17" s="56">
        <f>'BH-01'!$X$101</f>
        <v/>
      </c>
      <c r="Q17" s="41" t="n"/>
      <c r="R17" s="41" t="n"/>
      <c r="S17" s="56">
        <f>'BH-02'!$X$101</f>
        <v/>
      </c>
      <c r="T17" s="41" t="n"/>
      <c r="U17" s="41" t="n"/>
      <c r="V17" s="56">
        <f>'BH-03'!$X$101</f>
        <v/>
      </c>
      <c r="W17" s="41" t="n"/>
      <c r="X17" s="41" t="n"/>
      <c r="Y17" s="56">
        <f>'BH-04'!$X$101</f>
        <v/>
      </c>
      <c r="Z17" s="41" t="n"/>
      <c r="AA17" s="41" t="n"/>
      <c r="AB17" s="56">
        <f>'BH-05'!$X$101</f>
        <v/>
      </c>
      <c r="AC17" s="41" t="n"/>
      <c r="AD17" s="41" t="n"/>
      <c r="AF17" s="15" t="n"/>
    </row>
    <row r="18">
      <c r="B18" s="9" t="n"/>
      <c r="C18" s="51" t="inlineStr">
        <is>
          <t>Replacement depth Dr</t>
        </is>
      </c>
      <c r="D18" s="41" t="n"/>
      <c r="E18" s="41" t="n"/>
      <c r="F18" s="41" t="n"/>
      <c r="G18" s="41" t="n"/>
      <c r="H18" s="41" t="n"/>
      <c r="I18" s="41" t="n"/>
      <c r="J18" s="41" t="n"/>
      <c r="K18" s="41" t="n"/>
      <c r="L18" s="41" t="n"/>
      <c r="M18" s="52" t="inlineStr">
        <is>
          <t>m</t>
        </is>
      </c>
      <c r="N18" s="41" t="n"/>
      <c r="O18" s="41" t="n"/>
      <c r="P18" s="53">
        <f>'BH-01'!$AA$22</f>
        <v/>
      </c>
      <c r="Q18" s="41" t="n"/>
      <c r="R18" s="41" t="n"/>
      <c r="S18" s="53">
        <f>'BH-02'!$AA$22</f>
        <v/>
      </c>
      <c r="T18" s="41" t="n"/>
      <c r="U18" s="41" t="n"/>
      <c r="V18" s="53">
        <f>'BH-03'!$AA$22</f>
        <v/>
      </c>
      <c r="W18" s="41" t="n"/>
      <c r="X18" s="41" t="n"/>
      <c r="Y18" s="53">
        <f>'BH-04'!$AA$22</f>
        <v/>
      </c>
      <c r="Z18" s="41" t="n"/>
      <c r="AA18" s="41" t="n"/>
      <c r="AB18" s="53">
        <f>'BH-05'!$AA$22</f>
        <v/>
      </c>
      <c r="AC18" s="41" t="n"/>
      <c r="AD18" s="41" t="n"/>
      <c r="AF18" s="15" t="n"/>
    </row>
    <row r="19">
      <c r="B19" s="9" t="n"/>
      <c r="C19" s="51" t="inlineStr">
        <is>
          <t>qall - design condition</t>
        </is>
      </c>
      <c r="D19" s="41" t="n"/>
      <c r="E19" s="41" t="n"/>
      <c r="F19" s="41" t="n"/>
      <c r="G19" s="41" t="n"/>
      <c r="H19" s="41" t="n"/>
      <c r="I19" s="41" t="n"/>
      <c r="J19" s="41" t="n"/>
      <c r="K19" s="41" t="n"/>
      <c r="L19" s="41" t="n"/>
      <c r="M19" s="52" t="inlineStr">
        <is>
          <t>kPa</t>
        </is>
      </c>
      <c r="N19" s="41" t="n"/>
      <c r="O19" s="41" t="n"/>
      <c r="P19" s="54">
        <f>'BH-01'!$AA$115</f>
        <v/>
      </c>
      <c r="Q19" s="41" t="n"/>
      <c r="R19" s="41" t="n"/>
      <c r="S19" s="54">
        <f>'BH-02'!$AA$115</f>
        <v/>
      </c>
      <c r="T19" s="41" t="n"/>
      <c r="U19" s="41" t="n"/>
      <c r="V19" s="54">
        <f>'BH-03'!$AA$115</f>
        <v/>
      </c>
      <c r="W19" s="41" t="n"/>
      <c r="X19" s="41" t="n"/>
      <c r="Y19" s="54">
        <f>'BH-04'!$AA$115</f>
        <v/>
      </c>
      <c r="Z19" s="41" t="n"/>
      <c r="AA19" s="41" t="n"/>
      <c r="AB19" s="54">
        <f>'BH-05'!$AA$115</f>
        <v/>
      </c>
      <c r="AC19" s="41" t="n"/>
      <c r="AD19" s="41" t="n"/>
      <c r="AF19" s="15" t="n"/>
    </row>
    <row r="20">
      <c r="B20" s="9" t="n"/>
      <c r="C20" s="51" t="inlineStr">
        <is>
          <t>FS - design condition</t>
        </is>
      </c>
      <c r="D20" s="41" t="n"/>
      <c r="E20" s="41" t="n"/>
      <c r="F20" s="41" t="n"/>
      <c r="G20" s="41" t="n"/>
      <c r="H20" s="41" t="n"/>
      <c r="I20" s="41" t="n"/>
      <c r="J20" s="41" t="n"/>
      <c r="K20" s="41" t="n"/>
      <c r="L20" s="41" t="n"/>
      <c r="M20" s="52" t="inlineStr">
        <is>
          <t>-</t>
        </is>
      </c>
      <c r="N20" s="41" t="n"/>
      <c r="O20" s="41" t="n"/>
      <c r="P20" s="55">
        <f>'BH-01'!$AA$117</f>
        <v/>
      </c>
      <c r="Q20" s="41" t="n"/>
      <c r="R20" s="41" t="n"/>
      <c r="S20" s="55">
        <f>'BH-02'!$AA$117</f>
        <v/>
      </c>
      <c r="T20" s="41" t="n"/>
      <c r="U20" s="41" t="n"/>
      <c r="V20" s="55">
        <f>'BH-03'!$AA$117</f>
        <v/>
      </c>
      <c r="W20" s="41" t="n"/>
      <c r="X20" s="41" t="n"/>
      <c r="Y20" s="55">
        <f>'BH-04'!$AA$117</f>
        <v/>
      </c>
      <c r="Z20" s="41" t="n"/>
      <c r="AA20" s="41" t="n"/>
      <c r="AB20" s="55">
        <f>'BH-05'!$AA$117</f>
        <v/>
      </c>
      <c r="AC20" s="41" t="n"/>
      <c r="AD20" s="41" t="n"/>
      <c r="AF20" s="15" t="n"/>
    </row>
    <row r="21">
      <c r="B21" s="9" t="n"/>
      <c r="C21" s="51" t="inlineStr">
        <is>
          <t>Check - design condition</t>
        </is>
      </c>
      <c r="D21" s="41" t="n"/>
      <c r="E21" s="41" t="n"/>
      <c r="F21" s="41" t="n"/>
      <c r="G21" s="41" t="n"/>
      <c r="H21" s="41" t="n"/>
      <c r="I21" s="41" t="n"/>
      <c r="J21" s="41" t="n"/>
      <c r="K21" s="41" t="n"/>
      <c r="L21" s="41" t="n"/>
      <c r="M21" s="52" t="inlineStr"/>
      <c r="N21" s="41" t="n"/>
      <c r="O21" s="41" t="n"/>
      <c r="P21" s="56">
        <f>'BH-01'!$X$119</f>
        <v/>
      </c>
      <c r="Q21" s="41" t="n"/>
      <c r="R21" s="41" t="n"/>
      <c r="S21" s="56">
        <f>'BH-02'!$X$119</f>
        <v/>
      </c>
      <c r="T21" s="41" t="n"/>
      <c r="U21" s="41" t="n"/>
      <c r="V21" s="56">
        <f>'BH-03'!$X$119</f>
        <v/>
      </c>
      <c r="W21" s="41" t="n"/>
      <c r="X21" s="41" t="n"/>
      <c r="Y21" s="56">
        <f>'BH-04'!$X$119</f>
        <v/>
      </c>
      <c r="Z21" s="41" t="n"/>
      <c r="AA21" s="41" t="n"/>
      <c r="AB21" s="56">
        <f>'BH-05'!$X$119</f>
        <v/>
      </c>
      <c r="AC21" s="41" t="n"/>
      <c r="AD21" s="41" t="n"/>
      <c r="AF21" s="15" t="n"/>
    </row>
    <row r="22">
      <c r="B22" s="9" t="n"/>
      <c r="C22" s="51" t="inlineStr">
        <is>
          <t>Allowable fill height (design)</t>
        </is>
      </c>
      <c r="D22" s="41" t="n"/>
      <c r="E22" s="41" t="n"/>
      <c r="F22" s="41" t="n"/>
      <c r="G22" s="41" t="n"/>
      <c r="H22" s="41" t="n"/>
      <c r="I22" s="41" t="n"/>
      <c r="J22" s="41" t="n"/>
      <c r="K22" s="41" t="n"/>
      <c r="L22" s="41" t="n"/>
      <c r="M22" s="52" t="inlineStr">
        <is>
          <t>m</t>
        </is>
      </c>
      <c r="N22" s="41" t="n"/>
      <c r="O22" s="41" t="n"/>
      <c r="P22" s="53">
        <f>'BH-01'!$AA$118</f>
        <v/>
      </c>
      <c r="Q22" s="41" t="n"/>
      <c r="R22" s="41" t="n"/>
      <c r="S22" s="53">
        <f>'BH-02'!$AA$118</f>
        <v/>
      </c>
      <c r="T22" s="41" t="n"/>
      <c r="U22" s="41" t="n"/>
      <c r="V22" s="53">
        <f>'BH-03'!$AA$118</f>
        <v/>
      </c>
      <c r="W22" s="41" t="n"/>
      <c r="X22" s="41" t="n"/>
      <c r="Y22" s="53">
        <f>'BH-04'!$AA$118</f>
        <v/>
      </c>
      <c r="Z22" s="41" t="n"/>
      <c r="AA22" s="41" t="n"/>
      <c r="AB22" s="53">
        <f>'BH-05'!$AA$118</f>
        <v/>
      </c>
      <c r="AC22" s="41" t="n"/>
      <c r="AD22" s="41" t="n"/>
      <c r="AF22" s="15" t="n"/>
    </row>
    <row r="23">
      <c r="B23" s="9" t="n"/>
      <c r="C23" s="51" t="inlineStr">
        <is>
          <t>qa for 25 mm (granular soil)</t>
        </is>
      </c>
      <c r="D23" s="41" t="n"/>
      <c r="E23" s="41" t="n"/>
      <c r="F23" s="41" t="n"/>
      <c r="G23" s="41" t="n"/>
      <c r="H23" s="41" t="n"/>
      <c r="I23" s="41" t="n"/>
      <c r="J23" s="41" t="n"/>
      <c r="K23" s="41" t="n"/>
      <c r="L23" s="41" t="n"/>
      <c r="M23" s="52" t="inlineStr">
        <is>
          <t>kPa</t>
        </is>
      </c>
      <c r="N23" s="41" t="n"/>
      <c r="O23" s="41" t="n"/>
      <c r="P23" s="57">
        <f>'BH-01'!$AA$123</f>
        <v/>
      </c>
      <c r="Q23" s="41" t="n"/>
      <c r="R23" s="41" t="n"/>
      <c r="S23" s="57">
        <f>'BH-02'!$AA$123</f>
        <v/>
      </c>
      <c r="T23" s="41" t="n"/>
      <c r="U23" s="41" t="n"/>
      <c r="V23" s="57">
        <f>'BH-03'!$AA$123</f>
        <v/>
      </c>
      <c r="W23" s="41" t="n"/>
      <c r="X23" s="41" t="n"/>
      <c r="Y23" s="57">
        <f>'BH-04'!$AA$123</f>
        <v/>
      </c>
      <c r="Z23" s="41" t="n"/>
      <c r="AA23" s="41" t="n"/>
      <c r="AB23" s="57">
        <f>'BH-05'!$AA$123</f>
        <v/>
      </c>
      <c r="AC23" s="41" t="n"/>
      <c r="AD23" s="41" t="n"/>
      <c r="AF23" s="15" t="n"/>
    </row>
    <row r="24">
      <c r="B24" s="9" t="n"/>
      <c r="C24" s="51" t="inlineStr">
        <is>
          <t>Immediate settlement Si</t>
        </is>
      </c>
      <c r="D24" s="41" t="n"/>
      <c r="E24" s="41" t="n"/>
      <c r="F24" s="41" t="n"/>
      <c r="G24" s="41" t="n"/>
      <c r="H24" s="41" t="n"/>
      <c r="I24" s="41" t="n"/>
      <c r="J24" s="41" t="n"/>
      <c r="K24" s="41" t="n"/>
      <c r="L24" s="41" t="n"/>
      <c r="M24" s="52" t="inlineStr">
        <is>
          <t>mm</t>
        </is>
      </c>
      <c r="N24" s="41" t="n"/>
      <c r="O24" s="41" t="n"/>
      <c r="P24" s="53">
        <f>'BH-01'!$AA$201</f>
        <v/>
      </c>
      <c r="Q24" s="41" t="n"/>
      <c r="R24" s="41" t="n"/>
      <c r="S24" s="53">
        <f>'BH-02'!$AA$201</f>
        <v/>
      </c>
      <c r="T24" s="41" t="n"/>
      <c r="U24" s="41" t="n"/>
      <c r="V24" s="53">
        <f>'BH-03'!$AA$201</f>
        <v/>
      </c>
      <c r="W24" s="41" t="n"/>
      <c r="X24" s="41" t="n"/>
      <c r="Y24" s="53">
        <f>'BH-04'!$AA$201</f>
        <v/>
      </c>
      <c r="Z24" s="41" t="n"/>
      <c r="AA24" s="41" t="n"/>
      <c r="AB24" s="53">
        <f>'BH-05'!$AA$201</f>
        <v/>
      </c>
      <c r="AC24" s="41" t="n"/>
      <c r="AD24" s="41" t="n"/>
      <c r="AF24" s="15" t="n"/>
    </row>
    <row r="25">
      <c r="B25" s="9" t="n"/>
      <c r="C25" s="51" t="inlineStr">
        <is>
          <t>Sand settlement - B&amp;B check</t>
        </is>
      </c>
      <c r="D25" s="41" t="n"/>
      <c r="E25" s="41" t="n"/>
      <c r="F25" s="41" t="n"/>
      <c r="G25" s="41" t="n"/>
      <c r="H25" s="41" t="n"/>
      <c r="I25" s="41" t="n"/>
      <c r="J25" s="41" t="n"/>
      <c r="K25" s="41" t="n"/>
      <c r="L25" s="41" t="n"/>
      <c r="M25" s="52" t="inlineStr">
        <is>
          <t>mm</t>
        </is>
      </c>
      <c r="N25" s="41" t="n"/>
      <c r="O25" s="41" t="n"/>
      <c r="P25" s="53">
        <f>'BH-01'!$AA$229</f>
        <v/>
      </c>
      <c r="Q25" s="41" t="n"/>
      <c r="R25" s="41" t="n"/>
      <c r="S25" s="53">
        <f>'BH-02'!$AA$229</f>
        <v/>
      </c>
      <c r="T25" s="41" t="n"/>
      <c r="U25" s="41" t="n"/>
      <c r="V25" s="53">
        <f>'BH-03'!$AA$229</f>
        <v/>
      </c>
      <c r="W25" s="41" t="n"/>
      <c r="X25" s="41" t="n"/>
      <c r="Y25" s="53">
        <f>'BH-04'!$AA$229</f>
        <v/>
      </c>
      <c r="Z25" s="41" t="n"/>
      <c r="AA25" s="41" t="n"/>
      <c r="AB25" s="53">
        <f>'BH-05'!$AA$229</f>
        <v/>
      </c>
      <c r="AC25" s="41" t="n"/>
      <c r="AD25" s="41" t="n"/>
      <c r="AF25" s="15" t="n"/>
    </row>
    <row r="26">
      <c r="B26" s="9" t="n"/>
      <c r="C26" s="51" t="inlineStr">
        <is>
          <t>Consolidation settlement Sc</t>
        </is>
      </c>
      <c r="D26" s="41" t="n"/>
      <c r="E26" s="41" t="n"/>
      <c r="F26" s="41" t="n"/>
      <c r="G26" s="41" t="n"/>
      <c r="H26" s="41" t="n"/>
      <c r="I26" s="41" t="n"/>
      <c r="J26" s="41" t="n"/>
      <c r="K26" s="41" t="n"/>
      <c r="L26" s="41" t="n"/>
      <c r="M26" s="52" t="inlineStr">
        <is>
          <t>mm</t>
        </is>
      </c>
      <c r="N26" s="41" t="n"/>
      <c r="O26" s="41" t="n"/>
      <c r="P26" s="53">
        <f>'BH-01'!$AA$280</f>
        <v/>
      </c>
      <c r="Q26" s="41" t="n"/>
      <c r="R26" s="41" t="n"/>
      <c r="S26" s="53">
        <f>'BH-02'!$AA$280</f>
        <v/>
      </c>
      <c r="T26" s="41" t="n"/>
      <c r="U26" s="41" t="n"/>
      <c r="V26" s="53">
        <f>'BH-03'!$AA$280</f>
        <v/>
      </c>
      <c r="W26" s="41" t="n"/>
      <c r="X26" s="41" t="n"/>
      <c r="Y26" s="53">
        <f>'BH-04'!$AA$280</f>
        <v/>
      </c>
      <c r="Z26" s="41" t="n"/>
      <c r="AA26" s="41" t="n"/>
      <c r="AB26" s="53">
        <f>'BH-05'!$AA$280</f>
        <v/>
      </c>
      <c r="AC26" s="41" t="n"/>
      <c r="AD26" s="41" t="n"/>
      <c r="AF26" s="15" t="n"/>
    </row>
    <row r="27">
      <c r="B27" s="9" t="n"/>
      <c r="C27" s="51" t="inlineStr">
        <is>
          <t>Time for 90 % consolidation</t>
        </is>
      </c>
      <c r="D27" s="41" t="n"/>
      <c r="E27" s="41" t="n"/>
      <c r="F27" s="41" t="n"/>
      <c r="G27" s="41" t="n"/>
      <c r="H27" s="41" t="n"/>
      <c r="I27" s="41" t="n"/>
      <c r="J27" s="41" t="n"/>
      <c r="K27" s="41" t="n"/>
      <c r="L27" s="41" t="n"/>
      <c r="M27" s="52" t="inlineStr">
        <is>
          <t>year</t>
        </is>
      </c>
      <c r="N27" s="41" t="n"/>
      <c r="O27" s="41" t="n"/>
      <c r="P27" s="55">
        <f>'BH-01'!$AA$281</f>
        <v/>
      </c>
      <c r="Q27" s="41" t="n"/>
      <c r="R27" s="41" t="n"/>
      <c r="S27" s="55">
        <f>'BH-02'!$AA$281</f>
        <v/>
      </c>
      <c r="T27" s="41" t="n"/>
      <c r="U27" s="41" t="n"/>
      <c r="V27" s="55">
        <f>'BH-03'!$AA$281</f>
        <v/>
      </c>
      <c r="W27" s="41" t="n"/>
      <c r="X27" s="41" t="n"/>
      <c r="Y27" s="55">
        <f>'BH-04'!$AA$281</f>
        <v/>
      </c>
      <c r="Z27" s="41" t="n"/>
      <c r="AA27" s="41" t="n"/>
      <c r="AB27" s="55">
        <f>'BH-05'!$AA$281</f>
        <v/>
      </c>
      <c r="AC27" s="41" t="n"/>
      <c r="AD27" s="41" t="n"/>
      <c r="AF27" s="15" t="n"/>
    </row>
    <row r="28">
      <c r="B28" s="9" t="n"/>
      <c r="C28" s="58" t="inlineStr">
        <is>
          <t>Total settlement S = Si + Sc</t>
        </is>
      </c>
      <c r="D28" s="46" t="n"/>
      <c r="E28" s="46" t="n"/>
      <c r="F28" s="46" t="n"/>
      <c r="G28" s="46" t="n"/>
      <c r="H28" s="46" t="n"/>
      <c r="I28" s="46" t="n"/>
      <c r="J28" s="46" t="n"/>
      <c r="K28" s="46" t="n"/>
      <c r="L28" s="46" t="n"/>
      <c r="M28" s="59" t="inlineStr">
        <is>
          <t>mm</t>
        </is>
      </c>
      <c r="N28" s="46" t="n"/>
      <c r="O28" s="46" t="n"/>
      <c r="P28" s="60">
        <f>'BH-01'!$AA$305</f>
        <v/>
      </c>
      <c r="Q28" s="46" t="n"/>
      <c r="R28" s="46" t="n"/>
      <c r="S28" s="60">
        <f>'BH-02'!$AA$305</f>
        <v/>
      </c>
      <c r="T28" s="46" t="n"/>
      <c r="U28" s="46" t="n"/>
      <c r="V28" s="60">
        <f>'BH-03'!$AA$305</f>
        <v/>
      </c>
      <c r="W28" s="46" t="n"/>
      <c r="X28" s="46" t="n"/>
      <c r="Y28" s="60">
        <f>'BH-04'!$AA$305</f>
        <v/>
      </c>
      <c r="Z28" s="46" t="n"/>
      <c r="AA28" s="46" t="n"/>
      <c r="AB28" s="60">
        <f>'BH-05'!$AA$305</f>
        <v/>
      </c>
      <c r="AC28" s="46" t="n"/>
      <c r="AD28" s="46" t="n"/>
      <c r="AF28" s="15" t="n"/>
    </row>
    <row r="29">
      <c r="B29" s="9" t="n"/>
      <c r="AF29" s="15" t="n"/>
    </row>
    <row r="30">
      <c r="B30" s="9" t="n"/>
      <c r="C30" s="11" t="inlineStr">
        <is>
          <t>NOTES</t>
        </is>
      </c>
      <c r="AF30" s="15" t="n"/>
    </row>
    <row r="31">
      <c r="B31" s="9" t="n"/>
      <c r="C31" s="24" t="inlineStr">
        <is>
          <t>1. Bearing capacity: undrained (cu·Nc) where silt/clay exists within 0 - Hb; drained (Vesic) for granular soil.</t>
        </is>
      </c>
      <c r="AF31" s="15" t="n"/>
    </row>
    <row r="32">
      <c r="B32" s="9" t="n"/>
      <c r="C32" s="24" t="inlineStr">
        <is>
          <t xml:space="preserve">    For a wide loaded area the Nγ term gives a very large drained capacity, i.e. shear failure does not govern;</t>
        </is>
      </c>
      <c r="AF32" s="15" t="n"/>
    </row>
    <row r="33">
      <c r="B33" s="9" t="n"/>
      <c r="C33" s="24" t="inlineStr">
        <is>
          <t xml:space="preserve">    settlement governs the design.</t>
        </is>
      </c>
      <c r="AF33" s="15" t="n"/>
    </row>
    <row r="34">
      <c r="B34" s="9" t="n"/>
      <c r="C34" s="24" t="inlineStr">
        <is>
          <t>2. Granular soil: (a) drained bearing capacity with φ' from N-SPT; (b) allowable pressure for 25 mm settlement</t>
        </is>
      </c>
      <c r="AF34" s="15" t="n"/>
    </row>
    <row r="35">
      <c r="B35" s="9" t="n"/>
      <c r="C35" s="24" t="inlineStr">
        <is>
          <t xml:space="preserve">    (Meyerhof/Bowles); (c) immediate settlement by the layered elastic method (upper bound, constant E) and by</t>
        </is>
      </c>
      <c r="AF35" s="15" t="n"/>
    </row>
    <row r="36">
      <c r="B36" s="9" t="n"/>
      <c r="C36" s="24" t="inlineStr">
        <is>
          <t xml:space="preserve">    Burland &amp; Burbidge (empirical, more realistic for sand); (d) no primary consolidation in sand; (e) loose</t>
        </is>
      </c>
      <c r="AF36" s="15" t="n"/>
    </row>
    <row r="37">
      <c r="B37" s="9" t="n"/>
      <c r="C37" s="24" t="inlineStr">
        <is>
          <t xml:space="preserve">    saturated sand: add post-liquefaction settlement for the seismic case.</t>
        </is>
      </c>
      <c r="AF37" s="15" t="n"/>
    </row>
    <row r="38">
      <c r="B38" s="9" t="n"/>
      <c r="C38" s="24" t="inlineStr">
        <is>
          <t>3. The loaded area B × L (Input sheet) is an assumption (40 m × 60 m). Settlement is sensitive to the loaded</t>
        </is>
      </c>
      <c r="AF38" s="15" t="n"/>
    </row>
    <row r="39">
      <c r="B39" s="9" t="n"/>
      <c r="C39" s="24" t="inlineStr">
        <is>
          <t xml:space="preserve">    area.</t>
        </is>
      </c>
      <c r="AF39" s="15" t="n"/>
    </row>
    <row r="40">
      <c r="B40" s="9" t="n"/>
      <c r="C40" s="24" t="inlineStr">
        <is>
          <t>4. Post-liquefaction settlement (liquefaction report, Table 5.4): BH-01 289, BH-02 383, BH-03 227, BH-04 159,</t>
        </is>
      </c>
      <c r="AF40" s="15" t="n"/>
    </row>
    <row r="41">
      <c r="B41" s="9" t="n"/>
      <c r="C41" s="24" t="inlineStr">
        <is>
          <t xml:space="preserve">    BH-05 100 mm - assessed separately.</t>
        </is>
      </c>
      <c r="AF41" s="15" t="n"/>
    </row>
    <row r="42">
      <c r="B42" s="9" t="n"/>
      <c r="C42" s="24" t="inlineStr">
        <is>
          <t>5. BH-01 at 1.5 m: SPT log = clay N 5, liquefaction report/laboratory = sand SP N 12. The SPT log is used</t>
        </is>
      </c>
      <c r="AF42" s="15" t="n"/>
    </row>
    <row r="43">
      <c r="B43" s="9" t="n"/>
      <c r="C43" s="24" t="inlineStr">
        <is>
          <t xml:space="preserve">    (conservative).</t>
        </is>
      </c>
      <c r="AF43" s="15" t="n"/>
    </row>
    <row r="44">
      <c r="B44" s="9" t="n"/>
      <c r="C44" s="24" t="inlineStr">
        <is>
          <t>6. BH-01 and BH-04: soft silt/clay 0 - 3 m does not satisfy the bearing capacity; replacement of 3 m with</t>
        </is>
      </c>
      <c r="AF44" s="15" t="n"/>
    </row>
    <row r="45">
      <c r="B45" s="9" t="n"/>
      <c r="C45" s="24" t="inlineStr">
        <is>
          <t xml:space="preserve">    compacted granular fill is applied.</t>
        </is>
      </c>
      <c r="AF45" s="15" t="n"/>
    </row>
    <row r="46">
      <c r="B46" s="9" t="n"/>
      <c r="AF46" s="15" t="n"/>
    </row>
    <row r="47">
      <c r="B47" s="9" t="n"/>
      <c r="AF47" s="15" t="n"/>
    </row>
    <row r="48">
      <c r="B48" s="9" t="n"/>
      <c r="AF48" s="15" t="n"/>
    </row>
    <row r="49">
      <c r="B49" s="9" t="n"/>
      <c r="AF49" s="15" t="n"/>
    </row>
    <row r="50">
      <c r="B50" s="9" t="n"/>
      <c r="AF50" s="15" t="n"/>
    </row>
    <row r="51">
      <c r="B51" s="9" t="n"/>
      <c r="AF51" s="15" t="n"/>
    </row>
    <row r="52">
      <c r="B52" s="9" t="n"/>
      <c r="AF52" s="15" t="n"/>
    </row>
    <row r="53">
      <c r="B53" s="9" t="n"/>
      <c r="AF53" s="15" t="n"/>
    </row>
    <row r="54">
      <c r="B54" s="9" t="n"/>
      <c r="AF54" s="15" t="n"/>
    </row>
    <row r="55">
      <c r="B55" s="9" t="n"/>
      <c r="AF55" s="15" t="n"/>
    </row>
    <row r="56">
      <c r="B56" s="9" t="n"/>
      <c r="AF56" s="15" t="n"/>
    </row>
    <row r="57">
      <c r="B57" s="9" t="n"/>
      <c r="AF57" s="15" t="n"/>
    </row>
    <row r="58">
      <c r="B58" s="9" t="n"/>
      <c r="AF58" s="15" t="n"/>
    </row>
    <row r="59">
      <c r="B59" s="9" t="n"/>
      <c r="AF59" s="15" t="n"/>
    </row>
    <row r="60">
      <c r="B60" s="9" t="n"/>
      <c r="AF60" s="15" t="n"/>
    </row>
    <row r="61">
      <c r="B61" s="9" t="n"/>
      <c r="AF61" s="15" t="n"/>
    </row>
    <row r="62">
      <c r="B62" s="9" t="n"/>
      <c r="AF62" s="15" t="n"/>
    </row>
    <row r="63">
      <c r="B63" s="9" t="n"/>
      <c r="AF63" s="15" t="n"/>
    </row>
    <row r="64">
      <c r="B64" s="9" t="n"/>
      <c r="AF64" s="15" t="n"/>
    </row>
    <row r="65">
      <c r="B65" s="9" t="n"/>
      <c r="AF65" s="15" t="n"/>
    </row>
    <row r="66">
      <c r="B66" s="9" t="n"/>
      <c r="AF66" s="15" t="n"/>
    </row>
    <row r="67">
      <c r="B67" s="9" t="n"/>
      <c r="AF67" s="15" t="n"/>
    </row>
    <row r="68">
      <c r="B68" s="9" t="n"/>
      <c r="AF68" s="15" t="n"/>
    </row>
    <row r="69">
      <c r="B69" s="9" t="n"/>
      <c r="AF69" s="15" t="n"/>
    </row>
    <row r="70">
      <c r="B70" s="9" t="n"/>
      <c r="AF70" s="15" t="n"/>
    </row>
    <row r="71">
      <c r="B71" s="9" t="n"/>
      <c r="AF71" s="15" t="n"/>
    </row>
    <row r="72">
      <c r="B72" s="9" t="n"/>
      <c r="AF72" s="15" t="n"/>
    </row>
    <row r="73">
      <c r="B73" s="47" t="n"/>
      <c r="C73" s="48" t="n"/>
      <c r="D73" s="48" t="n"/>
      <c r="E73" s="48" t="n"/>
      <c r="F73" s="48" t="n"/>
      <c r="G73" s="48" t="n"/>
      <c r="H73" s="48" t="n"/>
      <c r="I73" s="48" t="n"/>
      <c r="J73" s="48" t="n"/>
      <c r="K73" s="48" t="n"/>
      <c r="L73" s="48" t="n"/>
      <c r="M73" s="48" t="n"/>
      <c r="N73" s="48" t="n"/>
      <c r="O73" s="48" t="n"/>
      <c r="P73" s="48" t="n"/>
      <c r="Q73" s="48" t="n"/>
      <c r="R73" s="48" t="n"/>
      <c r="S73" s="48" t="n"/>
      <c r="T73" s="48" t="n"/>
      <c r="U73" s="48" t="n"/>
      <c r="V73" s="48" t="n"/>
      <c r="W73" s="48" t="n"/>
      <c r="X73" s="49" t="inlineStr">
        <is>
          <t>Sheet :</t>
        </is>
      </c>
      <c r="Y73" s="48" t="n"/>
      <c r="Z73" s="48" t="n"/>
      <c r="AA73" s="48" t="n"/>
      <c r="AB73" s="49" t="n">
        <v>1</v>
      </c>
      <c r="AC73" s="48" t="n"/>
      <c r="AD73" s="48" t="n"/>
      <c r="AE73" s="48" t="n"/>
      <c r="AF73" s="50" t="n"/>
    </row>
  </sheetData>
  <mergeCells count="169">
    <mergeCell ref="AB25:AD25"/>
    <mergeCell ref="V10:X10"/>
    <mergeCell ref="Y11:AA11"/>
    <mergeCell ref="S14:U14"/>
    <mergeCell ref="C23:L23"/>
    <mergeCell ref="V24:X24"/>
    <mergeCell ref="P27:R27"/>
    <mergeCell ref="S23:U23"/>
    <mergeCell ref="AB27:AD27"/>
    <mergeCell ref="C5:G5"/>
    <mergeCell ref="S13:U13"/>
    <mergeCell ref="P17:R17"/>
    <mergeCell ref="Y26:AA26"/>
    <mergeCell ref="M12:O12"/>
    <mergeCell ref="M21:O21"/>
    <mergeCell ref="C33:AE33"/>
    <mergeCell ref="AB11:AD11"/>
    <mergeCell ref="C4:G4"/>
    <mergeCell ref="S15:U15"/>
    <mergeCell ref="AB3:AE3"/>
    <mergeCell ref="C18:L18"/>
    <mergeCell ref="P19:R19"/>
    <mergeCell ref="Y13:AA13"/>
    <mergeCell ref="S24:U24"/>
    <mergeCell ref="P28:R28"/>
    <mergeCell ref="X2:AA2"/>
    <mergeCell ref="C35:AE35"/>
    <mergeCell ref="P12:R12"/>
    <mergeCell ref="M24:O24"/>
    <mergeCell ref="AB5:AE5"/>
    <mergeCell ref="V22:X22"/>
    <mergeCell ref="P14:R14"/>
    <mergeCell ref="AB4:AE4"/>
    <mergeCell ref="V12:X12"/>
    <mergeCell ref="C20:L20"/>
    <mergeCell ref="V21:X21"/>
    <mergeCell ref="S25:U25"/>
    <mergeCell ref="AB15:AD15"/>
    <mergeCell ref="C36:AE36"/>
    <mergeCell ref="AB24:AD24"/>
    <mergeCell ref="V14:X14"/>
    <mergeCell ref="C22:L22"/>
    <mergeCell ref="S27:U27"/>
    <mergeCell ref="V23:X23"/>
    <mergeCell ref="V13:X13"/>
    <mergeCell ref="C12:L12"/>
    <mergeCell ref="S17:U17"/>
    <mergeCell ref="S11:U11"/>
    <mergeCell ref="M20:O20"/>
    <mergeCell ref="M11:O11"/>
    <mergeCell ref="Y20:AA20"/>
    <mergeCell ref="C37:AE37"/>
    <mergeCell ref="Y14:AA14"/>
    <mergeCell ref="M22:O22"/>
    <mergeCell ref="S28:U28"/>
    <mergeCell ref="H3:W3"/>
    <mergeCell ref="C30:AE30"/>
    <mergeCell ref="Y22:AA22"/>
    <mergeCell ref="M15:O15"/>
    <mergeCell ref="P16:R16"/>
    <mergeCell ref="M28:O28"/>
    <mergeCell ref="C13:L13"/>
    <mergeCell ref="H5:W5"/>
    <mergeCell ref="V27:X27"/>
    <mergeCell ref="Y28:AA28"/>
    <mergeCell ref="AB17:AD17"/>
    <mergeCell ref="P18:R18"/>
    <mergeCell ref="AB73:AE73"/>
    <mergeCell ref="Y12:AA12"/>
    <mergeCell ref="C15:L15"/>
    <mergeCell ref="M26:O26"/>
    <mergeCell ref="C24:L24"/>
    <mergeCell ref="V25:X25"/>
    <mergeCell ref="M14:O14"/>
    <mergeCell ref="C41:AE41"/>
    <mergeCell ref="AB19:AD19"/>
    <mergeCell ref="M23:O23"/>
    <mergeCell ref="AB28:AD28"/>
    <mergeCell ref="Y23:AA23"/>
    <mergeCell ref="C26:L26"/>
    <mergeCell ref="S26:U26"/>
    <mergeCell ref="C43:AE43"/>
    <mergeCell ref="C10:L10"/>
    <mergeCell ref="C16:L16"/>
    <mergeCell ref="V17:X17"/>
    <mergeCell ref="P20:R20"/>
    <mergeCell ref="S16:U16"/>
    <mergeCell ref="C25:L25"/>
    <mergeCell ref="AB20:AD20"/>
    <mergeCell ref="X3:AA3"/>
    <mergeCell ref="AB14:AD14"/>
    <mergeCell ref="Y24:AA24"/>
    <mergeCell ref="C8:AE8"/>
    <mergeCell ref="P22:R22"/>
    <mergeCell ref="S18:U18"/>
    <mergeCell ref="V20:X20"/>
    <mergeCell ref="H2:W2"/>
    <mergeCell ref="X5:AA5"/>
    <mergeCell ref="C11:L11"/>
    <mergeCell ref="P21:R21"/>
    <mergeCell ref="Y10:AA10"/>
    <mergeCell ref="X4:AA4"/>
    <mergeCell ref="Y19:AA19"/>
    <mergeCell ref="P23:R23"/>
    <mergeCell ref="M25:O25"/>
    <mergeCell ref="Y17:AA17"/>
    <mergeCell ref="V15:X15"/>
    <mergeCell ref="Y25:AA25"/>
    <mergeCell ref="C28:L28"/>
    <mergeCell ref="C45:AE45"/>
    <mergeCell ref="M17:O17"/>
    <mergeCell ref="V26:X26"/>
    <mergeCell ref="C14:L14"/>
    <mergeCell ref="V16:X16"/>
    <mergeCell ref="S20:U20"/>
    <mergeCell ref="C44:AE44"/>
    <mergeCell ref="M19:O19"/>
    <mergeCell ref="AB10:AD10"/>
    <mergeCell ref="C31:AE31"/>
    <mergeCell ref="H4:W4"/>
    <mergeCell ref="C2:G2"/>
    <mergeCell ref="C40:AE40"/>
    <mergeCell ref="AB18:AD18"/>
    <mergeCell ref="S22:U22"/>
    <mergeCell ref="V18:X18"/>
    <mergeCell ref="S12:U12"/>
    <mergeCell ref="S21:U21"/>
    <mergeCell ref="P25:R25"/>
    <mergeCell ref="Y15:AA15"/>
    <mergeCell ref="X73:AA73"/>
    <mergeCell ref="C7:AE7"/>
    <mergeCell ref="AB2:AE2"/>
    <mergeCell ref="Y21:AA21"/>
    <mergeCell ref="V19:X19"/>
    <mergeCell ref="C27:L27"/>
    <mergeCell ref="V28:X28"/>
    <mergeCell ref="M10:O10"/>
    <mergeCell ref="P11:R11"/>
    <mergeCell ref="AB22:AD22"/>
    <mergeCell ref="C17:L17"/>
    <mergeCell ref="M13:O13"/>
    <mergeCell ref="C34:AE34"/>
    <mergeCell ref="AB12:AD12"/>
    <mergeCell ref="M16:O16"/>
    <mergeCell ref="AB21:AD21"/>
    <mergeCell ref="C42:AE42"/>
    <mergeCell ref="S10:U10"/>
    <mergeCell ref="V11:X11"/>
    <mergeCell ref="Y16:AA16"/>
    <mergeCell ref="C19:L19"/>
    <mergeCell ref="S19:U19"/>
    <mergeCell ref="M27:O27"/>
    <mergeCell ref="M18:O18"/>
    <mergeCell ref="Y27:AA27"/>
    <mergeCell ref="P13:R13"/>
    <mergeCell ref="AB23:AD23"/>
    <mergeCell ref="Y18:AA18"/>
    <mergeCell ref="AB13:AD13"/>
    <mergeCell ref="P15:R15"/>
    <mergeCell ref="P24:R24"/>
    <mergeCell ref="P26:R26"/>
    <mergeCell ref="P10:R10"/>
    <mergeCell ref="C39:AE39"/>
    <mergeCell ref="AB26:AD26"/>
    <mergeCell ref="C21:L21"/>
    <mergeCell ref="C32:AE32"/>
    <mergeCell ref="C38:AE38"/>
    <mergeCell ref="AB16:AD16"/>
    <mergeCell ref="C3:G3"/>
  </mergeCells>
  <printOptions horizontalCentered="1"/>
  <pageMargins left="0.5" right="0.5" top="0.6" bottom="0.6" header="0.5" footer="0.5"/>
  <pageSetup orientation="portrait" paperSize="9" scale="66" fitToHeight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BQ361"/>
  <sheetViews>
    <sheetView showGridLines="0" zoomScale="85" workbookViewId="0">
      <selection activeCell="A1" sqref="A1"/>
    </sheetView>
  </sheetViews>
  <sheetFormatPr baseColWidth="8" defaultRowHeight="13.9"/>
  <cols>
    <col width="3.43" customWidth="1" min="1" max="1"/>
    <col width="4" customWidth="1" min="2" max="2"/>
    <col width="3.57" customWidth="1" min="3" max="3"/>
    <col width="3.57" customWidth="1" min="4" max="4"/>
    <col width="3.57" customWidth="1" min="5" max="5"/>
    <col width="3.57" customWidth="1" min="6" max="6"/>
    <col width="3.57" customWidth="1" min="7" max="7"/>
    <col width="3.57" customWidth="1" min="8" max="8"/>
    <col width="3.57" customWidth="1" min="9" max="9"/>
    <col width="3.86" customWidth="1" min="10" max="10"/>
    <col width="4" customWidth="1" min="11" max="11"/>
    <col width="4.57" customWidth="1" min="12" max="12"/>
    <col width="4.57" customWidth="1" min="13" max="13"/>
    <col width="4.57" customWidth="1" min="14" max="14"/>
    <col width="4.57" customWidth="1" min="15" max="15"/>
    <col width="4.57" customWidth="1" min="16" max="16"/>
    <col width="4.57" customWidth="1" min="17" max="17"/>
    <col width="4.57" customWidth="1" min="18" max="18"/>
    <col width="4.57" customWidth="1" min="19" max="19"/>
    <col width="4.57" customWidth="1" min="20" max="20"/>
    <col width="4.57" customWidth="1" min="21" max="21"/>
    <col width="4.57" customWidth="1" min="22" max="22"/>
    <col width="4.57" customWidth="1" min="23" max="23"/>
    <col width="4.57" customWidth="1" min="24" max="24"/>
    <col width="4.57" customWidth="1" min="25" max="25"/>
    <col width="4.57" customWidth="1" min="26" max="26"/>
    <col width="4.57" customWidth="1" min="27" max="27"/>
    <col width="4.57" customWidth="1" min="28" max="28"/>
    <col width="4.57" customWidth="1" min="29" max="29"/>
    <col width="4.57" customWidth="1" min="30" max="30"/>
    <col width="4.57" customWidth="1" min="31" max="31"/>
    <col width="3.43" customWidth="1" min="32" max="32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40" customWidth="1" min="69" max="69"/>
  </cols>
  <sheetData>
    <row r="2">
      <c r="B2" s="1" t="n"/>
      <c r="C2" s="2" t="inlineStr">
        <is>
          <t>PROJECT :</t>
        </is>
      </c>
      <c r="D2" s="3" t="n"/>
      <c r="E2" s="3" t="n"/>
      <c r="F2" s="3" t="n"/>
      <c r="G2" s="3" t="n"/>
      <c r="H2" s="4" t="inlineStr">
        <is>
          <t>GEOTHERMAL WELLPAD PSPE BORA PULU - SIGI, CENTRAL SULAWESI</t>
        </is>
      </c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5" t="inlineStr">
        <is>
          <t>Prepared by :</t>
        </is>
      </c>
      <c r="Y2" s="6" t="n"/>
      <c r="Z2" s="6" t="n"/>
      <c r="AA2" s="6" t="n"/>
      <c r="AB2" s="7" t="inlineStr">
        <is>
          <t>Date</t>
        </is>
      </c>
      <c r="AC2" s="6" t="n"/>
      <c r="AD2" s="6" t="n"/>
      <c r="AE2" s="6" t="n"/>
      <c r="AF2" s="8" t="n"/>
    </row>
    <row r="3">
      <c r="B3" s="9" t="n"/>
      <c r="C3" s="10" t="inlineStr">
        <is>
          <t>CLIENT :</t>
        </is>
      </c>
      <c r="H3" s="11" t="inlineStr">
        <is>
          <t>PT EDC PANAS BUMI INDONESIA</t>
        </is>
      </c>
      <c r="X3" s="12" t="inlineStr">
        <is>
          <t>DF</t>
        </is>
      </c>
      <c r="Y3" s="13" t="n"/>
      <c r="Z3" s="13" t="n"/>
      <c r="AA3" s="13" t="n"/>
      <c r="AB3" s="14" t="n">
        <v>46301</v>
      </c>
      <c r="AC3" s="13" t="n"/>
      <c r="AD3" s="13" t="n"/>
      <c r="AE3" s="13" t="n"/>
      <c r="AF3" s="15" t="n"/>
    </row>
    <row r="4">
      <c r="B4" s="9" t="n"/>
      <c r="C4" s="10" t="inlineStr">
        <is>
          <t>LOCATION :</t>
        </is>
      </c>
      <c r="H4" s="11" t="inlineStr">
        <is>
          <t>BH-01 (Wellpad D)</t>
        </is>
      </c>
      <c r="X4" s="12" t="inlineStr">
        <is>
          <t>Verified by :</t>
        </is>
      </c>
      <c r="Y4" s="13" t="n"/>
      <c r="Z4" s="13" t="n"/>
      <c r="AA4" s="13" t="n"/>
      <c r="AB4" s="14" t="inlineStr">
        <is>
          <t>Date</t>
        </is>
      </c>
      <c r="AC4" s="13" t="n"/>
      <c r="AD4" s="13" t="n"/>
      <c r="AE4" s="13" t="n"/>
      <c r="AF4" s="15" t="n"/>
    </row>
    <row r="5">
      <c r="B5" s="16" t="n"/>
      <c r="C5" s="17" t="inlineStr">
        <is>
          <t>SHEET :</t>
        </is>
      </c>
      <c r="D5" s="18" t="n"/>
      <c r="E5" s="18" t="n"/>
      <c r="F5" s="18" t="n"/>
      <c r="G5" s="18" t="n"/>
      <c r="H5" s="19" t="inlineStr">
        <is>
          <t>BEARING CAPACITY AND SETTLEMENT OF SUBGRADE</t>
        </is>
      </c>
      <c r="I5" s="18" t="n"/>
      <c r="J5" s="18" t="n"/>
      <c r="K5" s="18" t="n"/>
      <c r="L5" s="18" t="n"/>
      <c r="M5" s="18" t="n"/>
      <c r="N5" s="18" t="n"/>
      <c r="O5" s="18" t="n"/>
      <c r="P5" s="18" t="n"/>
      <c r="Q5" s="18" t="n"/>
      <c r="R5" s="18" t="n"/>
      <c r="S5" s="18" t="n"/>
      <c r="T5" s="18" t="n"/>
      <c r="U5" s="18" t="n"/>
      <c r="V5" s="18" t="n"/>
      <c r="W5" s="18" t="n"/>
      <c r="X5" s="20" t="inlineStr">
        <is>
          <t>BC</t>
        </is>
      </c>
      <c r="Y5" s="21" t="n"/>
      <c r="Z5" s="21" t="n"/>
      <c r="AA5" s="21" t="n"/>
      <c r="AB5" s="22" t="n">
        <v>46301</v>
      </c>
      <c r="AC5" s="21" t="n"/>
      <c r="AD5" s="21" t="n"/>
      <c r="AE5" s="21" t="n"/>
      <c r="AF5" s="23" t="n"/>
    </row>
    <row r="6">
      <c r="B6" s="9" t="n"/>
      <c r="AF6" s="15" t="n"/>
    </row>
    <row r="7">
      <c r="B7" s="9" t="n"/>
      <c r="C7" s="11" t="inlineStr">
        <is>
          <t>1. GENERAL</t>
        </is>
      </c>
      <c r="AF7" s="15" t="n"/>
    </row>
    <row r="8">
      <c r="B8" s="9" t="n"/>
      <c r="C8" s="25" t="inlineStr">
        <is>
          <t>This sheet evaluates the bearing capacity, immediate settlement and primary consolidation settlement of the subgrade</t>
        </is>
      </c>
      <c r="AF8" s="15" t="n"/>
    </row>
    <row r="9">
      <c r="B9" s="9" t="n"/>
      <c r="C9" s="25" t="inlineStr">
        <is>
          <t>below the wellpad embankment (2 m fill + 100 kPa uniform surcharge) at the borehole location.</t>
        </is>
      </c>
      <c r="AF9" s="15" t="n"/>
    </row>
    <row r="10">
      <c r="B10" s="9" t="n"/>
      <c r="AF10" s="15" t="n"/>
    </row>
    <row r="11">
      <c r="B11" s="9" t="n"/>
      <c r="C11" s="11" t="inlineStr">
        <is>
          <t>1.1. Load and loaded area</t>
        </is>
      </c>
      <c r="AF11" s="15" t="n"/>
    </row>
    <row r="12">
      <c r="B12" s="9" t="n"/>
      <c r="C12" s="25" t="inlineStr">
        <is>
          <t>Height of embankment fill</t>
        </is>
      </c>
      <c r="O12" s="26" t="inlineStr">
        <is>
          <t>(Input)</t>
        </is>
      </c>
      <c r="X12" s="27" t="inlineStr">
        <is>
          <t>Hf =</t>
        </is>
      </c>
      <c r="Y12" s="13" t="n"/>
      <c r="Z12" s="13" t="n"/>
      <c r="AA12" s="61">
        <f>Input!$AA$11</f>
        <v/>
      </c>
      <c r="AB12" s="13" t="n"/>
      <c r="AC12" s="13" t="n"/>
      <c r="AD12" s="25" t="inlineStr">
        <is>
          <t>m</t>
        </is>
      </c>
      <c r="AF12" s="15" t="n"/>
    </row>
    <row r="13">
      <c r="B13" s="9" t="n"/>
      <c r="C13" s="25" t="inlineStr">
        <is>
          <t>Uniform surcharge</t>
        </is>
      </c>
      <c r="O13" s="26" t="inlineStr">
        <is>
          <t>(Input)</t>
        </is>
      </c>
      <c r="X13" s="27" t="inlineStr">
        <is>
          <t>qs =</t>
        </is>
      </c>
      <c r="Y13" s="13" t="n"/>
      <c r="Z13" s="13" t="n"/>
      <c r="AA13" s="62">
        <f>Input!$AA$13</f>
        <v/>
      </c>
      <c r="AB13" s="13" t="n"/>
      <c r="AC13" s="13" t="n"/>
      <c r="AD13" s="25" t="inlineStr">
        <is>
          <t>kPa</t>
        </is>
      </c>
      <c r="AF13" s="15" t="n"/>
    </row>
    <row r="14">
      <c r="B14" s="9" t="n"/>
      <c r="C14" s="25" t="inlineStr">
        <is>
          <t>Total pressure on subgrade</t>
        </is>
      </c>
      <c r="O14" s="26" t="inlineStr">
        <is>
          <t>q = Hf·γf + qs</t>
        </is>
      </c>
      <c r="X14" s="27" t="inlineStr">
        <is>
          <t>q =</t>
        </is>
      </c>
      <c r="Y14" s="13" t="n"/>
      <c r="Z14" s="13" t="n"/>
      <c r="AA14" s="62">
        <f>Input!$AA$14</f>
        <v/>
      </c>
      <c r="AB14" s="13" t="n"/>
      <c r="AC14" s="13" t="n"/>
      <c r="AD14" s="25" t="inlineStr">
        <is>
          <t>kPa</t>
        </is>
      </c>
      <c r="AF14" s="15" t="n"/>
    </row>
    <row r="15">
      <c r="B15" s="9" t="n"/>
      <c r="C15" s="25" t="inlineStr">
        <is>
          <t>Loaded area (assumed)</t>
        </is>
      </c>
      <c r="O15" s="26" t="inlineStr">
        <is>
          <t>B × L</t>
        </is>
      </c>
      <c r="X15" s="27" t="inlineStr">
        <is>
          <t>B =</t>
        </is>
      </c>
      <c r="Y15" s="13" t="n"/>
      <c r="Z15" s="13" t="n"/>
      <c r="AA15" s="62">
        <f>Input!$AA$15</f>
        <v/>
      </c>
      <c r="AB15" s="13" t="n"/>
      <c r="AC15" s="13" t="n"/>
      <c r="AD15" s="25" t="inlineStr">
        <is>
          <t>m</t>
        </is>
      </c>
      <c r="AF15" s="15" t="n"/>
    </row>
    <row r="16">
      <c r="B16" s="9" t="n"/>
      <c r="C16" s="25" t="inlineStr"/>
      <c r="O16" s="26" t="inlineStr"/>
      <c r="X16" s="27" t="inlineStr">
        <is>
          <t>L =</t>
        </is>
      </c>
      <c r="Y16" s="13" t="n"/>
      <c r="Z16" s="13" t="n"/>
      <c r="AA16" s="62">
        <f>Input!$AA$16</f>
        <v/>
      </c>
      <c r="AB16" s="13" t="n"/>
      <c r="AC16" s="13" t="n"/>
      <c r="AD16" s="25" t="inlineStr">
        <is>
          <t>m</t>
        </is>
      </c>
      <c r="AF16" s="15" t="n"/>
    </row>
    <row r="17">
      <c r="B17" s="9" t="n"/>
      <c r="AF17" s="15" t="n"/>
    </row>
    <row r="18">
      <c r="B18" s="9" t="n"/>
      <c r="C18" s="11" t="inlineStr">
        <is>
          <t>1.2. Borehole data</t>
        </is>
      </c>
      <c r="AF18" s="15" t="n"/>
    </row>
    <row r="19">
      <c r="B19" s="9" t="n"/>
      <c r="C19" s="25" t="inlineStr">
        <is>
          <t>Design groundwater level (below ground)</t>
        </is>
      </c>
      <c r="O19" s="26" t="inlineStr">
        <is>
          <t>liquefaction report</t>
        </is>
      </c>
      <c r="X19" s="27" t="inlineStr">
        <is>
          <t>GWL =</t>
        </is>
      </c>
      <c r="Y19" s="13" t="n"/>
      <c r="Z19" s="13" t="n"/>
      <c r="AA19" s="63" t="n">
        <v>9</v>
      </c>
      <c r="AB19" s="29" t="n"/>
      <c r="AC19" s="29" t="n"/>
      <c r="AD19" s="25" t="inlineStr">
        <is>
          <t>m</t>
        </is>
      </c>
      <c r="AF19" s="15" t="n"/>
    </row>
    <row r="20">
      <c r="B20" s="9" t="n"/>
      <c r="C20" s="25" t="inlineStr">
        <is>
          <t>Unit weight above GWL</t>
        </is>
      </c>
      <c r="O20" s="26" t="inlineStr">
        <is>
          <t>report Table 5.1</t>
        </is>
      </c>
      <c r="X20" s="27" t="inlineStr">
        <is>
          <t>γ =</t>
        </is>
      </c>
      <c r="Y20" s="13" t="n"/>
      <c r="Z20" s="13" t="n"/>
      <c r="AA20" s="63" t="n">
        <v>17.8</v>
      </c>
      <c r="AB20" s="29" t="n"/>
      <c r="AC20" s="29" t="n"/>
      <c r="AD20" s="25" t="inlineStr">
        <is>
          <t>kN/m³</t>
        </is>
      </c>
      <c r="AF20" s="15" t="n"/>
    </row>
    <row r="21">
      <c r="B21" s="9" t="n"/>
      <c r="C21" s="25" t="inlineStr">
        <is>
          <t>Unit weight below GWL</t>
        </is>
      </c>
      <c r="O21" s="26" t="inlineStr">
        <is>
          <t>report Table 5.1</t>
        </is>
      </c>
      <c r="X21" s="27" t="inlineStr">
        <is>
          <t>γsat =</t>
        </is>
      </c>
      <c r="Y21" s="13" t="n"/>
      <c r="Z21" s="13" t="n"/>
      <c r="AA21" s="63" t="n">
        <v>19.2</v>
      </c>
      <c r="AB21" s="29" t="n"/>
      <c r="AC21" s="29" t="n"/>
      <c r="AD21" s="25" t="inlineStr">
        <is>
          <t>kN/m³</t>
        </is>
      </c>
      <c r="AF21" s="15" t="n"/>
    </row>
    <row r="22">
      <c r="B22" s="9" t="n"/>
      <c r="C22" s="25" t="inlineStr">
        <is>
          <t>Replacement depth (design condition)</t>
        </is>
      </c>
      <c r="O22" s="26" t="inlineStr">
        <is>
          <t>0 = no improvement</t>
        </is>
      </c>
      <c r="X22" s="27" t="inlineStr">
        <is>
          <t>Dr =</t>
        </is>
      </c>
      <c r="Y22" s="13" t="n"/>
      <c r="Z22" s="13" t="n"/>
      <c r="AA22" s="63" t="n">
        <v>3</v>
      </c>
      <c r="AB22" s="29" t="n"/>
      <c r="AC22" s="29" t="n"/>
      <c r="AD22" s="25" t="inlineStr">
        <is>
          <t>m</t>
        </is>
      </c>
      <c r="AF22" s="15" t="n"/>
    </row>
    <row r="23">
      <c r="B23" s="9" t="n"/>
      <c r="AF23" s="15" t="n"/>
    </row>
    <row r="24">
      <c r="B24" s="9" t="n"/>
      <c r="C24" s="11" t="inlineStr">
        <is>
          <t>2. SOIL PARAMETERS</t>
        </is>
      </c>
      <c r="AF24" s="15" t="n"/>
    </row>
    <row r="25">
      <c r="B25" s="9" t="n"/>
      <c r="C25" s="25" t="inlineStr">
        <is>
          <t>Table 1. Soil parameters of BH-01 (sub-layers = SPT intervals)</t>
        </is>
      </c>
      <c r="AF25" s="15" t="n"/>
      <c r="AI25" s="64" t="inlineStr">
        <is>
          <t>Helper calculation per sub-layer (not printed)</t>
        </is>
      </c>
    </row>
    <row r="26" ht="27" customHeight="1">
      <c r="B26" s="9" t="n"/>
      <c r="C26" s="33" t="inlineStr">
        <is>
          <t>No</t>
        </is>
      </c>
      <c r="D26" s="34" t="n"/>
      <c r="E26" s="33" t="inlineStr">
        <is>
          <t>Top</t>
        </is>
      </c>
      <c r="F26" s="34" t="n"/>
      <c r="G26" s="34" t="n"/>
      <c r="H26" s="33" t="inlineStr">
        <is>
          <t>Bottom</t>
        </is>
      </c>
      <c r="I26" s="34" t="n"/>
      <c r="J26" s="34" t="n"/>
      <c r="K26" s="33" t="inlineStr">
        <is>
          <t>Soil</t>
        </is>
      </c>
      <c r="L26" s="34" t="n"/>
      <c r="M26" s="34" t="n"/>
      <c r="N26" s="33" t="inlineStr">
        <is>
          <t>N-SPT</t>
        </is>
      </c>
      <c r="O26" s="34" t="n"/>
      <c r="P26" s="34" t="n"/>
      <c r="Q26" s="33" t="inlineStr">
        <is>
          <t>γ</t>
        </is>
      </c>
      <c r="R26" s="34" t="n"/>
      <c r="S26" s="34" t="n"/>
      <c r="T26" s="33" t="inlineStr">
        <is>
          <t>LL</t>
        </is>
      </c>
      <c r="U26" s="34" t="n"/>
      <c r="V26" s="33" t="inlineStr">
        <is>
          <t>PI</t>
        </is>
      </c>
      <c r="W26" s="34" t="n"/>
      <c r="X26" s="33" t="inlineStr">
        <is>
          <t>e0</t>
        </is>
      </c>
      <c r="Y26" s="34" t="n"/>
      <c r="Z26" s="33" t="inlineStr">
        <is>
          <t>cu</t>
        </is>
      </c>
      <c r="AA26" s="34" t="n"/>
      <c r="AB26" s="34" t="n"/>
      <c r="AC26" s="33" t="inlineStr">
        <is>
          <t>φ'</t>
        </is>
      </c>
      <c r="AD26" s="34" t="n"/>
      <c r="AE26" s="34" t="n"/>
      <c r="AF26" s="15" t="n"/>
      <c r="AI26" s="65" t="inlineStr">
        <is>
          <t>top</t>
        </is>
      </c>
      <c r="AJ26" s="65" t="inlineStr">
        <is>
          <t>bot</t>
        </is>
      </c>
      <c r="AK26" s="65" t="inlineStr">
        <is>
          <t>h</t>
        </is>
      </c>
      <c r="AL26" s="65" t="inlineStr">
        <is>
          <t>z</t>
        </is>
      </c>
      <c r="AM26" s="65" t="inlineStr">
        <is>
          <t>typ</t>
        </is>
      </c>
      <c r="AN26" s="65" t="inlineStr">
        <is>
          <t>N</t>
        </is>
      </c>
      <c r="AO26" s="65" t="inlineStr">
        <is>
          <t>g</t>
        </is>
      </c>
      <c r="AP26" s="65" t="inlineStr">
        <is>
          <t>sv</t>
        </is>
      </c>
      <c r="AQ26" s="65" t="inlineStr">
        <is>
          <t>s0</t>
        </is>
      </c>
      <c r="AR26" s="65" t="inlineStr">
        <is>
          <t>LL</t>
        </is>
      </c>
      <c r="AS26" s="65" t="inlineStr">
        <is>
          <t>PL</t>
        </is>
      </c>
      <c r="AT26" s="65" t="inlineStr">
        <is>
          <t>PI</t>
        </is>
      </c>
      <c r="AU26" s="65" t="inlineStr">
        <is>
          <t>e0</t>
        </is>
      </c>
      <c r="AV26" s="65" t="inlineStr">
        <is>
          <t>cu</t>
        </is>
      </c>
      <c r="AW26" s="65" t="inlineStr">
        <is>
          <t>phi</t>
        </is>
      </c>
      <c r="AX26" s="65" t="inlineStr">
        <is>
          <t>E</t>
        </is>
      </c>
      <c r="AY26" s="65" t="inlineStr">
        <is>
          <t>nu</t>
        </is>
      </c>
      <c r="AZ26" s="65" t="inlineStr">
        <is>
          <t>m</t>
        </is>
      </c>
      <c r="BA26" s="65" t="inlineStr">
        <is>
          <t>n</t>
        </is>
      </c>
      <c r="BB26" s="65" t="inlineStr">
        <is>
          <t>I</t>
        </is>
      </c>
      <c r="BC26" s="65" t="inlineStr">
        <is>
          <t>ds</t>
        </is>
      </c>
      <c r="BD26" s="65" t="inlineStr">
        <is>
          <t>F1</t>
        </is>
      </c>
      <c r="BE26" s="65" t="inlineStr">
        <is>
          <t>F2</t>
        </is>
      </c>
      <c r="BF26" s="65" t="inlineStr">
        <is>
          <t>keep</t>
        </is>
      </c>
      <c r="BG26" s="65" t="inlineStr">
        <is>
          <t>Si</t>
        </is>
      </c>
      <c r="BH26" s="65" t="inlineStr">
        <is>
          <t>Cc</t>
        </is>
      </c>
      <c r="BI26" s="65" t="inlineStr">
        <is>
          <t>Cr</t>
        </is>
      </c>
      <c r="BJ26" s="65" t="inlineStr">
        <is>
          <t>sp</t>
        </is>
      </c>
      <c r="BK26" s="65" t="inlineStr">
        <is>
          <t>Sc</t>
        </is>
      </c>
      <c r="BL26" s="65" t="inlineStr">
        <is>
          <t>Cv</t>
        </is>
      </c>
      <c r="BM26" s="65" t="inlineStr">
        <is>
          <t>t90</t>
        </is>
      </c>
      <c r="BN26" s="65" t="inlineStr">
        <is>
          <t>hb0</t>
        </is>
      </c>
      <c r="BO26" s="65" t="inlineStr">
        <is>
          <t>hbr</t>
        </is>
      </c>
      <c r="BP26" s="65" t="inlineStr">
        <is>
          <t>hzi</t>
        </is>
      </c>
      <c r="BQ26" s="65" t="inlineStr">
        <is>
          <t>ket</t>
        </is>
      </c>
    </row>
    <row r="27">
      <c r="B27" s="9" t="n"/>
      <c r="C27" s="35" t="inlineStr"/>
      <c r="D27" s="36" t="n"/>
      <c r="E27" s="35" t="inlineStr">
        <is>
          <t>m</t>
        </is>
      </c>
      <c r="F27" s="36" t="n"/>
      <c r="G27" s="36" t="n"/>
      <c r="H27" s="35" t="inlineStr">
        <is>
          <t>m</t>
        </is>
      </c>
      <c r="I27" s="36" t="n"/>
      <c r="J27" s="36" t="n"/>
      <c r="K27" s="35" t="inlineStr"/>
      <c r="L27" s="36" t="n"/>
      <c r="M27" s="36" t="n"/>
      <c r="N27" s="35" t="inlineStr"/>
      <c r="O27" s="36" t="n"/>
      <c r="P27" s="36" t="n"/>
      <c r="Q27" s="35" t="inlineStr">
        <is>
          <t>kN/m³</t>
        </is>
      </c>
      <c r="R27" s="36" t="n"/>
      <c r="S27" s="36" t="n"/>
      <c r="T27" s="35" t="inlineStr">
        <is>
          <t>%</t>
        </is>
      </c>
      <c r="U27" s="36" t="n"/>
      <c r="V27" s="35" t="inlineStr">
        <is>
          <t>%</t>
        </is>
      </c>
      <c r="W27" s="36" t="n"/>
      <c r="X27" s="35" t="inlineStr">
        <is>
          <t>-</t>
        </is>
      </c>
      <c r="Y27" s="36" t="n"/>
      <c r="Z27" s="35" t="inlineStr">
        <is>
          <t>kPa</t>
        </is>
      </c>
      <c r="AA27" s="36" t="n"/>
      <c r="AB27" s="36" t="n"/>
      <c r="AC27" s="35" t="inlineStr">
        <is>
          <t>°</t>
        </is>
      </c>
      <c r="AD27" s="36" t="n"/>
      <c r="AE27" s="36" t="n"/>
      <c r="AF27" s="15" t="n"/>
    </row>
    <row r="28">
      <c r="B28" s="9" t="n"/>
      <c r="C28" s="57" t="n">
        <v>1</v>
      </c>
      <c r="D28" s="41" t="n"/>
      <c r="E28" s="55">
        <f>AI28</f>
        <v/>
      </c>
      <c r="F28" s="41" t="n"/>
      <c r="G28" s="41" t="n"/>
      <c r="H28" s="55">
        <f>AJ28</f>
        <v/>
      </c>
      <c r="I28" s="41" t="n"/>
      <c r="J28" s="41" t="n"/>
      <c r="K28" s="52">
        <f>AM28</f>
        <v/>
      </c>
      <c r="L28" s="41" t="n"/>
      <c r="M28" s="41" t="n"/>
      <c r="N28" s="57">
        <f>AN28</f>
        <v/>
      </c>
      <c r="O28" s="41" t="n"/>
      <c r="P28" s="41" t="n"/>
      <c r="Q28" s="53">
        <f>AO28</f>
        <v/>
      </c>
      <c r="R28" s="41" t="n"/>
      <c r="S28" s="41" t="n"/>
      <c r="T28" s="57">
        <f>IF(AR28="","-",AR28)</f>
        <v/>
      </c>
      <c r="U28" s="41" t="n"/>
      <c r="V28" s="57">
        <f>IF(AT28="","-",AT28)</f>
        <v/>
      </c>
      <c r="W28" s="41" t="n"/>
      <c r="X28" s="55">
        <f>AU28</f>
        <v/>
      </c>
      <c r="Y28" s="41" t="n"/>
      <c r="Z28" s="66">
        <f>AV28</f>
        <v/>
      </c>
      <c r="AA28" s="41" t="n"/>
      <c r="AB28" s="41" t="n"/>
      <c r="AC28" s="53">
        <f>AW28</f>
        <v/>
      </c>
      <c r="AD28" s="41" t="n"/>
      <c r="AE28" s="41" t="n"/>
      <c r="AF28" s="15" t="n"/>
      <c r="AI28" s="67" t="n">
        <v>0</v>
      </c>
      <c r="AJ28" s="67" t="n">
        <v>1.5</v>
      </c>
      <c r="AK28" s="68">
        <f>AJ28-AI28</f>
        <v/>
      </c>
      <c r="AL28" s="68">
        <f>(AI28+AJ28)/2</f>
        <v/>
      </c>
      <c r="AM28" s="67" t="inlineStr">
        <is>
          <t>Clay</t>
        </is>
      </c>
      <c r="AN28" s="67" t="n">
        <v>5</v>
      </c>
      <c r="AO28" s="68">
        <f>IF(AL28&gt;$AA$19,$AA$21,$AA$20)</f>
        <v/>
      </c>
      <c r="AP28" s="68">
        <f>AO28*AK28</f>
        <v/>
      </c>
      <c r="AQ28" s="68">
        <f>AP28-AO28*AK28/2-10*MAX(AL28-$AA$19,0)</f>
        <v/>
      </c>
      <c r="AR28" s="67" t="n">
        <v>29.665</v>
      </c>
      <c r="AS28" s="67" t="n">
        <v>19.806</v>
      </c>
      <c r="AT28" s="68">
        <f>IF(AR28="","",AR28-AS28)</f>
        <v/>
      </c>
      <c r="AU28" s="67" t="n">
        <v>0.681</v>
      </c>
      <c r="AV28" s="68">
        <f>IF(AM28="Sand",0,Input!$AA$31*AN28)</f>
        <v/>
      </c>
      <c r="AW28" s="68">
        <f>IF(AM28="Sand",27.1+0.3*MIN(Input!$AA$32*AN28,60)-0.00054*MIN(Input!$AA$32*AN28,60)^2,MIN(MAX(DEGREES(ASIN(0.8-0.094*LN(MAX(IF(AT28="",10,AT28),5)))),20),30))</f>
        <v/>
      </c>
      <c r="AX28" s="68">
        <f>IF(AM28="Sand",Input!$AA$33*Input!$AA$32*AN28,Input!$AA$34*AV28)</f>
        <v/>
      </c>
      <c r="AY28" s="68">
        <f>IF(AM28="Sand",Input!$AA$35,0.5)</f>
        <v/>
      </c>
      <c r="AZ28" s="68">
        <f>Input!$AA$15/2/AL28</f>
        <v/>
      </c>
      <c r="BA28" s="68">
        <f>Input!$AA$16/2/AL28</f>
        <v/>
      </c>
      <c r="BB28" s="68">
        <f>1/(4*PI())*(2*AZ28*BA28*SQRT(AZ28^2+BA28^2+1)/(AZ28^2+BA28^2+1+AZ28^2*BA28^2)*(AZ28^2+BA28^2+2)/(AZ28^2+BA28^2+1)+ATAN2(AZ28^2+BA28^2+1-AZ28^2*BA28^2,2*AZ28*BA28*SQRT(AZ28^2+BA28^2+1)))</f>
        <v/>
      </c>
      <c r="BC28" s="68">
        <f>4*Input!$AA$14*BB28</f>
        <v/>
      </c>
      <c r="BD28" s="68">
        <f>((Input!$AA$16/Input!$AA$15)*LN((1+SQRT((Input!$AA$16/Input!$AA$15)^2+1))*SQRT((Input!$AA$16/Input!$AA$15)^2+(AJ28/(Input!$AA$15/2))^2)/((Input!$AA$16/Input!$AA$15)*(1+SQRT((Input!$AA$16/Input!$AA$15)^2+(AJ28/(Input!$AA$15/2))^2+1))))+LN(((Input!$AA$16/Input!$AA$15)+SQRT((Input!$AA$16/Input!$AA$15)^2+1))*SQRT(1+(AJ28/(Input!$AA$15/2))^2)/((Input!$AA$16/Input!$AA$15)+SQRT((Input!$AA$16/Input!$AA$15)^2+(AJ28/(Input!$AA$15/2))^2+1))))/PI()</f>
        <v/>
      </c>
      <c r="BE28" s="68">
        <f>(AJ28/(Input!$AA$15/2))/(2*PI())*ATAN((Input!$AA$16/Input!$AA$15)/((AJ28/(Input!$AA$15/2))*SQRT((Input!$AA$16/Input!$AA$15)^2+(AJ28/(Input!$AA$15/2))^2+1)))</f>
        <v/>
      </c>
      <c r="BF28" s="68">
        <f>MAX(0,AJ28-MAX(AI28,$AA$22))/AK28*IF(BC28&gt;=Input!$AA$21*AQ28,1,0)</f>
        <v/>
      </c>
      <c r="BG28" s="68">
        <f>4*Input!$AA$14*(Input!$AA$15/2)*(1-AY28^2)/AX28*((BD28-0)+(1-2*AY28)/(1-AY28)*(BE28-0))*1000*BF28</f>
        <v/>
      </c>
      <c r="BH28" s="68">
        <f>IF(AM28="Sand",0,0.009*(AR28-10))</f>
        <v/>
      </c>
      <c r="BI28" s="68">
        <f>BH28*Input!$AA$36</f>
        <v/>
      </c>
      <c r="BJ28" s="68">
        <f>IF(AM28="Sand",0,MAX(AV28/Input!$AA$37,AQ28))</f>
        <v/>
      </c>
      <c r="BK28" s="68">
        <f>IF(AM28="Sand",0,1000*AK28/(1+AU28)*IF(AQ28+BC28&lt;=BJ28,BI28*LOG10((AQ28+BC28)/AQ28),BI28*LOG10(BJ28/AQ28)+BH28*LOG10((AQ28+BC28)/BJ28)))*BF28</f>
        <v/>
      </c>
      <c r="BL28" s="68">
        <f>IF(AM28="Sand",0,10^(INDEX(Input!$Q$48:$Q$54,MIN(MATCH(MIN(MAX(AR28,30),120),Input!$C$48:$C$54,1),6))+(MIN(MAX(AR28,30),120)-INDEX(Input!$C$48:$C$54,MIN(MATCH(MIN(MAX(AR28,30),120),Input!$C$48:$C$54,1),6)))/(INDEX(Input!$C$48:$C$54,MIN(MATCH(MIN(MAX(AR28,30),120),Input!$C$48:$C$54,1),6)+1)-INDEX(Input!$C$48:$C$54,MIN(MATCH(MIN(MAX(AR28,30),120),Input!$C$48:$C$54,1),6)))*(INDEX(Input!$Q$48:$Q$54,MIN(MATCH(MIN(MAX(AR28,30),120),Input!$C$48:$C$54,1),6)+1)-INDEX(Input!$Q$48:$Q$54,MIN(MATCH(MIN(MAX(AR28,30),120),Input!$C$48:$C$54,1),6)))))</f>
        <v/>
      </c>
      <c r="BM28" s="68">
        <f>IF(OR(AM28="Sand",BF28=0),0,Input!$AA$38*(AK28/2)^2/(BL28*1E-4*31536000))</f>
        <v/>
      </c>
      <c r="BN28" s="68">
        <f>MAX(0,MIN(AJ28,Input!$AA$20)-AI28)</f>
        <v/>
      </c>
      <c r="BO28" s="68">
        <f>MAX(0,MIN(AJ28,Input!$AA$20)-MAX(AI28,$AA$22))</f>
        <v/>
      </c>
      <c r="BP28" s="68">
        <f>MAX(0,MIN(AJ28,$AA$225)-AI28)</f>
        <v/>
      </c>
      <c r="BQ28" s="68" t="inlineStr">
        <is>
          <t>0-1.5 m not tested: N of next layer; LL/PL/e0 = borehole average</t>
        </is>
      </c>
    </row>
    <row r="29">
      <c r="B29" s="9" t="n"/>
      <c r="C29" s="57" t="n">
        <v>2</v>
      </c>
      <c r="D29" s="41" t="n"/>
      <c r="E29" s="55">
        <f>AI29</f>
        <v/>
      </c>
      <c r="F29" s="41" t="n"/>
      <c r="G29" s="41" t="n"/>
      <c r="H29" s="55">
        <f>AJ29</f>
        <v/>
      </c>
      <c r="I29" s="41" t="n"/>
      <c r="J29" s="41" t="n"/>
      <c r="K29" s="52">
        <f>AM29</f>
        <v/>
      </c>
      <c r="L29" s="41" t="n"/>
      <c r="M29" s="41" t="n"/>
      <c r="N29" s="57">
        <f>AN29</f>
        <v/>
      </c>
      <c r="O29" s="41" t="n"/>
      <c r="P29" s="41" t="n"/>
      <c r="Q29" s="53">
        <f>AO29</f>
        <v/>
      </c>
      <c r="R29" s="41" t="n"/>
      <c r="S29" s="41" t="n"/>
      <c r="T29" s="57">
        <f>IF(AR29="","-",AR29)</f>
        <v/>
      </c>
      <c r="U29" s="41" t="n"/>
      <c r="V29" s="57">
        <f>IF(AT29="","-",AT29)</f>
        <v/>
      </c>
      <c r="W29" s="41" t="n"/>
      <c r="X29" s="55">
        <f>AU29</f>
        <v/>
      </c>
      <c r="Y29" s="41" t="n"/>
      <c r="Z29" s="66">
        <f>AV29</f>
        <v/>
      </c>
      <c r="AA29" s="41" t="n"/>
      <c r="AB29" s="41" t="n"/>
      <c r="AC29" s="53">
        <f>AW29</f>
        <v/>
      </c>
      <c r="AD29" s="41" t="n"/>
      <c r="AE29" s="41" t="n"/>
      <c r="AF29" s="15" t="n"/>
      <c r="AI29" s="67" t="n">
        <v>1.5</v>
      </c>
      <c r="AJ29" s="67" t="n">
        <v>3</v>
      </c>
      <c r="AK29" s="68">
        <f>AJ29-AI29</f>
        <v/>
      </c>
      <c r="AL29" s="68">
        <f>(AI29+AJ29)/2</f>
        <v/>
      </c>
      <c r="AM29" s="67" t="inlineStr">
        <is>
          <t>Clay</t>
        </is>
      </c>
      <c r="AN29" s="67" t="n">
        <v>5</v>
      </c>
      <c r="AO29" s="68">
        <f>IF(AL29&gt;$AA$19,$AA$21,$AA$20)</f>
        <v/>
      </c>
      <c r="AP29" s="68">
        <f>AP28+AO29*AK29</f>
        <v/>
      </c>
      <c r="AQ29" s="68">
        <f>AP29-AO29*AK29/2-10*MAX(AL29-$AA$19,0)</f>
        <v/>
      </c>
      <c r="AR29" s="67" t="n">
        <v>29.665</v>
      </c>
      <c r="AS29" s="67" t="n">
        <v>19.806</v>
      </c>
      <c r="AT29" s="68">
        <f>IF(AR29="","",AR29-AS29)</f>
        <v/>
      </c>
      <c r="AU29" s="67" t="n">
        <v>0.952</v>
      </c>
      <c r="AV29" s="68">
        <f>IF(AM29="Sand",0,Input!$AA$31*AN29)</f>
        <v/>
      </c>
      <c r="AW29" s="68">
        <f>IF(AM29="Sand",27.1+0.3*MIN(Input!$AA$32*AN29,60)-0.00054*MIN(Input!$AA$32*AN29,60)^2,MIN(MAX(DEGREES(ASIN(0.8-0.094*LN(MAX(IF(AT29="",10,AT29),5)))),20),30))</f>
        <v/>
      </c>
      <c r="AX29" s="68">
        <f>IF(AM29="Sand",Input!$AA$33*Input!$AA$32*AN29,Input!$AA$34*AV29)</f>
        <v/>
      </c>
      <c r="AY29" s="68">
        <f>IF(AM29="Sand",Input!$AA$35,0.5)</f>
        <v/>
      </c>
      <c r="AZ29" s="68">
        <f>Input!$AA$15/2/AL29</f>
        <v/>
      </c>
      <c r="BA29" s="68">
        <f>Input!$AA$16/2/AL29</f>
        <v/>
      </c>
      <c r="BB29" s="68">
        <f>1/(4*PI())*(2*AZ29*BA29*SQRT(AZ29^2+BA29^2+1)/(AZ29^2+BA29^2+1+AZ29^2*BA29^2)*(AZ29^2+BA29^2+2)/(AZ29^2+BA29^2+1)+ATAN2(AZ29^2+BA29^2+1-AZ29^2*BA29^2,2*AZ29*BA29*SQRT(AZ29^2+BA29^2+1)))</f>
        <v/>
      </c>
      <c r="BC29" s="68">
        <f>4*Input!$AA$14*BB29</f>
        <v/>
      </c>
      <c r="BD29" s="68">
        <f>((Input!$AA$16/Input!$AA$15)*LN((1+SQRT((Input!$AA$16/Input!$AA$15)^2+1))*SQRT((Input!$AA$16/Input!$AA$15)^2+(AJ29/(Input!$AA$15/2))^2)/((Input!$AA$16/Input!$AA$15)*(1+SQRT((Input!$AA$16/Input!$AA$15)^2+(AJ29/(Input!$AA$15/2))^2+1))))+LN(((Input!$AA$16/Input!$AA$15)+SQRT((Input!$AA$16/Input!$AA$15)^2+1))*SQRT(1+(AJ29/(Input!$AA$15/2))^2)/((Input!$AA$16/Input!$AA$15)+SQRT((Input!$AA$16/Input!$AA$15)^2+(AJ29/(Input!$AA$15/2))^2+1))))/PI()</f>
        <v/>
      </c>
      <c r="BE29" s="68">
        <f>(AJ29/(Input!$AA$15/2))/(2*PI())*ATAN((Input!$AA$16/Input!$AA$15)/((AJ29/(Input!$AA$15/2))*SQRT((Input!$AA$16/Input!$AA$15)^2+(AJ29/(Input!$AA$15/2))^2+1)))</f>
        <v/>
      </c>
      <c r="BF29" s="68">
        <f>MAX(0,AJ29-MAX(AI29,$AA$22))/AK29*IF(BC29&gt;=Input!$AA$21*AQ29,1,0)</f>
        <v/>
      </c>
      <c r="BG29" s="68">
        <f>4*Input!$AA$14*(Input!$AA$15/2)*(1-AY29^2)/AX29*((BD29-BD28)+(1-2*AY29)/(1-AY29)*(BE29-BE28))*1000*BF29</f>
        <v/>
      </c>
      <c r="BH29" s="68">
        <f>IF(AM29="Sand",0,0.009*(AR29-10))</f>
        <v/>
      </c>
      <c r="BI29" s="68">
        <f>BH29*Input!$AA$36</f>
        <v/>
      </c>
      <c r="BJ29" s="68">
        <f>IF(AM29="Sand",0,MAX(AV29/Input!$AA$37,AQ29))</f>
        <v/>
      </c>
      <c r="BK29" s="68">
        <f>IF(AM29="Sand",0,1000*AK29/(1+AU29)*IF(AQ29+BC29&lt;=BJ29,BI29*LOG10((AQ29+BC29)/AQ29),BI29*LOG10(BJ29/AQ29)+BH29*LOG10((AQ29+BC29)/BJ29)))*BF29</f>
        <v/>
      </c>
      <c r="BL29" s="68">
        <f>IF(AM29="Sand",0,10^(INDEX(Input!$Q$48:$Q$54,MIN(MATCH(MIN(MAX(AR29,30),120),Input!$C$48:$C$54,1),6))+(MIN(MAX(AR29,30),120)-INDEX(Input!$C$48:$C$54,MIN(MATCH(MIN(MAX(AR29,30),120),Input!$C$48:$C$54,1),6)))/(INDEX(Input!$C$48:$C$54,MIN(MATCH(MIN(MAX(AR29,30),120),Input!$C$48:$C$54,1),6)+1)-INDEX(Input!$C$48:$C$54,MIN(MATCH(MIN(MAX(AR29,30),120),Input!$C$48:$C$54,1),6)))*(INDEX(Input!$Q$48:$Q$54,MIN(MATCH(MIN(MAX(AR29,30),120),Input!$C$48:$C$54,1),6)+1)-INDEX(Input!$Q$48:$Q$54,MIN(MATCH(MIN(MAX(AR29,30),120),Input!$C$48:$C$54,1),6)))))</f>
        <v/>
      </c>
      <c r="BM29" s="68">
        <f>IF(OR(AM29="Sand",BF29=0),0,Input!$AA$38*(AK29/2)^2/(BL29*1E-4*31536000))</f>
        <v/>
      </c>
      <c r="BN29" s="68">
        <f>MAX(0,MIN(AJ29,Input!$AA$20)-AI29)</f>
        <v/>
      </c>
      <c r="BO29" s="68">
        <f>MAX(0,MIN(AJ29,Input!$AA$20)-MAX(AI29,$AA$22))</f>
        <v/>
      </c>
      <c r="BP29" s="68">
        <f>MAX(0,MIN(AJ29,$AA$225)-AI29)</f>
        <v/>
      </c>
      <c r="BQ29" s="68" t="inlineStr">
        <is>
          <t>LL/PL/e0 = borehole average</t>
        </is>
      </c>
    </row>
    <row r="30">
      <c r="B30" s="9" t="n"/>
      <c r="C30" s="57" t="n">
        <v>3</v>
      </c>
      <c r="D30" s="41" t="n"/>
      <c r="E30" s="55">
        <f>AI30</f>
        <v/>
      </c>
      <c r="F30" s="41" t="n"/>
      <c r="G30" s="41" t="n"/>
      <c r="H30" s="55">
        <f>AJ30</f>
        <v/>
      </c>
      <c r="I30" s="41" t="n"/>
      <c r="J30" s="41" t="n"/>
      <c r="K30" s="52">
        <f>AM30</f>
        <v/>
      </c>
      <c r="L30" s="41" t="n"/>
      <c r="M30" s="41" t="n"/>
      <c r="N30" s="57">
        <f>AN30</f>
        <v/>
      </c>
      <c r="O30" s="41" t="n"/>
      <c r="P30" s="41" t="n"/>
      <c r="Q30" s="53">
        <f>AO30</f>
        <v/>
      </c>
      <c r="R30" s="41" t="n"/>
      <c r="S30" s="41" t="n"/>
      <c r="T30" s="57">
        <f>IF(AR30="","-",AR30)</f>
        <v/>
      </c>
      <c r="U30" s="41" t="n"/>
      <c r="V30" s="57">
        <f>IF(AT30="","-",AT30)</f>
        <v/>
      </c>
      <c r="W30" s="41" t="n"/>
      <c r="X30" s="55">
        <f>AU30</f>
        <v/>
      </c>
      <c r="Y30" s="41" t="n"/>
      <c r="Z30" s="66">
        <f>AV30</f>
        <v/>
      </c>
      <c r="AA30" s="41" t="n"/>
      <c r="AB30" s="41" t="n"/>
      <c r="AC30" s="53">
        <f>AW30</f>
        <v/>
      </c>
      <c r="AD30" s="41" t="n"/>
      <c r="AE30" s="41" t="n"/>
      <c r="AF30" s="15" t="n"/>
      <c r="AI30" s="67" t="n">
        <v>3</v>
      </c>
      <c r="AJ30" s="67" t="n">
        <v>5.5</v>
      </c>
      <c r="AK30" s="68">
        <f>AJ30-AI30</f>
        <v/>
      </c>
      <c r="AL30" s="68">
        <f>(AI30+AJ30)/2</f>
        <v/>
      </c>
      <c r="AM30" s="67" t="inlineStr">
        <is>
          <t>Sand</t>
        </is>
      </c>
      <c r="AN30" s="67" t="n">
        <v>18</v>
      </c>
      <c r="AO30" s="68">
        <f>IF(AL30&gt;$AA$19,$AA$21,$AA$20)</f>
        <v/>
      </c>
      <c r="AP30" s="68">
        <f>AP29+AO30*AK30</f>
        <v/>
      </c>
      <c r="AQ30" s="68">
        <f>AP30-AO30*AK30/2-10*MAX(AL30-$AA$19,0)</f>
        <v/>
      </c>
      <c r="AR30" s="67" t="n"/>
      <c r="AS30" s="67" t="n"/>
      <c r="AT30" s="68">
        <f>IF(AR30="","",AR30-AS30)</f>
        <v/>
      </c>
      <c r="AU30" s="67" t="n">
        <v>0.759</v>
      </c>
      <c r="AV30" s="68">
        <f>IF(AM30="Sand",0,Input!$AA$31*AN30)</f>
        <v/>
      </c>
      <c r="AW30" s="68">
        <f>IF(AM30="Sand",27.1+0.3*MIN(Input!$AA$32*AN30,60)-0.00054*MIN(Input!$AA$32*AN30,60)^2,MIN(MAX(DEGREES(ASIN(0.8-0.094*LN(MAX(IF(AT30="",10,AT30),5)))),20),30))</f>
        <v/>
      </c>
      <c r="AX30" s="68">
        <f>IF(AM30="Sand",Input!$AA$33*Input!$AA$32*AN30,Input!$AA$34*AV30)</f>
        <v/>
      </c>
      <c r="AY30" s="68">
        <f>IF(AM30="Sand",Input!$AA$35,0.5)</f>
        <v/>
      </c>
      <c r="AZ30" s="68">
        <f>Input!$AA$15/2/AL30</f>
        <v/>
      </c>
      <c r="BA30" s="68">
        <f>Input!$AA$16/2/AL30</f>
        <v/>
      </c>
      <c r="BB30" s="68">
        <f>1/(4*PI())*(2*AZ30*BA30*SQRT(AZ30^2+BA30^2+1)/(AZ30^2+BA30^2+1+AZ30^2*BA30^2)*(AZ30^2+BA30^2+2)/(AZ30^2+BA30^2+1)+ATAN2(AZ30^2+BA30^2+1-AZ30^2*BA30^2,2*AZ30*BA30*SQRT(AZ30^2+BA30^2+1)))</f>
        <v/>
      </c>
      <c r="BC30" s="68">
        <f>4*Input!$AA$14*BB30</f>
        <v/>
      </c>
      <c r="BD30" s="68">
        <f>((Input!$AA$16/Input!$AA$15)*LN((1+SQRT((Input!$AA$16/Input!$AA$15)^2+1))*SQRT((Input!$AA$16/Input!$AA$15)^2+(AJ30/(Input!$AA$15/2))^2)/((Input!$AA$16/Input!$AA$15)*(1+SQRT((Input!$AA$16/Input!$AA$15)^2+(AJ30/(Input!$AA$15/2))^2+1))))+LN(((Input!$AA$16/Input!$AA$15)+SQRT((Input!$AA$16/Input!$AA$15)^2+1))*SQRT(1+(AJ30/(Input!$AA$15/2))^2)/((Input!$AA$16/Input!$AA$15)+SQRT((Input!$AA$16/Input!$AA$15)^2+(AJ30/(Input!$AA$15/2))^2+1))))/PI()</f>
        <v/>
      </c>
      <c r="BE30" s="68">
        <f>(AJ30/(Input!$AA$15/2))/(2*PI())*ATAN((Input!$AA$16/Input!$AA$15)/((AJ30/(Input!$AA$15/2))*SQRT((Input!$AA$16/Input!$AA$15)^2+(AJ30/(Input!$AA$15/2))^2+1)))</f>
        <v/>
      </c>
      <c r="BF30" s="68">
        <f>MAX(0,AJ30-MAX(AI30,$AA$22))/AK30*IF(BC30&gt;=Input!$AA$21*AQ30,1,0)</f>
        <v/>
      </c>
      <c r="BG30" s="68">
        <f>4*Input!$AA$14*(Input!$AA$15/2)*(1-AY30^2)/AX30*((BD30-BD29)+(1-2*AY30)/(1-AY30)*(BE30-BE29))*1000*BF30</f>
        <v/>
      </c>
      <c r="BH30" s="68">
        <f>IF(AM30="Sand",0,0.009*(AR30-10))</f>
        <v/>
      </c>
      <c r="BI30" s="68">
        <f>BH30*Input!$AA$36</f>
        <v/>
      </c>
      <c r="BJ30" s="68">
        <f>IF(AM30="Sand",0,MAX(AV30/Input!$AA$37,AQ30))</f>
        <v/>
      </c>
      <c r="BK30" s="68">
        <f>IF(AM30="Sand",0,1000*AK30/(1+AU30)*IF(AQ30+BC30&lt;=BJ30,BI30*LOG10((AQ30+BC30)/AQ30),BI30*LOG10(BJ30/AQ30)+BH30*LOG10((AQ30+BC30)/BJ30)))*BF30</f>
        <v/>
      </c>
      <c r="BL30" s="68">
        <f>IF(AM30="Sand",0,10^(INDEX(Input!$Q$48:$Q$54,MIN(MATCH(MIN(MAX(AR30,30),120),Input!$C$48:$C$54,1),6))+(MIN(MAX(AR30,30),120)-INDEX(Input!$C$48:$C$54,MIN(MATCH(MIN(MAX(AR30,30),120),Input!$C$48:$C$54,1),6)))/(INDEX(Input!$C$48:$C$54,MIN(MATCH(MIN(MAX(AR30,30),120),Input!$C$48:$C$54,1),6)+1)-INDEX(Input!$C$48:$C$54,MIN(MATCH(MIN(MAX(AR30,30),120),Input!$C$48:$C$54,1),6)))*(INDEX(Input!$Q$48:$Q$54,MIN(MATCH(MIN(MAX(AR30,30),120),Input!$C$48:$C$54,1),6)+1)-INDEX(Input!$Q$48:$Q$54,MIN(MATCH(MIN(MAX(AR30,30),120),Input!$C$48:$C$54,1),6)))))</f>
        <v/>
      </c>
      <c r="BM30" s="68">
        <f>IF(OR(AM30="Sand",BF30=0),0,Input!$AA$38*(AK30/2)^2/(BL30*1E-4*31536000))</f>
        <v/>
      </c>
      <c r="BN30" s="68">
        <f>MAX(0,MIN(AJ30,Input!$AA$20)-AI30)</f>
        <v/>
      </c>
      <c r="BO30" s="68">
        <f>MAX(0,MIN(AJ30,Input!$AA$20)-MAX(AI30,$AA$22))</f>
        <v/>
      </c>
      <c r="BP30" s="68">
        <f>MAX(0,MIN(AJ30,$AA$225)-AI30)</f>
        <v/>
      </c>
      <c r="BQ30" s="68" t="inlineStr"/>
    </row>
    <row r="31">
      <c r="B31" s="9" t="n"/>
      <c r="C31" s="57" t="n">
        <v>4</v>
      </c>
      <c r="D31" s="41" t="n"/>
      <c r="E31" s="55">
        <f>AI31</f>
        <v/>
      </c>
      <c r="F31" s="41" t="n"/>
      <c r="G31" s="41" t="n"/>
      <c r="H31" s="55">
        <f>AJ31</f>
        <v/>
      </c>
      <c r="I31" s="41" t="n"/>
      <c r="J31" s="41" t="n"/>
      <c r="K31" s="52">
        <f>AM31</f>
        <v/>
      </c>
      <c r="L31" s="41" t="n"/>
      <c r="M31" s="41" t="n"/>
      <c r="N31" s="57">
        <f>AN31</f>
        <v/>
      </c>
      <c r="O31" s="41" t="n"/>
      <c r="P31" s="41" t="n"/>
      <c r="Q31" s="53">
        <f>AO31</f>
        <v/>
      </c>
      <c r="R31" s="41" t="n"/>
      <c r="S31" s="41" t="n"/>
      <c r="T31" s="57">
        <f>IF(AR31="","-",AR31)</f>
        <v/>
      </c>
      <c r="U31" s="41" t="n"/>
      <c r="V31" s="57">
        <f>IF(AT31="","-",AT31)</f>
        <v/>
      </c>
      <c r="W31" s="41" t="n"/>
      <c r="X31" s="55">
        <f>AU31</f>
        <v/>
      </c>
      <c r="Y31" s="41" t="n"/>
      <c r="Z31" s="66">
        <f>AV31</f>
        <v/>
      </c>
      <c r="AA31" s="41" t="n"/>
      <c r="AB31" s="41" t="n"/>
      <c r="AC31" s="53">
        <f>AW31</f>
        <v/>
      </c>
      <c r="AD31" s="41" t="n"/>
      <c r="AE31" s="41" t="n"/>
      <c r="AF31" s="15" t="n"/>
      <c r="AI31" s="67" t="n">
        <v>5.5</v>
      </c>
      <c r="AJ31" s="67" t="n">
        <v>6</v>
      </c>
      <c r="AK31" s="68">
        <f>AJ31-AI31</f>
        <v/>
      </c>
      <c r="AL31" s="68">
        <f>(AI31+AJ31)/2</f>
        <v/>
      </c>
      <c r="AM31" s="67" t="inlineStr">
        <is>
          <t>Silt</t>
        </is>
      </c>
      <c r="AN31" s="67" t="n">
        <v>28</v>
      </c>
      <c r="AO31" s="68">
        <f>IF(AL31&gt;$AA$19,$AA$21,$AA$20)</f>
        <v/>
      </c>
      <c r="AP31" s="68">
        <f>AP30+AO31*AK31</f>
        <v/>
      </c>
      <c r="AQ31" s="68">
        <f>AP31-AO31*AK31/2-10*MAX(AL31-$AA$19,0)</f>
        <v/>
      </c>
      <c r="AR31" s="67" t="n">
        <v>29.665</v>
      </c>
      <c r="AS31" s="67" t="n">
        <v>19.806</v>
      </c>
      <c r="AT31" s="68">
        <f>IF(AR31="","",AR31-AS31)</f>
        <v/>
      </c>
      <c r="AU31" s="67" t="n">
        <v>0.681</v>
      </c>
      <c r="AV31" s="68">
        <f>IF(AM31="Sand",0,Input!$AA$31*AN31)</f>
        <v/>
      </c>
      <c r="AW31" s="68">
        <f>IF(AM31="Sand",27.1+0.3*MIN(Input!$AA$32*AN31,60)-0.00054*MIN(Input!$AA$32*AN31,60)^2,MIN(MAX(DEGREES(ASIN(0.8-0.094*LN(MAX(IF(AT31="",10,AT31),5)))),20),30))</f>
        <v/>
      </c>
      <c r="AX31" s="68">
        <f>IF(AM31="Sand",Input!$AA$33*Input!$AA$32*AN31,Input!$AA$34*AV31)</f>
        <v/>
      </c>
      <c r="AY31" s="68">
        <f>IF(AM31="Sand",Input!$AA$35,0.5)</f>
        <v/>
      </c>
      <c r="AZ31" s="68">
        <f>Input!$AA$15/2/AL31</f>
        <v/>
      </c>
      <c r="BA31" s="68">
        <f>Input!$AA$16/2/AL31</f>
        <v/>
      </c>
      <c r="BB31" s="68">
        <f>1/(4*PI())*(2*AZ31*BA31*SQRT(AZ31^2+BA31^2+1)/(AZ31^2+BA31^2+1+AZ31^2*BA31^2)*(AZ31^2+BA31^2+2)/(AZ31^2+BA31^2+1)+ATAN2(AZ31^2+BA31^2+1-AZ31^2*BA31^2,2*AZ31*BA31*SQRT(AZ31^2+BA31^2+1)))</f>
        <v/>
      </c>
      <c r="BC31" s="68">
        <f>4*Input!$AA$14*BB31</f>
        <v/>
      </c>
      <c r="BD31" s="68">
        <f>((Input!$AA$16/Input!$AA$15)*LN((1+SQRT((Input!$AA$16/Input!$AA$15)^2+1))*SQRT((Input!$AA$16/Input!$AA$15)^2+(AJ31/(Input!$AA$15/2))^2)/((Input!$AA$16/Input!$AA$15)*(1+SQRT((Input!$AA$16/Input!$AA$15)^2+(AJ31/(Input!$AA$15/2))^2+1))))+LN(((Input!$AA$16/Input!$AA$15)+SQRT((Input!$AA$16/Input!$AA$15)^2+1))*SQRT(1+(AJ31/(Input!$AA$15/2))^2)/((Input!$AA$16/Input!$AA$15)+SQRT((Input!$AA$16/Input!$AA$15)^2+(AJ31/(Input!$AA$15/2))^2+1))))/PI()</f>
        <v/>
      </c>
      <c r="BE31" s="68">
        <f>(AJ31/(Input!$AA$15/2))/(2*PI())*ATAN((Input!$AA$16/Input!$AA$15)/((AJ31/(Input!$AA$15/2))*SQRT((Input!$AA$16/Input!$AA$15)^2+(AJ31/(Input!$AA$15/2))^2+1)))</f>
        <v/>
      </c>
      <c r="BF31" s="68">
        <f>MAX(0,AJ31-MAX(AI31,$AA$22))/AK31*IF(BC31&gt;=Input!$AA$21*AQ31,1,0)</f>
        <v/>
      </c>
      <c r="BG31" s="68">
        <f>4*Input!$AA$14*(Input!$AA$15/2)*(1-AY31^2)/AX31*((BD31-BD30)+(1-2*AY31)/(1-AY31)*(BE31-BE30))*1000*BF31</f>
        <v/>
      </c>
      <c r="BH31" s="68">
        <f>IF(AM31="Sand",0,0.009*(AR31-10))</f>
        <v/>
      </c>
      <c r="BI31" s="68">
        <f>BH31*Input!$AA$36</f>
        <v/>
      </c>
      <c r="BJ31" s="68">
        <f>IF(AM31="Sand",0,MAX(AV31/Input!$AA$37,AQ31))</f>
        <v/>
      </c>
      <c r="BK31" s="68">
        <f>IF(AM31="Sand",0,1000*AK31/(1+AU31)*IF(AQ31+BC31&lt;=BJ31,BI31*LOG10((AQ31+BC31)/AQ31),BI31*LOG10(BJ31/AQ31)+BH31*LOG10((AQ31+BC31)/BJ31)))*BF31</f>
        <v/>
      </c>
      <c r="BL31" s="68">
        <f>IF(AM31="Sand",0,10^(INDEX(Input!$Q$48:$Q$54,MIN(MATCH(MIN(MAX(AR31,30),120),Input!$C$48:$C$54,1),6))+(MIN(MAX(AR31,30),120)-INDEX(Input!$C$48:$C$54,MIN(MATCH(MIN(MAX(AR31,30),120),Input!$C$48:$C$54,1),6)))/(INDEX(Input!$C$48:$C$54,MIN(MATCH(MIN(MAX(AR31,30),120),Input!$C$48:$C$54,1),6)+1)-INDEX(Input!$C$48:$C$54,MIN(MATCH(MIN(MAX(AR31,30),120),Input!$C$48:$C$54,1),6)))*(INDEX(Input!$Q$48:$Q$54,MIN(MATCH(MIN(MAX(AR31,30),120),Input!$C$48:$C$54,1),6)+1)-INDEX(Input!$Q$48:$Q$54,MIN(MATCH(MIN(MAX(AR31,30),120),Input!$C$48:$C$54,1),6)))))</f>
        <v/>
      </c>
      <c r="BM31" s="68">
        <f>IF(OR(AM31="Sand",BF31=0),0,Input!$AA$38*(AK31/2)^2/(BL31*1E-4*31536000))</f>
        <v/>
      </c>
      <c r="BN31" s="68">
        <f>MAX(0,MIN(AJ31,Input!$AA$20)-AI31)</f>
        <v/>
      </c>
      <c r="BO31" s="68">
        <f>MAX(0,MIN(AJ31,Input!$AA$20)-MAX(AI31,$AA$22))</f>
        <v/>
      </c>
      <c r="BP31" s="68">
        <f>MAX(0,MIN(AJ31,$AA$225)-AI31)</f>
        <v/>
      </c>
      <c r="BQ31" s="68" t="inlineStr">
        <is>
          <t>LL/PL/e0 = borehole average</t>
        </is>
      </c>
    </row>
    <row r="32">
      <c r="B32" s="9" t="n"/>
      <c r="C32" s="57" t="n">
        <v>5</v>
      </c>
      <c r="D32" s="41" t="n"/>
      <c r="E32" s="55">
        <f>AI32</f>
        <v/>
      </c>
      <c r="F32" s="41" t="n"/>
      <c r="G32" s="41" t="n"/>
      <c r="H32" s="55">
        <f>AJ32</f>
        <v/>
      </c>
      <c r="I32" s="41" t="n"/>
      <c r="J32" s="41" t="n"/>
      <c r="K32" s="52">
        <f>AM32</f>
        <v/>
      </c>
      <c r="L32" s="41" t="n"/>
      <c r="M32" s="41" t="n"/>
      <c r="N32" s="57">
        <f>AN32</f>
        <v/>
      </c>
      <c r="O32" s="41" t="n"/>
      <c r="P32" s="41" t="n"/>
      <c r="Q32" s="53">
        <f>AO32</f>
        <v/>
      </c>
      <c r="R32" s="41" t="n"/>
      <c r="S32" s="41" t="n"/>
      <c r="T32" s="57">
        <f>IF(AR32="","-",AR32)</f>
        <v/>
      </c>
      <c r="U32" s="41" t="n"/>
      <c r="V32" s="57">
        <f>IF(AT32="","-",AT32)</f>
        <v/>
      </c>
      <c r="W32" s="41" t="n"/>
      <c r="X32" s="55">
        <f>AU32</f>
        <v/>
      </c>
      <c r="Y32" s="41" t="n"/>
      <c r="Z32" s="66">
        <f>AV32</f>
        <v/>
      </c>
      <c r="AA32" s="41" t="n"/>
      <c r="AB32" s="41" t="n"/>
      <c r="AC32" s="53">
        <f>AW32</f>
        <v/>
      </c>
      <c r="AD32" s="41" t="n"/>
      <c r="AE32" s="41" t="n"/>
      <c r="AF32" s="15" t="n"/>
      <c r="AI32" s="67" t="n">
        <v>6</v>
      </c>
      <c r="AJ32" s="67" t="n">
        <v>7.5</v>
      </c>
      <c r="AK32" s="68">
        <f>AJ32-AI32</f>
        <v/>
      </c>
      <c r="AL32" s="68">
        <f>(AI32+AJ32)/2</f>
        <v/>
      </c>
      <c r="AM32" s="67" t="inlineStr">
        <is>
          <t>Silt</t>
        </is>
      </c>
      <c r="AN32" s="67" t="n">
        <v>30</v>
      </c>
      <c r="AO32" s="68">
        <f>IF(AL32&gt;$AA$19,$AA$21,$AA$20)</f>
        <v/>
      </c>
      <c r="AP32" s="68">
        <f>AP31+AO32*AK32</f>
        <v/>
      </c>
      <c r="AQ32" s="68">
        <f>AP32-AO32*AK32/2-10*MAX(AL32-$AA$19,0)</f>
        <v/>
      </c>
      <c r="AR32" s="67" t="n">
        <v>29.665</v>
      </c>
      <c r="AS32" s="67" t="n">
        <v>19.806</v>
      </c>
      <c r="AT32" s="68">
        <f>IF(AR32="","",AR32-AS32)</f>
        <v/>
      </c>
      <c r="AU32" s="67" t="n">
        <v>0.681</v>
      </c>
      <c r="AV32" s="68">
        <f>IF(AM32="Sand",0,Input!$AA$31*AN32)</f>
        <v/>
      </c>
      <c r="AW32" s="68">
        <f>IF(AM32="Sand",27.1+0.3*MIN(Input!$AA$32*AN32,60)-0.00054*MIN(Input!$AA$32*AN32,60)^2,MIN(MAX(DEGREES(ASIN(0.8-0.094*LN(MAX(IF(AT32="",10,AT32),5)))),20),30))</f>
        <v/>
      </c>
      <c r="AX32" s="68">
        <f>IF(AM32="Sand",Input!$AA$33*Input!$AA$32*AN32,Input!$AA$34*AV32)</f>
        <v/>
      </c>
      <c r="AY32" s="68">
        <f>IF(AM32="Sand",Input!$AA$35,0.5)</f>
        <v/>
      </c>
      <c r="AZ32" s="68">
        <f>Input!$AA$15/2/AL32</f>
        <v/>
      </c>
      <c r="BA32" s="68">
        <f>Input!$AA$16/2/AL32</f>
        <v/>
      </c>
      <c r="BB32" s="68">
        <f>1/(4*PI())*(2*AZ32*BA32*SQRT(AZ32^2+BA32^2+1)/(AZ32^2+BA32^2+1+AZ32^2*BA32^2)*(AZ32^2+BA32^2+2)/(AZ32^2+BA32^2+1)+ATAN2(AZ32^2+BA32^2+1-AZ32^2*BA32^2,2*AZ32*BA32*SQRT(AZ32^2+BA32^2+1)))</f>
        <v/>
      </c>
      <c r="BC32" s="68">
        <f>4*Input!$AA$14*BB32</f>
        <v/>
      </c>
      <c r="BD32" s="68">
        <f>((Input!$AA$16/Input!$AA$15)*LN((1+SQRT((Input!$AA$16/Input!$AA$15)^2+1))*SQRT((Input!$AA$16/Input!$AA$15)^2+(AJ32/(Input!$AA$15/2))^2)/((Input!$AA$16/Input!$AA$15)*(1+SQRT((Input!$AA$16/Input!$AA$15)^2+(AJ32/(Input!$AA$15/2))^2+1))))+LN(((Input!$AA$16/Input!$AA$15)+SQRT((Input!$AA$16/Input!$AA$15)^2+1))*SQRT(1+(AJ32/(Input!$AA$15/2))^2)/((Input!$AA$16/Input!$AA$15)+SQRT((Input!$AA$16/Input!$AA$15)^2+(AJ32/(Input!$AA$15/2))^2+1))))/PI()</f>
        <v/>
      </c>
      <c r="BE32" s="68">
        <f>(AJ32/(Input!$AA$15/2))/(2*PI())*ATAN((Input!$AA$16/Input!$AA$15)/((AJ32/(Input!$AA$15/2))*SQRT((Input!$AA$16/Input!$AA$15)^2+(AJ32/(Input!$AA$15/2))^2+1)))</f>
        <v/>
      </c>
      <c r="BF32" s="68">
        <f>MAX(0,AJ32-MAX(AI32,$AA$22))/AK32*IF(BC32&gt;=Input!$AA$21*AQ32,1,0)</f>
        <v/>
      </c>
      <c r="BG32" s="68">
        <f>4*Input!$AA$14*(Input!$AA$15/2)*(1-AY32^2)/AX32*((BD32-BD31)+(1-2*AY32)/(1-AY32)*(BE32-BE31))*1000*BF32</f>
        <v/>
      </c>
      <c r="BH32" s="68">
        <f>IF(AM32="Sand",0,0.009*(AR32-10))</f>
        <v/>
      </c>
      <c r="BI32" s="68">
        <f>BH32*Input!$AA$36</f>
        <v/>
      </c>
      <c r="BJ32" s="68">
        <f>IF(AM32="Sand",0,MAX(AV32/Input!$AA$37,AQ32))</f>
        <v/>
      </c>
      <c r="BK32" s="68">
        <f>IF(AM32="Sand",0,1000*AK32/(1+AU32)*IF(AQ32+BC32&lt;=BJ32,BI32*LOG10((AQ32+BC32)/AQ32),BI32*LOG10(BJ32/AQ32)+BH32*LOG10((AQ32+BC32)/BJ32)))*BF32</f>
        <v/>
      </c>
      <c r="BL32" s="68">
        <f>IF(AM32="Sand",0,10^(INDEX(Input!$Q$48:$Q$54,MIN(MATCH(MIN(MAX(AR32,30),120),Input!$C$48:$C$54,1),6))+(MIN(MAX(AR32,30),120)-INDEX(Input!$C$48:$C$54,MIN(MATCH(MIN(MAX(AR32,30),120),Input!$C$48:$C$54,1),6)))/(INDEX(Input!$C$48:$C$54,MIN(MATCH(MIN(MAX(AR32,30),120),Input!$C$48:$C$54,1),6)+1)-INDEX(Input!$C$48:$C$54,MIN(MATCH(MIN(MAX(AR32,30),120),Input!$C$48:$C$54,1),6)))*(INDEX(Input!$Q$48:$Q$54,MIN(MATCH(MIN(MAX(AR32,30),120),Input!$C$48:$C$54,1),6)+1)-INDEX(Input!$Q$48:$Q$54,MIN(MATCH(MIN(MAX(AR32,30),120),Input!$C$48:$C$54,1),6)))))</f>
        <v/>
      </c>
      <c r="BM32" s="68">
        <f>IF(OR(AM32="Sand",BF32=0),0,Input!$AA$38*(AK32/2)^2/(BL32*1E-4*31536000))</f>
        <v/>
      </c>
      <c r="BN32" s="68">
        <f>MAX(0,MIN(AJ32,Input!$AA$20)-AI32)</f>
        <v/>
      </c>
      <c r="BO32" s="68">
        <f>MAX(0,MIN(AJ32,Input!$AA$20)-MAX(AI32,$AA$22))</f>
        <v/>
      </c>
      <c r="BP32" s="68">
        <f>MAX(0,MIN(AJ32,$AA$225)-AI32)</f>
        <v/>
      </c>
      <c r="BQ32" s="68" t="inlineStr">
        <is>
          <t>LL/PL/e0 = borehole average</t>
        </is>
      </c>
    </row>
    <row r="33">
      <c r="B33" s="9" t="n"/>
      <c r="C33" s="57" t="n">
        <v>6</v>
      </c>
      <c r="D33" s="41" t="n"/>
      <c r="E33" s="55">
        <f>AI33</f>
        <v/>
      </c>
      <c r="F33" s="41" t="n"/>
      <c r="G33" s="41" t="n"/>
      <c r="H33" s="55">
        <f>AJ33</f>
        <v/>
      </c>
      <c r="I33" s="41" t="n"/>
      <c r="J33" s="41" t="n"/>
      <c r="K33" s="52">
        <f>AM33</f>
        <v/>
      </c>
      <c r="L33" s="41" t="n"/>
      <c r="M33" s="41" t="n"/>
      <c r="N33" s="57">
        <f>AN33</f>
        <v/>
      </c>
      <c r="O33" s="41" t="n"/>
      <c r="P33" s="41" t="n"/>
      <c r="Q33" s="53">
        <f>AO33</f>
        <v/>
      </c>
      <c r="R33" s="41" t="n"/>
      <c r="S33" s="41" t="n"/>
      <c r="T33" s="57">
        <f>IF(AR33="","-",AR33)</f>
        <v/>
      </c>
      <c r="U33" s="41" t="n"/>
      <c r="V33" s="57">
        <f>IF(AT33="","-",AT33)</f>
        <v/>
      </c>
      <c r="W33" s="41" t="n"/>
      <c r="X33" s="55">
        <f>AU33</f>
        <v/>
      </c>
      <c r="Y33" s="41" t="n"/>
      <c r="Z33" s="66">
        <f>AV33</f>
        <v/>
      </c>
      <c r="AA33" s="41" t="n"/>
      <c r="AB33" s="41" t="n"/>
      <c r="AC33" s="53">
        <f>AW33</f>
        <v/>
      </c>
      <c r="AD33" s="41" t="n"/>
      <c r="AE33" s="41" t="n"/>
      <c r="AF33" s="15" t="n"/>
      <c r="AI33" s="67" t="n">
        <v>7.5</v>
      </c>
      <c r="AJ33" s="67" t="n">
        <v>9</v>
      </c>
      <c r="AK33" s="68">
        <f>AJ33-AI33</f>
        <v/>
      </c>
      <c r="AL33" s="68">
        <f>(AI33+AJ33)/2</f>
        <v/>
      </c>
      <c r="AM33" s="67" t="inlineStr">
        <is>
          <t>Sand</t>
        </is>
      </c>
      <c r="AN33" s="67" t="n">
        <v>35</v>
      </c>
      <c r="AO33" s="68">
        <f>IF(AL33&gt;$AA$19,$AA$21,$AA$20)</f>
        <v/>
      </c>
      <c r="AP33" s="68">
        <f>AP32+AO33*AK33</f>
        <v/>
      </c>
      <c r="AQ33" s="68">
        <f>AP33-AO33*AK33/2-10*MAX(AL33-$AA$19,0)</f>
        <v/>
      </c>
      <c r="AR33" s="67" t="n"/>
      <c r="AS33" s="67" t="n"/>
      <c r="AT33" s="68">
        <f>IF(AR33="","",AR33-AS33)</f>
        <v/>
      </c>
      <c r="AU33" s="67" t="n">
        <v>0.65</v>
      </c>
      <c r="AV33" s="68">
        <f>IF(AM33="Sand",0,Input!$AA$31*AN33)</f>
        <v/>
      </c>
      <c r="AW33" s="68">
        <f>IF(AM33="Sand",27.1+0.3*MIN(Input!$AA$32*AN33,60)-0.00054*MIN(Input!$AA$32*AN33,60)^2,MIN(MAX(DEGREES(ASIN(0.8-0.094*LN(MAX(IF(AT33="",10,AT33),5)))),20),30))</f>
        <v/>
      </c>
      <c r="AX33" s="68">
        <f>IF(AM33="Sand",Input!$AA$33*Input!$AA$32*AN33,Input!$AA$34*AV33)</f>
        <v/>
      </c>
      <c r="AY33" s="68">
        <f>IF(AM33="Sand",Input!$AA$35,0.5)</f>
        <v/>
      </c>
      <c r="AZ33" s="68">
        <f>Input!$AA$15/2/AL33</f>
        <v/>
      </c>
      <c r="BA33" s="68">
        <f>Input!$AA$16/2/AL33</f>
        <v/>
      </c>
      <c r="BB33" s="68">
        <f>1/(4*PI())*(2*AZ33*BA33*SQRT(AZ33^2+BA33^2+1)/(AZ33^2+BA33^2+1+AZ33^2*BA33^2)*(AZ33^2+BA33^2+2)/(AZ33^2+BA33^2+1)+ATAN2(AZ33^2+BA33^2+1-AZ33^2*BA33^2,2*AZ33*BA33*SQRT(AZ33^2+BA33^2+1)))</f>
        <v/>
      </c>
      <c r="BC33" s="68">
        <f>4*Input!$AA$14*BB33</f>
        <v/>
      </c>
      <c r="BD33" s="68">
        <f>((Input!$AA$16/Input!$AA$15)*LN((1+SQRT((Input!$AA$16/Input!$AA$15)^2+1))*SQRT((Input!$AA$16/Input!$AA$15)^2+(AJ33/(Input!$AA$15/2))^2)/((Input!$AA$16/Input!$AA$15)*(1+SQRT((Input!$AA$16/Input!$AA$15)^2+(AJ33/(Input!$AA$15/2))^2+1))))+LN(((Input!$AA$16/Input!$AA$15)+SQRT((Input!$AA$16/Input!$AA$15)^2+1))*SQRT(1+(AJ33/(Input!$AA$15/2))^2)/((Input!$AA$16/Input!$AA$15)+SQRT((Input!$AA$16/Input!$AA$15)^2+(AJ33/(Input!$AA$15/2))^2+1))))/PI()</f>
        <v/>
      </c>
      <c r="BE33" s="68">
        <f>(AJ33/(Input!$AA$15/2))/(2*PI())*ATAN((Input!$AA$16/Input!$AA$15)/((AJ33/(Input!$AA$15/2))*SQRT((Input!$AA$16/Input!$AA$15)^2+(AJ33/(Input!$AA$15/2))^2+1)))</f>
        <v/>
      </c>
      <c r="BF33" s="68">
        <f>MAX(0,AJ33-MAX(AI33,$AA$22))/AK33*IF(BC33&gt;=Input!$AA$21*AQ33,1,0)</f>
        <v/>
      </c>
      <c r="BG33" s="68">
        <f>4*Input!$AA$14*(Input!$AA$15/2)*(1-AY33^2)/AX33*((BD33-BD32)+(1-2*AY33)/(1-AY33)*(BE33-BE32))*1000*BF33</f>
        <v/>
      </c>
      <c r="BH33" s="68">
        <f>IF(AM33="Sand",0,0.009*(AR33-10))</f>
        <v/>
      </c>
      <c r="BI33" s="68">
        <f>BH33*Input!$AA$36</f>
        <v/>
      </c>
      <c r="BJ33" s="68">
        <f>IF(AM33="Sand",0,MAX(AV33/Input!$AA$37,AQ33))</f>
        <v/>
      </c>
      <c r="BK33" s="68">
        <f>IF(AM33="Sand",0,1000*AK33/(1+AU33)*IF(AQ33+BC33&lt;=BJ33,BI33*LOG10((AQ33+BC33)/AQ33),BI33*LOG10(BJ33/AQ33)+BH33*LOG10((AQ33+BC33)/BJ33)))*BF33</f>
        <v/>
      </c>
      <c r="BL33" s="68">
        <f>IF(AM33="Sand",0,10^(INDEX(Input!$Q$48:$Q$54,MIN(MATCH(MIN(MAX(AR33,30),120),Input!$C$48:$C$54,1),6))+(MIN(MAX(AR33,30),120)-INDEX(Input!$C$48:$C$54,MIN(MATCH(MIN(MAX(AR33,30),120),Input!$C$48:$C$54,1),6)))/(INDEX(Input!$C$48:$C$54,MIN(MATCH(MIN(MAX(AR33,30),120),Input!$C$48:$C$54,1),6)+1)-INDEX(Input!$C$48:$C$54,MIN(MATCH(MIN(MAX(AR33,30),120),Input!$C$48:$C$54,1),6)))*(INDEX(Input!$Q$48:$Q$54,MIN(MATCH(MIN(MAX(AR33,30),120),Input!$C$48:$C$54,1),6)+1)-INDEX(Input!$Q$48:$Q$54,MIN(MATCH(MIN(MAX(AR33,30),120),Input!$C$48:$C$54,1),6)))))</f>
        <v/>
      </c>
      <c r="BM33" s="68">
        <f>IF(OR(AM33="Sand",BF33=0),0,Input!$AA$38*(AK33/2)^2/(BL33*1E-4*31536000))</f>
        <v/>
      </c>
      <c r="BN33" s="68">
        <f>MAX(0,MIN(AJ33,Input!$AA$20)-AI33)</f>
        <v/>
      </c>
      <c r="BO33" s="68">
        <f>MAX(0,MIN(AJ33,Input!$AA$20)-MAX(AI33,$AA$22))</f>
        <v/>
      </c>
      <c r="BP33" s="68">
        <f>MAX(0,MIN(AJ33,$AA$225)-AI33)</f>
        <v/>
      </c>
      <c r="BQ33" s="68" t="inlineStr"/>
    </row>
    <row r="34">
      <c r="B34" s="9" t="n"/>
      <c r="C34" s="57" t="n">
        <v>7</v>
      </c>
      <c r="D34" s="41" t="n"/>
      <c r="E34" s="55">
        <f>AI34</f>
        <v/>
      </c>
      <c r="F34" s="41" t="n"/>
      <c r="G34" s="41" t="n"/>
      <c r="H34" s="55">
        <f>AJ34</f>
        <v/>
      </c>
      <c r="I34" s="41" t="n"/>
      <c r="J34" s="41" t="n"/>
      <c r="K34" s="52">
        <f>AM34</f>
        <v/>
      </c>
      <c r="L34" s="41" t="n"/>
      <c r="M34" s="41" t="n"/>
      <c r="N34" s="57">
        <f>AN34</f>
        <v/>
      </c>
      <c r="O34" s="41" t="n"/>
      <c r="P34" s="41" t="n"/>
      <c r="Q34" s="53">
        <f>AO34</f>
        <v/>
      </c>
      <c r="R34" s="41" t="n"/>
      <c r="S34" s="41" t="n"/>
      <c r="T34" s="57">
        <f>IF(AR34="","-",AR34)</f>
        <v/>
      </c>
      <c r="U34" s="41" t="n"/>
      <c r="V34" s="57">
        <f>IF(AT34="","-",AT34)</f>
        <v/>
      </c>
      <c r="W34" s="41" t="n"/>
      <c r="X34" s="55">
        <f>AU34</f>
        <v/>
      </c>
      <c r="Y34" s="41" t="n"/>
      <c r="Z34" s="66">
        <f>AV34</f>
        <v/>
      </c>
      <c r="AA34" s="41" t="n"/>
      <c r="AB34" s="41" t="n"/>
      <c r="AC34" s="53">
        <f>AW34</f>
        <v/>
      </c>
      <c r="AD34" s="41" t="n"/>
      <c r="AE34" s="41" t="n"/>
      <c r="AF34" s="15" t="n"/>
      <c r="AI34" s="67" t="n">
        <v>9</v>
      </c>
      <c r="AJ34" s="67" t="n">
        <v>10.5</v>
      </c>
      <c r="AK34" s="68">
        <f>AJ34-AI34</f>
        <v/>
      </c>
      <c r="AL34" s="68">
        <f>(AI34+AJ34)/2</f>
        <v/>
      </c>
      <c r="AM34" s="67" t="inlineStr">
        <is>
          <t>Sand</t>
        </is>
      </c>
      <c r="AN34" s="67" t="n">
        <v>34</v>
      </c>
      <c r="AO34" s="68">
        <f>IF(AL34&gt;$AA$19,$AA$21,$AA$20)</f>
        <v/>
      </c>
      <c r="AP34" s="68">
        <f>AP33+AO34*AK34</f>
        <v/>
      </c>
      <c r="AQ34" s="68">
        <f>AP34-AO34*AK34/2-10*MAX(AL34-$AA$19,0)</f>
        <v/>
      </c>
      <c r="AR34" s="67" t="n"/>
      <c r="AS34" s="67" t="n"/>
      <c r="AT34" s="68">
        <f>IF(AR34="","",AR34-AS34)</f>
        <v/>
      </c>
      <c r="AU34" s="67" t="n">
        <v>0.465</v>
      </c>
      <c r="AV34" s="68">
        <f>IF(AM34="Sand",0,Input!$AA$31*AN34)</f>
        <v/>
      </c>
      <c r="AW34" s="68">
        <f>IF(AM34="Sand",27.1+0.3*MIN(Input!$AA$32*AN34,60)-0.00054*MIN(Input!$AA$32*AN34,60)^2,MIN(MAX(DEGREES(ASIN(0.8-0.094*LN(MAX(IF(AT34="",10,AT34),5)))),20),30))</f>
        <v/>
      </c>
      <c r="AX34" s="68">
        <f>IF(AM34="Sand",Input!$AA$33*Input!$AA$32*AN34,Input!$AA$34*AV34)</f>
        <v/>
      </c>
      <c r="AY34" s="68">
        <f>IF(AM34="Sand",Input!$AA$35,0.5)</f>
        <v/>
      </c>
      <c r="AZ34" s="68">
        <f>Input!$AA$15/2/AL34</f>
        <v/>
      </c>
      <c r="BA34" s="68">
        <f>Input!$AA$16/2/AL34</f>
        <v/>
      </c>
      <c r="BB34" s="68">
        <f>1/(4*PI())*(2*AZ34*BA34*SQRT(AZ34^2+BA34^2+1)/(AZ34^2+BA34^2+1+AZ34^2*BA34^2)*(AZ34^2+BA34^2+2)/(AZ34^2+BA34^2+1)+ATAN2(AZ34^2+BA34^2+1-AZ34^2*BA34^2,2*AZ34*BA34*SQRT(AZ34^2+BA34^2+1)))</f>
        <v/>
      </c>
      <c r="BC34" s="68">
        <f>4*Input!$AA$14*BB34</f>
        <v/>
      </c>
      <c r="BD34" s="68">
        <f>((Input!$AA$16/Input!$AA$15)*LN((1+SQRT((Input!$AA$16/Input!$AA$15)^2+1))*SQRT((Input!$AA$16/Input!$AA$15)^2+(AJ34/(Input!$AA$15/2))^2)/((Input!$AA$16/Input!$AA$15)*(1+SQRT((Input!$AA$16/Input!$AA$15)^2+(AJ34/(Input!$AA$15/2))^2+1))))+LN(((Input!$AA$16/Input!$AA$15)+SQRT((Input!$AA$16/Input!$AA$15)^2+1))*SQRT(1+(AJ34/(Input!$AA$15/2))^2)/((Input!$AA$16/Input!$AA$15)+SQRT((Input!$AA$16/Input!$AA$15)^2+(AJ34/(Input!$AA$15/2))^2+1))))/PI()</f>
        <v/>
      </c>
      <c r="BE34" s="68">
        <f>(AJ34/(Input!$AA$15/2))/(2*PI())*ATAN((Input!$AA$16/Input!$AA$15)/((AJ34/(Input!$AA$15/2))*SQRT((Input!$AA$16/Input!$AA$15)^2+(AJ34/(Input!$AA$15/2))^2+1)))</f>
        <v/>
      </c>
      <c r="BF34" s="68">
        <f>MAX(0,AJ34-MAX(AI34,$AA$22))/AK34*IF(BC34&gt;=Input!$AA$21*AQ34,1,0)</f>
        <v/>
      </c>
      <c r="BG34" s="68">
        <f>4*Input!$AA$14*(Input!$AA$15/2)*(1-AY34^2)/AX34*((BD34-BD33)+(1-2*AY34)/(1-AY34)*(BE34-BE33))*1000*BF34</f>
        <v/>
      </c>
      <c r="BH34" s="68">
        <f>IF(AM34="Sand",0,0.009*(AR34-10))</f>
        <v/>
      </c>
      <c r="BI34" s="68">
        <f>BH34*Input!$AA$36</f>
        <v/>
      </c>
      <c r="BJ34" s="68">
        <f>IF(AM34="Sand",0,MAX(AV34/Input!$AA$37,AQ34))</f>
        <v/>
      </c>
      <c r="BK34" s="68">
        <f>IF(AM34="Sand",0,1000*AK34/(1+AU34)*IF(AQ34+BC34&lt;=BJ34,BI34*LOG10((AQ34+BC34)/AQ34),BI34*LOG10(BJ34/AQ34)+BH34*LOG10((AQ34+BC34)/BJ34)))*BF34</f>
        <v/>
      </c>
      <c r="BL34" s="68">
        <f>IF(AM34="Sand",0,10^(INDEX(Input!$Q$48:$Q$54,MIN(MATCH(MIN(MAX(AR34,30),120),Input!$C$48:$C$54,1),6))+(MIN(MAX(AR34,30),120)-INDEX(Input!$C$48:$C$54,MIN(MATCH(MIN(MAX(AR34,30),120),Input!$C$48:$C$54,1),6)))/(INDEX(Input!$C$48:$C$54,MIN(MATCH(MIN(MAX(AR34,30),120),Input!$C$48:$C$54,1),6)+1)-INDEX(Input!$C$48:$C$54,MIN(MATCH(MIN(MAX(AR34,30),120),Input!$C$48:$C$54,1),6)))*(INDEX(Input!$Q$48:$Q$54,MIN(MATCH(MIN(MAX(AR34,30),120),Input!$C$48:$C$54,1),6)+1)-INDEX(Input!$Q$48:$Q$54,MIN(MATCH(MIN(MAX(AR34,30),120),Input!$C$48:$C$54,1),6)))))</f>
        <v/>
      </c>
      <c r="BM34" s="68">
        <f>IF(OR(AM34="Sand",BF34=0),0,Input!$AA$38*(AK34/2)^2/(BL34*1E-4*31536000))</f>
        <v/>
      </c>
      <c r="BN34" s="68">
        <f>MAX(0,MIN(AJ34,Input!$AA$20)-AI34)</f>
        <v/>
      </c>
      <c r="BO34" s="68">
        <f>MAX(0,MIN(AJ34,Input!$AA$20)-MAX(AI34,$AA$22))</f>
        <v/>
      </c>
      <c r="BP34" s="68">
        <f>MAX(0,MIN(AJ34,$AA$225)-AI34)</f>
        <v/>
      </c>
      <c r="BQ34" s="68" t="inlineStr"/>
    </row>
    <row r="35">
      <c r="B35" s="9" t="n"/>
      <c r="C35" s="57" t="n">
        <v>8</v>
      </c>
      <c r="D35" s="41" t="n"/>
      <c r="E35" s="55">
        <f>AI35</f>
        <v/>
      </c>
      <c r="F35" s="41" t="n"/>
      <c r="G35" s="41" t="n"/>
      <c r="H35" s="55">
        <f>AJ35</f>
        <v/>
      </c>
      <c r="I35" s="41" t="n"/>
      <c r="J35" s="41" t="n"/>
      <c r="K35" s="52">
        <f>AM35</f>
        <v/>
      </c>
      <c r="L35" s="41" t="n"/>
      <c r="M35" s="41" t="n"/>
      <c r="N35" s="57">
        <f>AN35</f>
        <v/>
      </c>
      <c r="O35" s="41" t="n"/>
      <c r="P35" s="41" t="n"/>
      <c r="Q35" s="53">
        <f>AO35</f>
        <v/>
      </c>
      <c r="R35" s="41" t="n"/>
      <c r="S35" s="41" t="n"/>
      <c r="T35" s="57">
        <f>IF(AR35="","-",AR35)</f>
        <v/>
      </c>
      <c r="U35" s="41" t="n"/>
      <c r="V35" s="57">
        <f>IF(AT35="","-",AT35)</f>
        <v/>
      </c>
      <c r="W35" s="41" t="n"/>
      <c r="X35" s="55">
        <f>AU35</f>
        <v/>
      </c>
      <c r="Y35" s="41" t="n"/>
      <c r="Z35" s="66">
        <f>AV35</f>
        <v/>
      </c>
      <c r="AA35" s="41" t="n"/>
      <c r="AB35" s="41" t="n"/>
      <c r="AC35" s="53">
        <f>AW35</f>
        <v/>
      </c>
      <c r="AD35" s="41" t="n"/>
      <c r="AE35" s="41" t="n"/>
      <c r="AF35" s="15" t="n"/>
      <c r="AI35" s="67" t="n">
        <v>10.5</v>
      </c>
      <c r="AJ35" s="67" t="n">
        <v>12</v>
      </c>
      <c r="AK35" s="68">
        <f>AJ35-AI35</f>
        <v/>
      </c>
      <c r="AL35" s="68">
        <f>(AI35+AJ35)/2</f>
        <v/>
      </c>
      <c r="AM35" s="67" t="inlineStr">
        <is>
          <t>Sand</t>
        </is>
      </c>
      <c r="AN35" s="67" t="n">
        <v>13</v>
      </c>
      <c r="AO35" s="68">
        <f>IF(AL35&gt;$AA$19,$AA$21,$AA$20)</f>
        <v/>
      </c>
      <c r="AP35" s="68">
        <f>AP34+AO35*AK35</f>
        <v/>
      </c>
      <c r="AQ35" s="68">
        <f>AP35-AO35*AK35/2-10*MAX(AL35-$AA$19,0)</f>
        <v/>
      </c>
      <c r="AR35" s="67" t="n"/>
      <c r="AS35" s="67" t="n"/>
      <c r="AT35" s="68">
        <f>IF(AR35="","",AR35-AS35)</f>
        <v/>
      </c>
      <c r="AU35" s="67" t="n">
        <v>0.65</v>
      </c>
      <c r="AV35" s="68">
        <f>IF(AM35="Sand",0,Input!$AA$31*AN35)</f>
        <v/>
      </c>
      <c r="AW35" s="68">
        <f>IF(AM35="Sand",27.1+0.3*MIN(Input!$AA$32*AN35,60)-0.00054*MIN(Input!$AA$32*AN35,60)^2,MIN(MAX(DEGREES(ASIN(0.8-0.094*LN(MAX(IF(AT35="",10,AT35),5)))),20),30))</f>
        <v/>
      </c>
      <c r="AX35" s="68">
        <f>IF(AM35="Sand",Input!$AA$33*Input!$AA$32*AN35,Input!$AA$34*AV35)</f>
        <v/>
      </c>
      <c r="AY35" s="68">
        <f>IF(AM35="Sand",Input!$AA$35,0.5)</f>
        <v/>
      </c>
      <c r="AZ35" s="68">
        <f>Input!$AA$15/2/AL35</f>
        <v/>
      </c>
      <c r="BA35" s="68">
        <f>Input!$AA$16/2/AL35</f>
        <v/>
      </c>
      <c r="BB35" s="68">
        <f>1/(4*PI())*(2*AZ35*BA35*SQRT(AZ35^2+BA35^2+1)/(AZ35^2+BA35^2+1+AZ35^2*BA35^2)*(AZ35^2+BA35^2+2)/(AZ35^2+BA35^2+1)+ATAN2(AZ35^2+BA35^2+1-AZ35^2*BA35^2,2*AZ35*BA35*SQRT(AZ35^2+BA35^2+1)))</f>
        <v/>
      </c>
      <c r="BC35" s="68">
        <f>4*Input!$AA$14*BB35</f>
        <v/>
      </c>
      <c r="BD35" s="68">
        <f>((Input!$AA$16/Input!$AA$15)*LN((1+SQRT((Input!$AA$16/Input!$AA$15)^2+1))*SQRT((Input!$AA$16/Input!$AA$15)^2+(AJ35/(Input!$AA$15/2))^2)/((Input!$AA$16/Input!$AA$15)*(1+SQRT((Input!$AA$16/Input!$AA$15)^2+(AJ35/(Input!$AA$15/2))^2+1))))+LN(((Input!$AA$16/Input!$AA$15)+SQRT((Input!$AA$16/Input!$AA$15)^2+1))*SQRT(1+(AJ35/(Input!$AA$15/2))^2)/((Input!$AA$16/Input!$AA$15)+SQRT((Input!$AA$16/Input!$AA$15)^2+(AJ35/(Input!$AA$15/2))^2+1))))/PI()</f>
        <v/>
      </c>
      <c r="BE35" s="68">
        <f>(AJ35/(Input!$AA$15/2))/(2*PI())*ATAN((Input!$AA$16/Input!$AA$15)/((AJ35/(Input!$AA$15/2))*SQRT((Input!$AA$16/Input!$AA$15)^2+(AJ35/(Input!$AA$15/2))^2+1)))</f>
        <v/>
      </c>
      <c r="BF35" s="68">
        <f>MAX(0,AJ35-MAX(AI35,$AA$22))/AK35*IF(BC35&gt;=Input!$AA$21*AQ35,1,0)</f>
        <v/>
      </c>
      <c r="BG35" s="68">
        <f>4*Input!$AA$14*(Input!$AA$15/2)*(1-AY35^2)/AX35*((BD35-BD34)+(1-2*AY35)/(1-AY35)*(BE35-BE34))*1000*BF35</f>
        <v/>
      </c>
      <c r="BH35" s="68">
        <f>IF(AM35="Sand",0,0.009*(AR35-10))</f>
        <v/>
      </c>
      <c r="BI35" s="68">
        <f>BH35*Input!$AA$36</f>
        <v/>
      </c>
      <c r="BJ35" s="68">
        <f>IF(AM35="Sand",0,MAX(AV35/Input!$AA$37,AQ35))</f>
        <v/>
      </c>
      <c r="BK35" s="68">
        <f>IF(AM35="Sand",0,1000*AK35/(1+AU35)*IF(AQ35+BC35&lt;=BJ35,BI35*LOG10((AQ35+BC35)/AQ35),BI35*LOG10(BJ35/AQ35)+BH35*LOG10((AQ35+BC35)/BJ35)))*BF35</f>
        <v/>
      </c>
      <c r="BL35" s="68">
        <f>IF(AM35="Sand",0,10^(INDEX(Input!$Q$48:$Q$54,MIN(MATCH(MIN(MAX(AR35,30),120),Input!$C$48:$C$54,1),6))+(MIN(MAX(AR35,30),120)-INDEX(Input!$C$48:$C$54,MIN(MATCH(MIN(MAX(AR35,30),120),Input!$C$48:$C$54,1),6)))/(INDEX(Input!$C$48:$C$54,MIN(MATCH(MIN(MAX(AR35,30),120),Input!$C$48:$C$54,1),6)+1)-INDEX(Input!$C$48:$C$54,MIN(MATCH(MIN(MAX(AR35,30),120),Input!$C$48:$C$54,1),6)))*(INDEX(Input!$Q$48:$Q$54,MIN(MATCH(MIN(MAX(AR35,30),120),Input!$C$48:$C$54,1),6)+1)-INDEX(Input!$Q$48:$Q$54,MIN(MATCH(MIN(MAX(AR35,30),120),Input!$C$48:$C$54,1),6)))))</f>
        <v/>
      </c>
      <c r="BM35" s="68">
        <f>IF(OR(AM35="Sand",BF35=0),0,Input!$AA$38*(AK35/2)^2/(BL35*1E-4*31536000))</f>
        <v/>
      </c>
      <c r="BN35" s="68">
        <f>MAX(0,MIN(AJ35,Input!$AA$20)-AI35)</f>
        <v/>
      </c>
      <c r="BO35" s="68">
        <f>MAX(0,MIN(AJ35,Input!$AA$20)-MAX(AI35,$AA$22))</f>
        <v/>
      </c>
      <c r="BP35" s="68">
        <f>MAX(0,MIN(AJ35,$AA$225)-AI35)</f>
        <v/>
      </c>
      <c r="BQ35" s="68" t="inlineStr"/>
    </row>
    <row r="36">
      <c r="B36" s="9" t="n"/>
      <c r="C36" s="57" t="n">
        <v>9</v>
      </c>
      <c r="D36" s="41" t="n"/>
      <c r="E36" s="55">
        <f>AI36</f>
        <v/>
      </c>
      <c r="F36" s="41" t="n"/>
      <c r="G36" s="41" t="n"/>
      <c r="H36" s="55">
        <f>AJ36</f>
        <v/>
      </c>
      <c r="I36" s="41" t="n"/>
      <c r="J36" s="41" t="n"/>
      <c r="K36" s="52">
        <f>AM36</f>
        <v/>
      </c>
      <c r="L36" s="41" t="n"/>
      <c r="M36" s="41" t="n"/>
      <c r="N36" s="57">
        <f>AN36</f>
        <v/>
      </c>
      <c r="O36" s="41" t="n"/>
      <c r="P36" s="41" t="n"/>
      <c r="Q36" s="53">
        <f>AO36</f>
        <v/>
      </c>
      <c r="R36" s="41" t="n"/>
      <c r="S36" s="41" t="n"/>
      <c r="T36" s="57">
        <f>IF(AR36="","-",AR36)</f>
        <v/>
      </c>
      <c r="U36" s="41" t="n"/>
      <c r="V36" s="57">
        <f>IF(AT36="","-",AT36)</f>
        <v/>
      </c>
      <c r="W36" s="41" t="n"/>
      <c r="X36" s="55">
        <f>AU36</f>
        <v/>
      </c>
      <c r="Y36" s="41" t="n"/>
      <c r="Z36" s="66">
        <f>AV36</f>
        <v/>
      </c>
      <c r="AA36" s="41" t="n"/>
      <c r="AB36" s="41" t="n"/>
      <c r="AC36" s="53">
        <f>AW36</f>
        <v/>
      </c>
      <c r="AD36" s="41" t="n"/>
      <c r="AE36" s="41" t="n"/>
      <c r="AF36" s="15" t="n"/>
      <c r="AI36" s="67" t="n">
        <v>12</v>
      </c>
      <c r="AJ36" s="67" t="n">
        <v>13.5</v>
      </c>
      <c r="AK36" s="68">
        <f>AJ36-AI36</f>
        <v/>
      </c>
      <c r="AL36" s="68">
        <f>(AI36+AJ36)/2</f>
        <v/>
      </c>
      <c r="AM36" s="67" t="inlineStr">
        <is>
          <t>Sand</t>
        </is>
      </c>
      <c r="AN36" s="67" t="n">
        <v>17</v>
      </c>
      <c r="AO36" s="68">
        <f>IF(AL36&gt;$AA$19,$AA$21,$AA$20)</f>
        <v/>
      </c>
      <c r="AP36" s="68">
        <f>AP35+AO36*AK36</f>
        <v/>
      </c>
      <c r="AQ36" s="68">
        <f>AP36-AO36*AK36/2-10*MAX(AL36-$AA$19,0)</f>
        <v/>
      </c>
      <c r="AR36" s="67" t="n"/>
      <c r="AS36" s="67" t="n"/>
      <c r="AT36" s="68">
        <f>IF(AR36="","",AR36-AS36)</f>
        <v/>
      </c>
      <c r="AU36" s="67" t="n">
        <v>0.414</v>
      </c>
      <c r="AV36" s="68">
        <f>IF(AM36="Sand",0,Input!$AA$31*AN36)</f>
        <v/>
      </c>
      <c r="AW36" s="68">
        <f>IF(AM36="Sand",27.1+0.3*MIN(Input!$AA$32*AN36,60)-0.00054*MIN(Input!$AA$32*AN36,60)^2,MIN(MAX(DEGREES(ASIN(0.8-0.094*LN(MAX(IF(AT36="",10,AT36),5)))),20),30))</f>
        <v/>
      </c>
      <c r="AX36" s="68">
        <f>IF(AM36="Sand",Input!$AA$33*Input!$AA$32*AN36,Input!$AA$34*AV36)</f>
        <v/>
      </c>
      <c r="AY36" s="68">
        <f>IF(AM36="Sand",Input!$AA$35,0.5)</f>
        <v/>
      </c>
      <c r="AZ36" s="68">
        <f>Input!$AA$15/2/AL36</f>
        <v/>
      </c>
      <c r="BA36" s="68">
        <f>Input!$AA$16/2/AL36</f>
        <v/>
      </c>
      <c r="BB36" s="68">
        <f>1/(4*PI())*(2*AZ36*BA36*SQRT(AZ36^2+BA36^2+1)/(AZ36^2+BA36^2+1+AZ36^2*BA36^2)*(AZ36^2+BA36^2+2)/(AZ36^2+BA36^2+1)+ATAN2(AZ36^2+BA36^2+1-AZ36^2*BA36^2,2*AZ36*BA36*SQRT(AZ36^2+BA36^2+1)))</f>
        <v/>
      </c>
      <c r="BC36" s="68">
        <f>4*Input!$AA$14*BB36</f>
        <v/>
      </c>
      <c r="BD36" s="68">
        <f>((Input!$AA$16/Input!$AA$15)*LN((1+SQRT((Input!$AA$16/Input!$AA$15)^2+1))*SQRT((Input!$AA$16/Input!$AA$15)^2+(AJ36/(Input!$AA$15/2))^2)/((Input!$AA$16/Input!$AA$15)*(1+SQRT((Input!$AA$16/Input!$AA$15)^2+(AJ36/(Input!$AA$15/2))^2+1))))+LN(((Input!$AA$16/Input!$AA$15)+SQRT((Input!$AA$16/Input!$AA$15)^2+1))*SQRT(1+(AJ36/(Input!$AA$15/2))^2)/((Input!$AA$16/Input!$AA$15)+SQRT((Input!$AA$16/Input!$AA$15)^2+(AJ36/(Input!$AA$15/2))^2+1))))/PI()</f>
        <v/>
      </c>
      <c r="BE36" s="68">
        <f>(AJ36/(Input!$AA$15/2))/(2*PI())*ATAN((Input!$AA$16/Input!$AA$15)/((AJ36/(Input!$AA$15/2))*SQRT((Input!$AA$16/Input!$AA$15)^2+(AJ36/(Input!$AA$15/2))^2+1)))</f>
        <v/>
      </c>
      <c r="BF36" s="68">
        <f>MAX(0,AJ36-MAX(AI36,$AA$22))/AK36*IF(BC36&gt;=Input!$AA$21*AQ36,1,0)</f>
        <v/>
      </c>
      <c r="BG36" s="68">
        <f>4*Input!$AA$14*(Input!$AA$15/2)*(1-AY36^2)/AX36*((BD36-BD35)+(1-2*AY36)/(1-AY36)*(BE36-BE35))*1000*BF36</f>
        <v/>
      </c>
      <c r="BH36" s="68">
        <f>IF(AM36="Sand",0,0.009*(AR36-10))</f>
        <v/>
      </c>
      <c r="BI36" s="68">
        <f>BH36*Input!$AA$36</f>
        <v/>
      </c>
      <c r="BJ36" s="68">
        <f>IF(AM36="Sand",0,MAX(AV36/Input!$AA$37,AQ36))</f>
        <v/>
      </c>
      <c r="BK36" s="68">
        <f>IF(AM36="Sand",0,1000*AK36/(1+AU36)*IF(AQ36+BC36&lt;=BJ36,BI36*LOG10((AQ36+BC36)/AQ36),BI36*LOG10(BJ36/AQ36)+BH36*LOG10((AQ36+BC36)/BJ36)))*BF36</f>
        <v/>
      </c>
      <c r="BL36" s="68">
        <f>IF(AM36="Sand",0,10^(INDEX(Input!$Q$48:$Q$54,MIN(MATCH(MIN(MAX(AR36,30),120),Input!$C$48:$C$54,1),6))+(MIN(MAX(AR36,30),120)-INDEX(Input!$C$48:$C$54,MIN(MATCH(MIN(MAX(AR36,30),120),Input!$C$48:$C$54,1),6)))/(INDEX(Input!$C$48:$C$54,MIN(MATCH(MIN(MAX(AR36,30),120),Input!$C$48:$C$54,1),6)+1)-INDEX(Input!$C$48:$C$54,MIN(MATCH(MIN(MAX(AR36,30),120),Input!$C$48:$C$54,1),6)))*(INDEX(Input!$Q$48:$Q$54,MIN(MATCH(MIN(MAX(AR36,30),120),Input!$C$48:$C$54,1),6)+1)-INDEX(Input!$Q$48:$Q$54,MIN(MATCH(MIN(MAX(AR36,30),120),Input!$C$48:$C$54,1),6)))))</f>
        <v/>
      </c>
      <c r="BM36" s="68">
        <f>IF(OR(AM36="Sand",BF36=0),0,Input!$AA$38*(AK36/2)^2/(BL36*1E-4*31536000))</f>
        <v/>
      </c>
      <c r="BN36" s="68">
        <f>MAX(0,MIN(AJ36,Input!$AA$20)-AI36)</f>
        <v/>
      </c>
      <c r="BO36" s="68">
        <f>MAX(0,MIN(AJ36,Input!$AA$20)-MAX(AI36,$AA$22))</f>
        <v/>
      </c>
      <c r="BP36" s="68">
        <f>MAX(0,MIN(AJ36,$AA$225)-AI36)</f>
        <v/>
      </c>
      <c r="BQ36" s="68" t="inlineStr"/>
    </row>
    <row r="37">
      <c r="B37" s="9" t="n"/>
      <c r="C37" s="57" t="n">
        <v>10</v>
      </c>
      <c r="D37" s="41" t="n"/>
      <c r="E37" s="55">
        <f>AI37</f>
        <v/>
      </c>
      <c r="F37" s="41" t="n"/>
      <c r="G37" s="41" t="n"/>
      <c r="H37" s="55">
        <f>AJ37</f>
        <v/>
      </c>
      <c r="I37" s="41" t="n"/>
      <c r="J37" s="41" t="n"/>
      <c r="K37" s="52">
        <f>AM37</f>
        <v/>
      </c>
      <c r="L37" s="41" t="n"/>
      <c r="M37" s="41" t="n"/>
      <c r="N37" s="57">
        <f>AN37</f>
        <v/>
      </c>
      <c r="O37" s="41" t="n"/>
      <c r="P37" s="41" t="n"/>
      <c r="Q37" s="53">
        <f>AO37</f>
        <v/>
      </c>
      <c r="R37" s="41" t="n"/>
      <c r="S37" s="41" t="n"/>
      <c r="T37" s="57">
        <f>IF(AR37="","-",AR37)</f>
        <v/>
      </c>
      <c r="U37" s="41" t="n"/>
      <c r="V37" s="57">
        <f>IF(AT37="","-",AT37)</f>
        <v/>
      </c>
      <c r="W37" s="41" t="n"/>
      <c r="X37" s="55">
        <f>AU37</f>
        <v/>
      </c>
      <c r="Y37" s="41" t="n"/>
      <c r="Z37" s="66">
        <f>AV37</f>
        <v/>
      </c>
      <c r="AA37" s="41" t="n"/>
      <c r="AB37" s="41" t="n"/>
      <c r="AC37" s="53">
        <f>AW37</f>
        <v/>
      </c>
      <c r="AD37" s="41" t="n"/>
      <c r="AE37" s="41" t="n"/>
      <c r="AF37" s="15" t="n"/>
      <c r="AI37" s="67" t="n">
        <v>13.5</v>
      </c>
      <c r="AJ37" s="67" t="n">
        <v>15</v>
      </c>
      <c r="AK37" s="68">
        <f>AJ37-AI37</f>
        <v/>
      </c>
      <c r="AL37" s="68">
        <f>(AI37+AJ37)/2</f>
        <v/>
      </c>
      <c r="AM37" s="67" t="inlineStr">
        <is>
          <t>Sand</t>
        </is>
      </c>
      <c r="AN37" s="67" t="n">
        <v>18</v>
      </c>
      <c r="AO37" s="68">
        <f>IF(AL37&gt;$AA$19,$AA$21,$AA$20)</f>
        <v/>
      </c>
      <c r="AP37" s="68">
        <f>AP36+AO37*AK37</f>
        <v/>
      </c>
      <c r="AQ37" s="68">
        <f>AP37-AO37*AK37/2-10*MAX(AL37-$AA$19,0)</f>
        <v/>
      </c>
      <c r="AR37" s="67" t="n"/>
      <c r="AS37" s="67" t="n"/>
      <c r="AT37" s="68">
        <f>IF(AR37="","",AR37-AS37)</f>
        <v/>
      </c>
      <c r="AU37" s="67" t="n">
        <v>0.747</v>
      </c>
      <c r="AV37" s="68">
        <f>IF(AM37="Sand",0,Input!$AA$31*AN37)</f>
        <v/>
      </c>
      <c r="AW37" s="68">
        <f>IF(AM37="Sand",27.1+0.3*MIN(Input!$AA$32*AN37,60)-0.00054*MIN(Input!$AA$32*AN37,60)^2,MIN(MAX(DEGREES(ASIN(0.8-0.094*LN(MAX(IF(AT37="",10,AT37),5)))),20),30))</f>
        <v/>
      </c>
      <c r="AX37" s="68">
        <f>IF(AM37="Sand",Input!$AA$33*Input!$AA$32*AN37,Input!$AA$34*AV37)</f>
        <v/>
      </c>
      <c r="AY37" s="68">
        <f>IF(AM37="Sand",Input!$AA$35,0.5)</f>
        <v/>
      </c>
      <c r="AZ37" s="68">
        <f>Input!$AA$15/2/AL37</f>
        <v/>
      </c>
      <c r="BA37" s="68">
        <f>Input!$AA$16/2/AL37</f>
        <v/>
      </c>
      <c r="BB37" s="68">
        <f>1/(4*PI())*(2*AZ37*BA37*SQRT(AZ37^2+BA37^2+1)/(AZ37^2+BA37^2+1+AZ37^2*BA37^2)*(AZ37^2+BA37^2+2)/(AZ37^2+BA37^2+1)+ATAN2(AZ37^2+BA37^2+1-AZ37^2*BA37^2,2*AZ37*BA37*SQRT(AZ37^2+BA37^2+1)))</f>
        <v/>
      </c>
      <c r="BC37" s="68">
        <f>4*Input!$AA$14*BB37</f>
        <v/>
      </c>
      <c r="BD37" s="68">
        <f>((Input!$AA$16/Input!$AA$15)*LN((1+SQRT((Input!$AA$16/Input!$AA$15)^2+1))*SQRT((Input!$AA$16/Input!$AA$15)^2+(AJ37/(Input!$AA$15/2))^2)/((Input!$AA$16/Input!$AA$15)*(1+SQRT((Input!$AA$16/Input!$AA$15)^2+(AJ37/(Input!$AA$15/2))^2+1))))+LN(((Input!$AA$16/Input!$AA$15)+SQRT((Input!$AA$16/Input!$AA$15)^2+1))*SQRT(1+(AJ37/(Input!$AA$15/2))^2)/((Input!$AA$16/Input!$AA$15)+SQRT((Input!$AA$16/Input!$AA$15)^2+(AJ37/(Input!$AA$15/2))^2+1))))/PI()</f>
        <v/>
      </c>
      <c r="BE37" s="68">
        <f>(AJ37/(Input!$AA$15/2))/(2*PI())*ATAN((Input!$AA$16/Input!$AA$15)/((AJ37/(Input!$AA$15/2))*SQRT((Input!$AA$16/Input!$AA$15)^2+(AJ37/(Input!$AA$15/2))^2+1)))</f>
        <v/>
      </c>
      <c r="BF37" s="68">
        <f>MAX(0,AJ37-MAX(AI37,$AA$22))/AK37*IF(BC37&gt;=Input!$AA$21*AQ37,1,0)</f>
        <v/>
      </c>
      <c r="BG37" s="68">
        <f>4*Input!$AA$14*(Input!$AA$15/2)*(1-AY37^2)/AX37*((BD37-BD36)+(1-2*AY37)/(1-AY37)*(BE37-BE36))*1000*BF37</f>
        <v/>
      </c>
      <c r="BH37" s="68">
        <f>IF(AM37="Sand",0,0.009*(AR37-10))</f>
        <v/>
      </c>
      <c r="BI37" s="68">
        <f>BH37*Input!$AA$36</f>
        <v/>
      </c>
      <c r="BJ37" s="68">
        <f>IF(AM37="Sand",0,MAX(AV37/Input!$AA$37,AQ37))</f>
        <v/>
      </c>
      <c r="BK37" s="68">
        <f>IF(AM37="Sand",0,1000*AK37/(1+AU37)*IF(AQ37+BC37&lt;=BJ37,BI37*LOG10((AQ37+BC37)/AQ37),BI37*LOG10(BJ37/AQ37)+BH37*LOG10((AQ37+BC37)/BJ37)))*BF37</f>
        <v/>
      </c>
      <c r="BL37" s="68">
        <f>IF(AM37="Sand",0,10^(INDEX(Input!$Q$48:$Q$54,MIN(MATCH(MIN(MAX(AR37,30),120),Input!$C$48:$C$54,1),6))+(MIN(MAX(AR37,30),120)-INDEX(Input!$C$48:$C$54,MIN(MATCH(MIN(MAX(AR37,30),120),Input!$C$48:$C$54,1),6)))/(INDEX(Input!$C$48:$C$54,MIN(MATCH(MIN(MAX(AR37,30),120),Input!$C$48:$C$54,1),6)+1)-INDEX(Input!$C$48:$C$54,MIN(MATCH(MIN(MAX(AR37,30),120),Input!$C$48:$C$54,1),6)))*(INDEX(Input!$Q$48:$Q$54,MIN(MATCH(MIN(MAX(AR37,30),120),Input!$C$48:$C$54,1),6)+1)-INDEX(Input!$Q$48:$Q$54,MIN(MATCH(MIN(MAX(AR37,30),120),Input!$C$48:$C$54,1),6)))))</f>
        <v/>
      </c>
      <c r="BM37" s="68">
        <f>IF(OR(AM37="Sand",BF37=0),0,Input!$AA$38*(AK37/2)^2/(BL37*1E-4*31536000))</f>
        <v/>
      </c>
      <c r="BN37" s="68">
        <f>MAX(0,MIN(AJ37,Input!$AA$20)-AI37)</f>
        <v/>
      </c>
      <c r="BO37" s="68">
        <f>MAX(0,MIN(AJ37,Input!$AA$20)-MAX(AI37,$AA$22))</f>
        <v/>
      </c>
      <c r="BP37" s="68">
        <f>MAX(0,MIN(AJ37,$AA$225)-AI37)</f>
        <v/>
      </c>
      <c r="BQ37" s="68" t="inlineStr"/>
    </row>
    <row r="38">
      <c r="B38" s="9" t="n"/>
      <c r="C38" s="57" t="n">
        <v>11</v>
      </c>
      <c r="D38" s="41" t="n"/>
      <c r="E38" s="55">
        <f>AI38</f>
        <v/>
      </c>
      <c r="F38" s="41" t="n"/>
      <c r="G38" s="41" t="n"/>
      <c r="H38" s="55">
        <f>AJ38</f>
        <v/>
      </c>
      <c r="I38" s="41" t="n"/>
      <c r="J38" s="41" t="n"/>
      <c r="K38" s="52">
        <f>AM38</f>
        <v/>
      </c>
      <c r="L38" s="41" t="n"/>
      <c r="M38" s="41" t="n"/>
      <c r="N38" s="57">
        <f>AN38</f>
        <v/>
      </c>
      <c r="O38" s="41" t="n"/>
      <c r="P38" s="41" t="n"/>
      <c r="Q38" s="53">
        <f>AO38</f>
        <v/>
      </c>
      <c r="R38" s="41" t="n"/>
      <c r="S38" s="41" t="n"/>
      <c r="T38" s="57">
        <f>IF(AR38="","-",AR38)</f>
        <v/>
      </c>
      <c r="U38" s="41" t="n"/>
      <c r="V38" s="57">
        <f>IF(AT38="","-",AT38)</f>
        <v/>
      </c>
      <c r="W38" s="41" t="n"/>
      <c r="X38" s="55">
        <f>AU38</f>
        <v/>
      </c>
      <c r="Y38" s="41" t="n"/>
      <c r="Z38" s="66">
        <f>AV38</f>
        <v/>
      </c>
      <c r="AA38" s="41" t="n"/>
      <c r="AB38" s="41" t="n"/>
      <c r="AC38" s="53">
        <f>AW38</f>
        <v/>
      </c>
      <c r="AD38" s="41" t="n"/>
      <c r="AE38" s="41" t="n"/>
      <c r="AF38" s="15" t="n"/>
      <c r="AI38" s="67" t="n">
        <v>15</v>
      </c>
      <c r="AJ38" s="67" t="n">
        <v>16.5</v>
      </c>
      <c r="AK38" s="68">
        <f>AJ38-AI38</f>
        <v/>
      </c>
      <c r="AL38" s="68">
        <f>(AI38+AJ38)/2</f>
        <v/>
      </c>
      <c r="AM38" s="67" t="inlineStr">
        <is>
          <t>Sand</t>
        </is>
      </c>
      <c r="AN38" s="67" t="n">
        <v>19</v>
      </c>
      <c r="AO38" s="68">
        <f>IF(AL38&gt;$AA$19,$AA$21,$AA$20)</f>
        <v/>
      </c>
      <c r="AP38" s="68">
        <f>AP37+AO38*AK38</f>
        <v/>
      </c>
      <c r="AQ38" s="68">
        <f>AP38-AO38*AK38/2-10*MAX(AL38-$AA$19,0)</f>
        <v/>
      </c>
      <c r="AR38" s="67" t="n"/>
      <c r="AS38" s="67" t="n"/>
      <c r="AT38" s="68">
        <f>IF(AR38="","",AR38-AS38)</f>
        <v/>
      </c>
      <c r="AU38" s="67" t="n">
        <v>0.65</v>
      </c>
      <c r="AV38" s="68">
        <f>IF(AM38="Sand",0,Input!$AA$31*AN38)</f>
        <v/>
      </c>
      <c r="AW38" s="68">
        <f>IF(AM38="Sand",27.1+0.3*MIN(Input!$AA$32*AN38,60)-0.00054*MIN(Input!$AA$32*AN38,60)^2,MIN(MAX(DEGREES(ASIN(0.8-0.094*LN(MAX(IF(AT38="",10,AT38),5)))),20),30))</f>
        <v/>
      </c>
      <c r="AX38" s="68">
        <f>IF(AM38="Sand",Input!$AA$33*Input!$AA$32*AN38,Input!$AA$34*AV38)</f>
        <v/>
      </c>
      <c r="AY38" s="68">
        <f>IF(AM38="Sand",Input!$AA$35,0.5)</f>
        <v/>
      </c>
      <c r="AZ38" s="68">
        <f>Input!$AA$15/2/AL38</f>
        <v/>
      </c>
      <c r="BA38" s="68">
        <f>Input!$AA$16/2/AL38</f>
        <v/>
      </c>
      <c r="BB38" s="68">
        <f>1/(4*PI())*(2*AZ38*BA38*SQRT(AZ38^2+BA38^2+1)/(AZ38^2+BA38^2+1+AZ38^2*BA38^2)*(AZ38^2+BA38^2+2)/(AZ38^2+BA38^2+1)+ATAN2(AZ38^2+BA38^2+1-AZ38^2*BA38^2,2*AZ38*BA38*SQRT(AZ38^2+BA38^2+1)))</f>
        <v/>
      </c>
      <c r="BC38" s="68">
        <f>4*Input!$AA$14*BB38</f>
        <v/>
      </c>
      <c r="BD38" s="68">
        <f>((Input!$AA$16/Input!$AA$15)*LN((1+SQRT((Input!$AA$16/Input!$AA$15)^2+1))*SQRT((Input!$AA$16/Input!$AA$15)^2+(AJ38/(Input!$AA$15/2))^2)/((Input!$AA$16/Input!$AA$15)*(1+SQRT((Input!$AA$16/Input!$AA$15)^2+(AJ38/(Input!$AA$15/2))^2+1))))+LN(((Input!$AA$16/Input!$AA$15)+SQRT((Input!$AA$16/Input!$AA$15)^2+1))*SQRT(1+(AJ38/(Input!$AA$15/2))^2)/((Input!$AA$16/Input!$AA$15)+SQRT((Input!$AA$16/Input!$AA$15)^2+(AJ38/(Input!$AA$15/2))^2+1))))/PI()</f>
        <v/>
      </c>
      <c r="BE38" s="68">
        <f>(AJ38/(Input!$AA$15/2))/(2*PI())*ATAN((Input!$AA$16/Input!$AA$15)/((AJ38/(Input!$AA$15/2))*SQRT((Input!$AA$16/Input!$AA$15)^2+(AJ38/(Input!$AA$15/2))^2+1)))</f>
        <v/>
      </c>
      <c r="BF38" s="68">
        <f>MAX(0,AJ38-MAX(AI38,$AA$22))/AK38*IF(BC38&gt;=Input!$AA$21*AQ38,1,0)</f>
        <v/>
      </c>
      <c r="BG38" s="68">
        <f>4*Input!$AA$14*(Input!$AA$15/2)*(1-AY38^2)/AX38*((BD38-BD37)+(1-2*AY38)/(1-AY38)*(BE38-BE37))*1000*BF38</f>
        <v/>
      </c>
      <c r="BH38" s="68">
        <f>IF(AM38="Sand",0,0.009*(AR38-10))</f>
        <v/>
      </c>
      <c r="BI38" s="68">
        <f>BH38*Input!$AA$36</f>
        <v/>
      </c>
      <c r="BJ38" s="68">
        <f>IF(AM38="Sand",0,MAX(AV38/Input!$AA$37,AQ38))</f>
        <v/>
      </c>
      <c r="BK38" s="68">
        <f>IF(AM38="Sand",0,1000*AK38/(1+AU38)*IF(AQ38+BC38&lt;=BJ38,BI38*LOG10((AQ38+BC38)/AQ38),BI38*LOG10(BJ38/AQ38)+BH38*LOG10((AQ38+BC38)/BJ38)))*BF38</f>
        <v/>
      </c>
      <c r="BL38" s="68">
        <f>IF(AM38="Sand",0,10^(INDEX(Input!$Q$48:$Q$54,MIN(MATCH(MIN(MAX(AR38,30),120),Input!$C$48:$C$54,1),6))+(MIN(MAX(AR38,30),120)-INDEX(Input!$C$48:$C$54,MIN(MATCH(MIN(MAX(AR38,30),120),Input!$C$48:$C$54,1),6)))/(INDEX(Input!$C$48:$C$54,MIN(MATCH(MIN(MAX(AR38,30),120),Input!$C$48:$C$54,1),6)+1)-INDEX(Input!$C$48:$C$54,MIN(MATCH(MIN(MAX(AR38,30),120),Input!$C$48:$C$54,1),6)))*(INDEX(Input!$Q$48:$Q$54,MIN(MATCH(MIN(MAX(AR38,30),120),Input!$C$48:$C$54,1),6)+1)-INDEX(Input!$Q$48:$Q$54,MIN(MATCH(MIN(MAX(AR38,30),120),Input!$C$48:$C$54,1),6)))))</f>
        <v/>
      </c>
      <c r="BM38" s="68">
        <f>IF(OR(AM38="Sand",BF38=0),0,Input!$AA$38*(AK38/2)^2/(BL38*1E-4*31536000))</f>
        <v/>
      </c>
      <c r="BN38" s="68">
        <f>MAX(0,MIN(AJ38,Input!$AA$20)-AI38)</f>
        <v/>
      </c>
      <c r="BO38" s="68">
        <f>MAX(0,MIN(AJ38,Input!$AA$20)-MAX(AI38,$AA$22))</f>
        <v/>
      </c>
      <c r="BP38" s="68">
        <f>MAX(0,MIN(AJ38,$AA$225)-AI38)</f>
        <v/>
      </c>
      <c r="BQ38" s="68" t="inlineStr"/>
    </row>
    <row r="39">
      <c r="B39" s="9" t="n"/>
      <c r="C39" s="57" t="n">
        <v>12</v>
      </c>
      <c r="D39" s="41" t="n"/>
      <c r="E39" s="55">
        <f>AI39</f>
        <v/>
      </c>
      <c r="F39" s="41" t="n"/>
      <c r="G39" s="41" t="n"/>
      <c r="H39" s="55">
        <f>AJ39</f>
        <v/>
      </c>
      <c r="I39" s="41" t="n"/>
      <c r="J39" s="41" t="n"/>
      <c r="K39" s="52">
        <f>AM39</f>
        <v/>
      </c>
      <c r="L39" s="41" t="n"/>
      <c r="M39" s="41" t="n"/>
      <c r="N39" s="57">
        <f>AN39</f>
        <v/>
      </c>
      <c r="O39" s="41" t="n"/>
      <c r="P39" s="41" t="n"/>
      <c r="Q39" s="53">
        <f>AO39</f>
        <v/>
      </c>
      <c r="R39" s="41" t="n"/>
      <c r="S39" s="41" t="n"/>
      <c r="T39" s="57">
        <f>IF(AR39="","-",AR39)</f>
        <v/>
      </c>
      <c r="U39" s="41" t="n"/>
      <c r="V39" s="57">
        <f>IF(AT39="","-",AT39)</f>
        <v/>
      </c>
      <c r="W39" s="41" t="n"/>
      <c r="X39" s="55">
        <f>AU39</f>
        <v/>
      </c>
      <c r="Y39" s="41" t="n"/>
      <c r="Z39" s="66">
        <f>AV39</f>
        <v/>
      </c>
      <c r="AA39" s="41" t="n"/>
      <c r="AB39" s="41" t="n"/>
      <c r="AC39" s="53">
        <f>AW39</f>
        <v/>
      </c>
      <c r="AD39" s="41" t="n"/>
      <c r="AE39" s="41" t="n"/>
      <c r="AF39" s="15" t="n"/>
      <c r="AI39" s="67" t="n">
        <v>16.5</v>
      </c>
      <c r="AJ39" s="67" t="n">
        <v>18</v>
      </c>
      <c r="AK39" s="68">
        <f>AJ39-AI39</f>
        <v/>
      </c>
      <c r="AL39" s="68">
        <f>(AI39+AJ39)/2</f>
        <v/>
      </c>
      <c r="AM39" s="67" t="inlineStr">
        <is>
          <t>Sand</t>
        </is>
      </c>
      <c r="AN39" s="67" t="n">
        <v>12</v>
      </c>
      <c r="AO39" s="68">
        <f>IF(AL39&gt;$AA$19,$AA$21,$AA$20)</f>
        <v/>
      </c>
      <c r="AP39" s="68">
        <f>AP38+AO39*AK39</f>
        <v/>
      </c>
      <c r="AQ39" s="68">
        <f>AP39-AO39*AK39/2-10*MAX(AL39-$AA$19,0)</f>
        <v/>
      </c>
      <c r="AR39" s="67" t="n"/>
      <c r="AS39" s="67" t="n"/>
      <c r="AT39" s="68">
        <f>IF(AR39="","",AR39-AS39)</f>
        <v/>
      </c>
      <c r="AU39" s="67" t="n">
        <v>0.48</v>
      </c>
      <c r="AV39" s="68">
        <f>IF(AM39="Sand",0,Input!$AA$31*AN39)</f>
        <v/>
      </c>
      <c r="AW39" s="68">
        <f>IF(AM39="Sand",27.1+0.3*MIN(Input!$AA$32*AN39,60)-0.00054*MIN(Input!$AA$32*AN39,60)^2,MIN(MAX(DEGREES(ASIN(0.8-0.094*LN(MAX(IF(AT39="",10,AT39),5)))),20),30))</f>
        <v/>
      </c>
      <c r="AX39" s="68">
        <f>IF(AM39="Sand",Input!$AA$33*Input!$AA$32*AN39,Input!$AA$34*AV39)</f>
        <v/>
      </c>
      <c r="AY39" s="68">
        <f>IF(AM39="Sand",Input!$AA$35,0.5)</f>
        <v/>
      </c>
      <c r="AZ39" s="68">
        <f>Input!$AA$15/2/AL39</f>
        <v/>
      </c>
      <c r="BA39" s="68">
        <f>Input!$AA$16/2/AL39</f>
        <v/>
      </c>
      <c r="BB39" s="68">
        <f>1/(4*PI())*(2*AZ39*BA39*SQRT(AZ39^2+BA39^2+1)/(AZ39^2+BA39^2+1+AZ39^2*BA39^2)*(AZ39^2+BA39^2+2)/(AZ39^2+BA39^2+1)+ATAN2(AZ39^2+BA39^2+1-AZ39^2*BA39^2,2*AZ39*BA39*SQRT(AZ39^2+BA39^2+1)))</f>
        <v/>
      </c>
      <c r="BC39" s="68">
        <f>4*Input!$AA$14*BB39</f>
        <v/>
      </c>
      <c r="BD39" s="68">
        <f>((Input!$AA$16/Input!$AA$15)*LN((1+SQRT((Input!$AA$16/Input!$AA$15)^2+1))*SQRT((Input!$AA$16/Input!$AA$15)^2+(AJ39/(Input!$AA$15/2))^2)/((Input!$AA$16/Input!$AA$15)*(1+SQRT((Input!$AA$16/Input!$AA$15)^2+(AJ39/(Input!$AA$15/2))^2+1))))+LN(((Input!$AA$16/Input!$AA$15)+SQRT((Input!$AA$16/Input!$AA$15)^2+1))*SQRT(1+(AJ39/(Input!$AA$15/2))^2)/((Input!$AA$16/Input!$AA$15)+SQRT((Input!$AA$16/Input!$AA$15)^2+(AJ39/(Input!$AA$15/2))^2+1))))/PI()</f>
        <v/>
      </c>
      <c r="BE39" s="68">
        <f>(AJ39/(Input!$AA$15/2))/(2*PI())*ATAN((Input!$AA$16/Input!$AA$15)/((AJ39/(Input!$AA$15/2))*SQRT((Input!$AA$16/Input!$AA$15)^2+(AJ39/(Input!$AA$15/2))^2+1)))</f>
        <v/>
      </c>
      <c r="BF39" s="68">
        <f>MAX(0,AJ39-MAX(AI39,$AA$22))/AK39*IF(BC39&gt;=Input!$AA$21*AQ39,1,0)</f>
        <v/>
      </c>
      <c r="BG39" s="68">
        <f>4*Input!$AA$14*(Input!$AA$15/2)*(1-AY39^2)/AX39*((BD39-BD38)+(1-2*AY39)/(1-AY39)*(BE39-BE38))*1000*BF39</f>
        <v/>
      </c>
      <c r="BH39" s="68">
        <f>IF(AM39="Sand",0,0.009*(AR39-10))</f>
        <v/>
      </c>
      <c r="BI39" s="68">
        <f>BH39*Input!$AA$36</f>
        <v/>
      </c>
      <c r="BJ39" s="68">
        <f>IF(AM39="Sand",0,MAX(AV39/Input!$AA$37,AQ39))</f>
        <v/>
      </c>
      <c r="BK39" s="68">
        <f>IF(AM39="Sand",0,1000*AK39/(1+AU39)*IF(AQ39+BC39&lt;=BJ39,BI39*LOG10((AQ39+BC39)/AQ39),BI39*LOG10(BJ39/AQ39)+BH39*LOG10((AQ39+BC39)/BJ39)))*BF39</f>
        <v/>
      </c>
      <c r="BL39" s="68">
        <f>IF(AM39="Sand",0,10^(INDEX(Input!$Q$48:$Q$54,MIN(MATCH(MIN(MAX(AR39,30),120),Input!$C$48:$C$54,1),6))+(MIN(MAX(AR39,30),120)-INDEX(Input!$C$48:$C$54,MIN(MATCH(MIN(MAX(AR39,30),120),Input!$C$48:$C$54,1),6)))/(INDEX(Input!$C$48:$C$54,MIN(MATCH(MIN(MAX(AR39,30),120),Input!$C$48:$C$54,1),6)+1)-INDEX(Input!$C$48:$C$54,MIN(MATCH(MIN(MAX(AR39,30),120),Input!$C$48:$C$54,1),6)))*(INDEX(Input!$Q$48:$Q$54,MIN(MATCH(MIN(MAX(AR39,30),120),Input!$C$48:$C$54,1),6)+1)-INDEX(Input!$Q$48:$Q$54,MIN(MATCH(MIN(MAX(AR39,30),120),Input!$C$48:$C$54,1),6)))))</f>
        <v/>
      </c>
      <c r="BM39" s="68">
        <f>IF(OR(AM39="Sand",BF39=0),0,Input!$AA$38*(AK39/2)^2/(BL39*1E-4*31536000))</f>
        <v/>
      </c>
      <c r="BN39" s="68">
        <f>MAX(0,MIN(AJ39,Input!$AA$20)-AI39)</f>
        <v/>
      </c>
      <c r="BO39" s="68">
        <f>MAX(0,MIN(AJ39,Input!$AA$20)-MAX(AI39,$AA$22))</f>
        <v/>
      </c>
      <c r="BP39" s="68">
        <f>MAX(0,MIN(AJ39,$AA$225)-AI39)</f>
        <v/>
      </c>
      <c r="BQ39" s="68" t="inlineStr"/>
    </row>
    <row r="40">
      <c r="B40" s="9" t="n"/>
      <c r="C40" s="57" t="n">
        <v>13</v>
      </c>
      <c r="D40" s="41" t="n"/>
      <c r="E40" s="55">
        <f>AI40</f>
        <v/>
      </c>
      <c r="F40" s="41" t="n"/>
      <c r="G40" s="41" t="n"/>
      <c r="H40" s="55">
        <f>AJ40</f>
        <v/>
      </c>
      <c r="I40" s="41" t="n"/>
      <c r="J40" s="41" t="n"/>
      <c r="K40" s="52">
        <f>AM40</f>
        <v/>
      </c>
      <c r="L40" s="41" t="n"/>
      <c r="M40" s="41" t="n"/>
      <c r="N40" s="57">
        <f>AN40</f>
        <v/>
      </c>
      <c r="O40" s="41" t="n"/>
      <c r="P40" s="41" t="n"/>
      <c r="Q40" s="53">
        <f>AO40</f>
        <v/>
      </c>
      <c r="R40" s="41" t="n"/>
      <c r="S40" s="41" t="n"/>
      <c r="T40" s="57">
        <f>IF(AR40="","-",AR40)</f>
        <v/>
      </c>
      <c r="U40" s="41" t="n"/>
      <c r="V40" s="57">
        <f>IF(AT40="","-",AT40)</f>
        <v/>
      </c>
      <c r="W40" s="41" t="n"/>
      <c r="X40" s="55">
        <f>AU40</f>
        <v/>
      </c>
      <c r="Y40" s="41" t="n"/>
      <c r="Z40" s="66">
        <f>AV40</f>
        <v/>
      </c>
      <c r="AA40" s="41" t="n"/>
      <c r="AB40" s="41" t="n"/>
      <c r="AC40" s="53">
        <f>AW40</f>
        <v/>
      </c>
      <c r="AD40" s="41" t="n"/>
      <c r="AE40" s="41" t="n"/>
      <c r="AF40" s="15" t="n"/>
      <c r="AI40" s="67" t="n">
        <v>18</v>
      </c>
      <c r="AJ40" s="67" t="n">
        <v>19.5</v>
      </c>
      <c r="AK40" s="68">
        <f>AJ40-AI40</f>
        <v/>
      </c>
      <c r="AL40" s="68">
        <f>(AI40+AJ40)/2</f>
        <v/>
      </c>
      <c r="AM40" s="67" t="inlineStr">
        <is>
          <t>Sand</t>
        </is>
      </c>
      <c r="AN40" s="67" t="n">
        <v>42</v>
      </c>
      <c r="AO40" s="68">
        <f>IF(AL40&gt;$AA$19,$AA$21,$AA$20)</f>
        <v/>
      </c>
      <c r="AP40" s="68">
        <f>AP39+AO40*AK40</f>
        <v/>
      </c>
      <c r="AQ40" s="68">
        <f>AP40-AO40*AK40/2-10*MAX(AL40-$AA$19,0)</f>
        <v/>
      </c>
      <c r="AR40" s="67" t="n"/>
      <c r="AS40" s="67" t="n"/>
      <c r="AT40" s="68">
        <f>IF(AR40="","",AR40-AS40)</f>
        <v/>
      </c>
      <c r="AU40" s="67" t="n">
        <v>0.65</v>
      </c>
      <c r="AV40" s="68">
        <f>IF(AM40="Sand",0,Input!$AA$31*AN40)</f>
        <v/>
      </c>
      <c r="AW40" s="68">
        <f>IF(AM40="Sand",27.1+0.3*MIN(Input!$AA$32*AN40,60)-0.00054*MIN(Input!$AA$32*AN40,60)^2,MIN(MAX(DEGREES(ASIN(0.8-0.094*LN(MAX(IF(AT40="",10,AT40),5)))),20),30))</f>
        <v/>
      </c>
      <c r="AX40" s="68">
        <f>IF(AM40="Sand",Input!$AA$33*Input!$AA$32*AN40,Input!$AA$34*AV40)</f>
        <v/>
      </c>
      <c r="AY40" s="68">
        <f>IF(AM40="Sand",Input!$AA$35,0.5)</f>
        <v/>
      </c>
      <c r="AZ40" s="68">
        <f>Input!$AA$15/2/AL40</f>
        <v/>
      </c>
      <c r="BA40" s="68">
        <f>Input!$AA$16/2/AL40</f>
        <v/>
      </c>
      <c r="BB40" s="68">
        <f>1/(4*PI())*(2*AZ40*BA40*SQRT(AZ40^2+BA40^2+1)/(AZ40^2+BA40^2+1+AZ40^2*BA40^2)*(AZ40^2+BA40^2+2)/(AZ40^2+BA40^2+1)+ATAN2(AZ40^2+BA40^2+1-AZ40^2*BA40^2,2*AZ40*BA40*SQRT(AZ40^2+BA40^2+1)))</f>
        <v/>
      </c>
      <c r="BC40" s="68">
        <f>4*Input!$AA$14*BB40</f>
        <v/>
      </c>
      <c r="BD40" s="68">
        <f>((Input!$AA$16/Input!$AA$15)*LN((1+SQRT((Input!$AA$16/Input!$AA$15)^2+1))*SQRT((Input!$AA$16/Input!$AA$15)^2+(AJ40/(Input!$AA$15/2))^2)/((Input!$AA$16/Input!$AA$15)*(1+SQRT((Input!$AA$16/Input!$AA$15)^2+(AJ40/(Input!$AA$15/2))^2+1))))+LN(((Input!$AA$16/Input!$AA$15)+SQRT((Input!$AA$16/Input!$AA$15)^2+1))*SQRT(1+(AJ40/(Input!$AA$15/2))^2)/((Input!$AA$16/Input!$AA$15)+SQRT((Input!$AA$16/Input!$AA$15)^2+(AJ40/(Input!$AA$15/2))^2+1))))/PI()</f>
        <v/>
      </c>
      <c r="BE40" s="68">
        <f>(AJ40/(Input!$AA$15/2))/(2*PI())*ATAN((Input!$AA$16/Input!$AA$15)/((AJ40/(Input!$AA$15/2))*SQRT((Input!$AA$16/Input!$AA$15)^2+(AJ40/(Input!$AA$15/2))^2+1)))</f>
        <v/>
      </c>
      <c r="BF40" s="68">
        <f>MAX(0,AJ40-MAX(AI40,$AA$22))/AK40*IF(BC40&gt;=Input!$AA$21*AQ40,1,0)</f>
        <v/>
      </c>
      <c r="BG40" s="68">
        <f>4*Input!$AA$14*(Input!$AA$15/2)*(1-AY40^2)/AX40*((BD40-BD39)+(1-2*AY40)/(1-AY40)*(BE40-BE39))*1000*BF40</f>
        <v/>
      </c>
      <c r="BH40" s="68">
        <f>IF(AM40="Sand",0,0.009*(AR40-10))</f>
        <v/>
      </c>
      <c r="BI40" s="68">
        <f>BH40*Input!$AA$36</f>
        <v/>
      </c>
      <c r="BJ40" s="68">
        <f>IF(AM40="Sand",0,MAX(AV40/Input!$AA$37,AQ40))</f>
        <v/>
      </c>
      <c r="BK40" s="68">
        <f>IF(AM40="Sand",0,1000*AK40/(1+AU40)*IF(AQ40+BC40&lt;=BJ40,BI40*LOG10((AQ40+BC40)/AQ40),BI40*LOG10(BJ40/AQ40)+BH40*LOG10((AQ40+BC40)/BJ40)))*BF40</f>
        <v/>
      </c>
      <c r="BL40" s="68">
        <f>IF(AM40="Sand",0,10^(INDEX(Input!$Q$48:$Q$54,MIN(MATCH(MIN(MAX(AR40,30),120),Input!$C$48:$C$54,1),6))+(MIN(MAX(AR40,30),120)-INDEX(Input!$C$48:$C$54,MIN(MATCH(MIN(MAX(AR40,30),120),Input!$C$48:$C$54,1),6)))/(INDEX(Input!$C$48:$C$54,MIN(MATCH(MIN(MAX(AR40,30),120),Input!$C$48:$C$54,1),6)+1)-INDEX(Input!$C$48:$C$54,MIN(MATCH(MIN(MAX(AR40,30),120),Input!$C$48:$C$54,1),6)))*(INDEX(Input!$Q$48:$Q$54,MIN(MATCH(MIN(MAX(AR40,30),120),Input!$C$48:$C$54,1),6)+1)-INDEX(Input!$Q$48:$Q$54,MIN(MATCH(MIN(MAX(AR40,30),120),Input!$C$48:$C$54,1),6)))))</f>
        <v/>
      </c>
      <c r="BM40" s="68">
        <f>IF(OR(AM40="Sand",BF40=0),0,Input!$AA$38*(AK40/2)^2/(BL40*1E-4*31536000))</f>
        <v/>
      </c>
      <c r="BN40" s="68">
        <f>MAX(0,MIN(AJ40,Input!$AA$20)-AI40)</f>
        <v/>
      </c>
      <c r="BO40" s="68">
        <f>MAX(0,MIN(AJ40,Input!$AA$20)-MAX(AI40,$AA$22))</f>
        <v/>
      </c>
      <c r="BP40" s="68">
        <f>MAX(0,MIN(AJ40,$AA$225)-AI40)</f>
        <v/>
      </c>
      <c r="BQ40" s="68" t="inlineStr"/>
    </row>
    <row r="41">
      <c r="B41" s="9" t="n"/>
      <c r="C41" s="57" t="n">
        <v>14</v>
      </c>
      <c r="D41" s="41" t="n"/>
      <c r="E41" s="55">
        <f>AI41</f>
        <v/>
      </c>
      <c r="F41" s="41" t="n"/>
      <c r="G41" s="41" t="n"/>
      <c r="H41" s="55">
        <f>AJ41</f>
        <v/>
      </c>
      <c r="I41" s="41" t="n"/>
      <c r="J41" s="41" t="n"/>
      <c r="K41" s="52">
        <f>AM41</f>
        <v/>
      </c>
      <c r="L41" s="41" t="n"/>
      <c r="M41" s="41" t="n"/>
      <c r="N41" s="57">
        <f>AN41</f>
        <v/>
      </c>
      <c r="O41" s="41" t="n"/>
      <c r="P41" s="41" t="n"/>
      <c r="Q41" s="53">
        <f>AO41</f>
        <v/>
      </c>
      <c r="R41" s="41" t="n"/>
      <c r="S41" s="41" t="n"/>
      <c r="T41" s="57">
        <f>IF(AR41="","-",AR41)</f>
        <v/>
      </c>
      <c r="U41" s="41" t="n"/>
      <c r="V41" s="57">
        <f>IF(AT41="","-",AT41)</f>
        <v/>
      </c>
      <c r="W41" s="41" t="n"/>
      <c r="X41" s="55">
        <f>AU41</f>
        <v/>
      </c>
      <c r="Y41" s="41" t="n"/>
      <c r="Z41" s="66">
        <f>AV41</f>
        <v/>
      </c>
      <c r="AA41" s="41" t="n"/>
      <c r="AB41" s="41" t="n"/>
      <c r="AC41" s="53">
        <f>AW41</f>
        <v/>
      </c>
      <c r="AD41" s="41" t="n"/>
      <c r="AE41" s="41" t="n"/>
      <c r="AF41" s="15" t="n"/>
      <c r="AI41" s="67" t="n">
        <v>19.5</v>
      </c>
      <c r="AJ41" s="67" t="n">
        <v>21</v>
      </c>
      <c r="AK41" s="68">
        <f>AJ41-AI41</f>
        <v/>
      </c>
      <c r="AL41" s="68">
        <f>(AI41+AJ41)/2</f>
        <v/>
      </c>
      <c r="AM41" s="67" t="inlineStr">
        <is>
          <t>Sand</t>
        </is>
      </c>
      <c r="AN41" s="67" t="n">
        <v>49</v>
      </c>
      <c r="AO41" s="68">
        <f>IF(AL41&gt;$AA$19,$AA$21,$AA$20)</f>
        <v/>
      </c>
      <c r="AP41" s="68">
        <f>AP40+AO41*AK41</f>
        <v/>
      </c>
      <c r="AQ41" s="68">
        <f>AP41-AO41*AK41/2-10*MAX(AL41-$AA$19,0)</f>
        <v/>
      </c>
      <c r="AR41" s="67" t="n"/>
      <c r="AS41" s="67" t="n"/>
      <c r="AT41" s="68">
        <f>IF(AR41="","",AR41-AS41)</f>
        <v/>
      </c>
      <c r="AU41" s="67" t="n">
        <v>0.848</v>
      </c>
      <c r="AV41" s="68">
        <f>IF(AM41="Sand",0,Input!$AA$31*AN41)</f>
        <v/>
      </c>
      <c r="AW41" s="68">
        <f>IF(AM41="Sand",27.1+0.3*MIN(Input!$AA$32*AN41,60)-0.00054*MIN(Input!$AA$32*AN41,60)^2,MIN(MAX(DEGREES(ASIN(0.8-0.094*LN(MAX(IF(AT41="",10,AT41),5)))),20),30))</f>
        <v/>
      </c>
      <c r="AX41" s="68">
        <f>IF(AM41="Sand",Input!$AA$33*Input!$AA$32*AN41,Input!$AA$34*AV41)</f>
        <v/>
      </c>
      <c r="AY41" s="68">
        <f>IF(AM41="Sand",Input!$AA$35,0.5)</f>
        <v/>
      </c>
      <c r="AZ41" s="68">
        <f>Input!$AA$15/2/AL41</f>
        <v/>
      </c>
      <c r="BA41" s="68">
        <f>Input!$AA$16/2/AL41</f>
        <v/>
      </c>
      <c r="BB41" s="68">
        <f>1/(4*PI())*(2*AZ41*BA41*SQRT(AZ41^2+BA41^2+1)/(AZ41^2+BA41^2+1+AZ41^2*BA41^2)*(AZ41^2+BA41^2+2)/(AZ41^2+BA41^2+1)+ATAN2(AZ41^2+BA41^2+1-AZ41^2*BA41^2,2*AZ41*BA41*SQRT(AZ41^2+BA41^2+1)))</f>
        <v/>
      </c>
      <c r="BC41" s="68">
        <f>4*Input!$AA$14*BB41</f>
        <v/>
      </c>
      <c r="BD41" s="68">
        <f>((Input!$AA$16/Input!$AA$15)*LN((1+SQRT((Input!$AA$16/Input!$AA$15)^2+1))*SQRT((Input!$AA$16/Input!$AA$15)^2+(AJ41/(Input!$AA$15/2))^2)/((Input!$AA$16/Input!$AA$15)*(1+SQRT((Input!$AA$16/Input!$AA$15)^2+(AJ41/(Input!$AA$15/2))^2+1))))+LN(((Input!$AA$16/Input!$AA$15)+SQRT((Input!$AA$16/Input!$AA$15)^2+1))*SQRT(1+(AJ41/(Input!$AA$15/2))^2)/((Input!$AA$16/Input!$AA$15)+SQRT((Input!$AA$16/Input!$AA$15)^2+(AJ41/(Input!$AA$15/2))^2+1))))/PI()</f>
        <v/>
      </c>
      <c r="BE41" s="68">
        <f>(AJ41/(Input!$AA$15/2))/(2*PI())*ATAN((Input!$AA$16/Input!$AA$15)/((AJ41/(Input!$AA$15/2))*SQRT((Input!$AA$16/Input!$AA$15)^2+(AJ41/(Input!$AA$15/2))^2+1)))</f>
        <v/>
      </c>
      <c r="BF41" s="68">
        <f>MAX(0,AJ41-MAX(AI41,$AA$22))/AK41*IF(BC41&gt;=Input!$AA$21*AQ41,1,0)</f>
        <v/>
      </c>
      <c r="BG41" s="68">
        <f>4*Input!$AA$14*(Input!$AA$15/2)*(1-AY41^2)/AX41*((BD41-BD40)+(1-2*AY41)/(1-AY41)*(BE41-BE40))*1000*BF41</f>
        <v/>
      </c>
      <c r="BH41" s="68">
        <f>IF(AM41="Sand",0,0.009*(AR41-10))</f>
        <v/>
      </c>
      <c r="BI41" s="68">
        <f>BH41*Input!$AA$36</f>
        <v/>
      </c>
      <c r="BJ41" s="68">
        <f>IF(AM41="Sand",0,MAX(AV41/Input!$AA$37,AQ41))</f>
        <v/>
      </c>
      <c r="BK41" s="68">
        <f>IF(AM41="Sand",0,1000*AK41/(1+AU41)*IF(AQ41+BC41&lt;=BJ41,BI41*LOG10((AQ41+BC41)/AQ41),BI41*LOG10(BJ41/AQ41)+BH41*LOG10((AQ41+BC41)/BJ41)))*BF41</f>
        <v/>
      </c>
      <c r="BL41" s="68">
        <f>IF(AM41="Sand",0,10^(INDEX(Input!$Q$48:$Q$54,MIN(MATCH(MIN(MAX(AR41,30),120),Input!$C$48:$C$54,1),6))+(MIN(MAX(AR41,30),120)-INDEX(Input!$C$48:$C$54,MIN(MATCH(MIN(MAX(AR41,30),120),Input!$C$48:$C$54,1),6)))/(INDEX(Input!$C$48:$C$54,MIN(MATCH(MIN(MAX(AR41,30),120),Input!$C$48:$C$54,1),6)+1)-INDEX(Input!$C$48:$C$54,MIN(MATCH(MIN(MAX(AR41,30),120),Input!$C$48:$C$54,1),6)))*(INDEX(Input!$Q$48:$Q$54,MIN(MATCH(MIN(MAX(AR41,30),120),Input!$C$48:$C$54,1),6)+1)-INDEX(Input!$Q$48:$Q$54,MIN(MATCH(MIN(MAX(AR41,30),120),Input!$C$48:$C$54,1),6)))))</f>
        <v/>
      </c>
      <c r="BM41" s="68">
        <f>IF(OR(AM41="Sand",BF41=0),0,Input!$AA$38*(AK41/2)^2/(BL41*1E-4*31536000))</f>
        <v/>
      </c>
      <c r="BN41" s="68">
        <f>MAX(0,MIN(AJ41,Input!$AA$20)-AI41)</f>
        <v/>
      </c>
      <c r="BO41" s="68">
        <f>MAX(0,MIN(AJ41,Input!$AA$20)-MAX(AI41,$AA$22))</f>
        <v/>
      </c>
      <c r="BP41" s="68">
        <f>MAX(0,MIN(AJ41,$AA$225)-AI41)</f>
        <v/>
      </c>
      <c r="BQ41" s="68" t="inlineStr"/>
    </row>
    <row r="42">
      <c r="B42" s="9" t="n"/>
      <c r="C42" s="57" t="n">
        <v>15</v>
      </c>
      <c r="D42" s="41" t="n"/>
      <c r="E42" s="55">
        <f>AI42</f>
        <v/>
      </c>
      <c r="F42" s="41" t="n"/>
      <c r="G42" s="41" t="n"/>
      <c r="H42" s="55">
        <f>AJ42</f>
        <v/>
      </c>
      <c r="I42" s="41" t="n"/>
      <c r="J42" s="41" t="n"/>
      <c r="K42" s="52">
        <f>AM42</f>
        <v/>
      </c>
      <c r="L42" s="41" t="n"/>
      <c r="M42" s="41" t="n"/>
      <c r="N42" s="57">
        <f>AN42</f>
        <v/>
      </c>
      <c r="O42" s="41" t="n"/>
      <c r="P42" s="41" t="n"/>
      <c r="Q42" s="53">
        <f>AO42</f>
        <v/>
      </c>
      <c r="R42" s="41" t="n"/>
      <c r="S42" s="41" t="n"/>
      <c r="T42" s="57">
        <f>IF(AR42="","-",AR42)</f>
        <v/>
      </c>
      <c r="U42" s="41" t="n"/>
      <c r="V42" s="57">
        <f>IF(AT42="","-",AT42)</f>
        <v/>
      </c>
      <c r="W42" s="41" t="n"/>
      <c r="X42" s="55">
        <f>AU42</f>
        <v/>
      </c>
      <c r="Y42" s="41" t="n"/>
      <c r="Z42" s="66">
        <f>AV42</f>
        <v/>
      </c>
      <c r="AA42" s="41" t="n"/>
      <c r="AB42" s="41" t="n"/>
      <c r="AC42" s="53">
        <f>AW42</f>
        <v/>
      </c>
      <c r="AD42" s="41" t="n"/>
      <c r="AE42" s="41" t="n"/>
      <c r="AF42" s="15" t="n"/>
      <c r="AI42" s="67" t="n">
        <v>21</v>
      </c>
      <c r="AJ42" s="67" t="n">
        <v>22.5</v>
      </c>
      <c r="AK42" s="68">
        <f>AJ42-AI42</f>
        <v/>
      </c>
      <c r="AL42" s="68">
        <f>(AI42+AJ42)/2</f>
        <v/>
      </c>
      <c r="AM42" s="67" t="inlineStr">
        <is>
          <t>Sand</t>
        </is>
      </c>
      <c r="AN42" s="67" t="n">
        <v>49</v>
      </c>
      <c r="AO42" s="68">
        <f>IF(AL42&gt;$AA$19,$AA$21,$AA$20)</f>
        <v/>
      </c>
      <c r="AP42" s="68">
        <f>AP41+AO42*AK42</f>
        <v/>
      </c>
      <c r="AQ42" s="68">
        <f>AP42-AO42*AK42/2-10*MAX(AL42-$AA$19,0)</f>
        <v/>
      </c>
      <c r="AR42" s="67" t="n"/>
      <c r="AS42" s="67" t="n"/>
      <c r="AT42" s="68">
        <f>IF(AR42="","",AR42-AS42)</f>
        <v/>
      </c>
      <c r="AU42" s="67" t="n">
        <v>0.65</v>
      </c>
      <c r="AV42" s="68">
        <f>IF(AM42="Sand",0,Input!$AA$31*AN42)</f>
        <v/>
      </c>
      <c r="AW42" s="68">
        <f>IF(AM42="Sand",27.1+0.3*MIN(Input!$AA$32*AN42,60)-0.00054*MIN(Input!$AA$32*AN42,60)^2,MIN(MAX(DEGREES(ASIN(0.8-0.094*LN(MAX(IF(AT42="",10,AT42),5)))),20),30))</f>
        <v/>
      </c>
      <c r="AX42" s="68">
        <f>IF(AM42="Sand",Input!$AA$33*Input!$AA$32*AN42,Input!$AA$34*AV42)</f>
        <v/>
      </c>
      <c r="AY42" s="68">
        <f>IF(AM42="Sand",Input!$AA$35,0.5)</f>
        <v/>
      </c>
      <c r="AZ42" s="68">
        <f>Input!$AA$15/2/AL42</f>
        <v/>
      </c>
      <c r="BA42" s="68">
        <f>Input!$AA$16/2/AL42</f>
        <v/>
      </c>
      <c r="BB42" s="68">
        <f>1/(4*PI())*(2*AZ42*BA42*SQRT(AZ42^2+BA42^2+1)/(AZ42^2+BA42^2+1+AZ42^2*BA42^2)*(AZ42^2+BA42^2+2)/(AZ42^2+BA42^2+1)+ATAN2(AZ42^2+BA42^2+1-AZ42^2*BA42^2,2*AZ42*BA42*SQRT(AZ42^2+BA42^2+1)))</f>
        <v/>
      </c>
      <c r="BC42" s="68">
        <f>4*Input!$AA$14*BB42</f>
        <v/>
      </c>
      <c r="BD42" s="68">
        <f>((Input!$AA$16/Input!$AA$15)*LN((1+SQRT((Input!$AA$16/Input!$AA$15)^2+1))*SQRT((Input!$AA$16/Input!$AA$15)^2+(AJ42/(Input!$AA$15/2))^2)/((Input!$AA$16/Input!$AA$15)*(1+SQRT((Input!$AA$16/Input!$AA$15)^2+(AJ42/(Input!$AA$15/2))^2+1))))+LN(((Input!$AA$16/Input!$AA$15)+SQRT((Input!$AA$16/Input!$AA$15)^2+1))*SQRT(1+(AJ42/(Input!$AA$15/2))^2)/((Input!$AA$16/Input!$AA$15)+SQRT((Input!$AA$16/Input!$AA$15)^2+(AJ42/(Input!$AA$15/2))^2+1))))/PI()</f>
        <v/>
      </c>
      <c r="BE42" s="68">
        <f>(AJ42/(Input!$AA$15/2))/(2*PI())*ATAN((Input!$AA$16/Input!$AA$15)/((AJ42/(Input!$AA$15/2))*SQRT((Input!$AA$16/Input!$AA$15)^2+(AJ42/(Input!$AA$15/2))^2+1)))</f>
        <v/>
      </c>
      <c r="BF42" s="68">
        <f>MAX(0,AJ42-MAX(AI42,$AA$22))/AK42*IF(BC42&gt;=Input!$AA$21*AQ42,1,0)</f>
        <v/>
      </c>
      <c r="BG42" s="68">
        <f>4*Input!$AA$14*(Input!$AA$15/2)*(1-AY42^2)/AX42*((BD42-BD41)+(1-2*AY42)/(1-AY42)*(BE42-BE41))*1000*BF42</f>
        <v/>
      </c>
      <c r="BH42" s="68">
        <f>IF(AM42="Sand",0,0.009*(AR42-10))</f>
        <v/>
      </c>
      <c r="BI42" s="68">
        <f>BH42*Input!$AA$36</f>
        <v/>
      </c>
      <c r="BJ42" s="68">
        <f>IF(AM42="Sand",0,MAX(AV42/Input!$AA$37,AQ42))</f>
        <v/>
      </c>
      <c r="BK42" s="68">
        <f>IF(AM42="Sand",0,1000*AK42/(1+AU42)*IF(AQ42+BC42&lt;=BJ42,BI42*LOG10((AQ42+BC42)/AQ42),BI42*LOG10(BJ42/AQ42)+BH42*LOG10((AQ42+BC42)/BJ42)))*BF42</f>
        <v/>
      </c>
      <c r="BL42" s="68">
        <f>IF(AM42="Sand",0,10^(INDEX(Input!$Q$48:$Q$54,MIN(MATCH(MIN(MAX(AR42,30),120),Input!$C$48:$C$54,1),6))+(MIN(MAX(AR42,30),120)-INDEX(Input!$C$48:$C$54,MIN(MATCH(MIN(MAX(AR42,30),120),Input!$C$48:$C$54,1),6)))/(INDEX(Input!$C$48:$C$54,MIN(MATCH(MIN(MAX(AR42,30),120),Input!$C$48:$C$54,1),6)+1)-INDEX(Input!$C$48:$C$54,MIN(MATCH(MIN(MAX(AR42,30),120),Input!$C$48:$C$54,1),6)))*(INDEX(Input!$Q$48:$Q$54,MIN(MATCH(MIN(MAX(AR42,30),120),Input!$C$48:$C$54,1),6)+1)-INDEX(Input!$Q$48:$Q$54,MIN(MATCH(MIN(MAX(AR42,30),120),Input!$C$48:$C$54,1),6)))))</f>
        <v/>
      </c>
      <c r="BM42" s="68">
        <f>IF(OR(AM42="Sand",BF42=0),0,Input!$AA$38*(AK42/2)^2/(BL42*1E-4*31536000))</f>
        <v/>
      </c>
      <c r="BN42" s="68">
        <f>MAX(0,MIN(AJ42,Input!$AA$20)-AI42)</f>
        <v/>
      </c>
      <c r="BO42" s="68">
        <f>MAX(0,MIN(AJ42,Input!$AA$20)-MAX(AI42,$AA$22))</f>
        <v/>
      </c>
      <c r="BP42" s="68">
        <f>MAX(0,MIN(AJ42,$AA$225)-AI42)</f>
        <v/>
      </c>
      <c r="BQ42" s="68" t="inlineStr"/>
    </row>
    <row r="43">
      <c r="B43" s="9" t="n"/>
      <c r="C43" s="57" t="n">
        <v>16</v>
      </c>
      <c r="D43" s="41" t="n"/>
      <c r="E43" s="55">
        <f>AI43</f>
        <v/>
      </c>
      <c r="F43" s="41" t="n"/>
      <c r="G43" s="41" t="n"/>
      <c r="H43" s="55">
        <f>AJ43</f>
        <v/>
      </c>
      <c r="I43" s="41" t="n"/>
      <c r="J43" s="41" t="n"/>
      <c r="K43" s="52">
        <f>AM43</f>
        <v/>
      </c>
      <c r="L43" s="41" t="n"/>
      <c r="M43" s="41" t="n"/>
      <c r="N43" s="57">
        <f>AN43</f>
        <v/>
      </c>
      <c r="O43" s="41" t="n"/>
      <c r="P43" s="41" t="n"/>
      <c r="Q43" s="53">
        <f>AO43</f>
        <v/>
      </c>
      <c r="R43" s="41" t="n"/>
      <c r="S43" s="41" t="n"/>
      <c r="T43" s="57">
        <f>IF(AR43="","-",AR43)</f>
        <v/>
      </c>
      <c r="U43" s="41" t="n"/>
      <c r="V43" s="57">
        <f>IF(AT43="","-",AT43)</f>
        <v/>
      </c>
      <c r="W43" s="41" t="n"/>
      <c r="X43" s="55">
        <f>AU43</f>
        <v/>
      </c>
      <c r="Y43" s="41" t="n"/>
      <c r="Z43" s="66">
        <f>AV43</f>
        <v/>
      </c>
      <c r="AA43" s="41" t="n"/>
      <c r="AB43" s="41" t="n"/>
      <c r="AC43" s="53">
        <f>AW43</f>
        <v/>
      </c>
      <c r="AD43" s="41" t="n"/>
      <c r="AE43" s="41" t="n"/>
      <c r="AF43" s="15" t="n"/>
      <c r="AI43" s="67" t="n">
        <v>22.5</v>
      </c>
      <c r="AJ43" s="67" t="n">
        <v>24</v>
      </c>
      <c r="AK43" s="68">
        <f>AJ43-AI43</f>
        <v/>
      </c>
      <c r="AL43" s="68">
        <f>(AI43+AJ43)/2</f>
        <v/>
      </c>
      <c r="AM43" s="67" t="inlineStr">
        <is>
          <t>Clay</t>
        </is>
      </c>
      <c r="AN43" s="67" t="n">
        <v>44</v>
      </c>
      <c r="AO43" s="68">
        <f>IF(AL43&gt;$AA$19,$AA$21,$AA$20)</f>
        <v/>
      </c>
      <c r="AP43" s="68">
        <f>AP42+AO43*AK43</f>
        <v/>
      </c>
      <c r="AQ43" s="68">
        <f>AP43-AO43*AK43/2-10*MAX(AL43-$AA$19,0)</f>
        <v/>
      </c>
      <c r="AR43" s="67" t="n">
        <v>31.31</v>
      </c>
      <c r="AS43" s="67" t="n">
        <v>20.24</v>
      </c>
      <c r="AT43" s="68">
        <f>IF(AR43="","",AR43-AS43)</f>
        <v/>
      </c>
      <c r="AU43" s="67" t="n">
        <v>0.662</v>
      </c>
      <c r="AV43" s="68">
        <f>IF(AM43="Sand",0,Input!$AA$31*AN43)</f>
        <v/>
      </c>
      <c r="AW43" s="68">
        <f>IF(AM43="Sand",27.1+0.3*MIN(Input!$AA$32*AN43,60)-0.00054*MIN(Input!$AA$32*AN43,60)^2,MIN(MAX(DEGREES(ASIN(0.8-0.094*LN(MAX(IF(AT43="",10,AT43),5)))),20),30))</f>
        <v/>
      </c>
      <c r="AX43" s="68">
        <f>IF(AM43="Sand",Input!$AA$33*Input!$AA$32*AN43,Input!$AA$34*AV43)</f>
        <v/>
      </c>
      <c r="AY43" s="68">
        <f>IF(AM43="Sand",Input!$AA$35,0.5)</f>
        <v/>
      </c>
      <c r="AZ43" s="68">
        <f>Input!$AA$15/2/AL43</f>
        <v/>
      </c>
      <c r="BA43" s="68">
        <f>Input!$AA$16/2/AL43</f>
        <v/>
      </c>
      <c r="BB43" s="68">
        <f>1/(4*PI())*(2*AZ43*BA43*SQRT(AZ43^2+BA43^2+1)/(AZ43^2+BA43^2+1+AZ43^2*BA43^2)*(AZ43^2+BA43^2+2)/(AZ43^2+BA43^2+1)+ATAN2(AZ43^2+BA43^2+1-AZ43^2*BA43^2,2*AZ43*BA43*SQRT(AZ43^2+BA43^2+1)))</f>
        <v/>
      </c>
      <c r="BC43" s="68">
        <f>4*Input!$AA$14*BB43</f>
        <v/>
      </c>
      <c r="BD43" s="68">
        <f>((Input!$AA$16/Input!$AA$15)*LN((1+SQRT((Input!$AA$16/Input!$AA$15)^2+1))*SQRT((Input!$AA$16/Input!$AA$15)^2+(AJ43/(Input!$AA$15/2))^2)/((Input!$AA$16/Input!$AA$15)*(1+SQRT((Input!$AA$16/Input!$AA$15)^2+(AJ43/(Input!$AA$15/2))^2+1))))+LN(((Input!$AA$16/Input!$AA$15)+SQRT((Input!$AA$16/Input!$AA$15)^2+1))*SQRT(1+(AJ43/(Input!$AA$15/2))^2)/((Input!$AA$16/Input!$AA$15)+SQRT((Input!$AA$16/Input!$AA$15)^2+(AJ43/(Input!$AA$15/2))^2+1))))/PI()</f>
        <v/>
      </c>
      <c r="BE43" s="68">
        <f>(AJ43/(Input!$AA$15/2))/(2*PI())*ATAN((Input!$AA$16/Input!$AA$15)/((AJ43/(Input!$AA$15/2))*SQRT((Input!$AA$16/Input!$AA$15)^2+(AJ43/(Input!$AA$15/2))^2+1)))</f>
        <v/>
      </c>
      <c r="BF43" s="68">
        <f>MAX(0,AJ43-MAX(AI43,$AA$22))/AK43*IF(BC43&gt;=Input!$AA$21*AQ43,1,0)</f>
        <v/>
      </c>
      <c r="BG43" s="68">
        <f>4*Input!$AA$14*(Input!$AA$15/2)*(1-AY43^2)/AX43*((BD43-BD42)+(1-2*AY43)/(1-AY43)*(BE43-BE42))*1000*BF43</f>
        <v/>
      </c>
      <c r="BH43" s="68">
        <f>IF(AM43="Sand",0,0.009*(AR43-10))</f>
        <v/>
      </c>
      <c r="BI43" s="68">
        <f>BH43*Input!$AA$36</f>
        <v/>
      </c>
      <c r="BJ43" s="68">
        <f>IF(AM43="Sand",0,MAX(AV43/Input!$AA$37,AQ43))</f>
        <v/>
      </c>
      <c r="BK43" s="68">
        <f>IF(AM43="Sand",0,1000*AK43/(1+AU43)*IF(AQ43+BC43&lt;=BJ43,BI43*LOG10((AQ43+BC43)/AQ43),BI43*LOG10(BJ43/AQ43)+BH43*LOG10((AQ43+BC43)/BJ43)))*BF43</f>
        <v/>
      </c>
      <c r="BL43" s="68">
        <f>IF(AM43="Sand",0,10^(INDEX(Input!$Q$48:$Q$54,MIN(MATCH(MIN(MAX(AR43,30),120),Input!$C$48:$C$54,1),6))+(MIN(MAX(AR43,30),120)-INDEX(Input!$C$48:$C$54,MIN(MATCH(MIN(MAX(AR43,30),120),Input!$C$48:$C$54,1),6)))/(INDEX(Input!$C$48:$C$54,MIN(MATCH(MIN(MAX(AR43,30),120),Input!$C$48:$C$54,1),6)+1)-INDEX(Input!$C$48:$C$54,MIN(MATCH(MIN(MAX(AR43,30),120),Input!$C$48:$C$54,1),6)))*(INDEX(Input!$Q$48:$Q$54,MIN(MATCH(MIN(MAX(AR43,30),120),Input!$C$48:$C$54,1),6)+1)-INDEX(Input!$Q$48:$Q$54,MIN(MATCH(MIN(MAX(AR43,30),120),Input!$C$48:$C$54,1),6)))))</f>
        <v/>
      </c>
      <c r="BM43" s="68">
        <f>IF(OR(AM43="Sand",BF43=0),0,Input!$AA$38*(AK43/2)^2/(BL43*1E-4*31536000))</f>
        <v/>
      </c>
      <c r="BN43" s="68">
        <f>MAX(0,MIN(AJ43,Input!$AA$20)-AI43)</f>
        <v/>
      </c>
      <c r="BO43" s="68">
        <f>MAX(0,MIN(AJ43,Input!$AA$20)-MAX(AI43,$AA$22))</f>
        <v/>
      </c>
      <c r="BP43" s="68">
        <f>MAX(0,MIN(AJ43,$AA$225)-AI43)</f>
        <v/>
      </c>
      <c r="BQ43" s="68" t="inlineStr"/>
    </row>
    <row r="44">
      <c r="B44" s="9" t="n"/>
      <c r="C44" s="57" t="n">
        <v>17</v>
      </c>
      <c r="D44" s="41" t="n"/>
      <c r="E44" s="55">
        <f>AI44</f>
        <v/>
      </c>
      <c r="F44" s="41" t="n"/>
      <c r="G44" s="41" t="n"/>
      <c r="H44" s="55">
        <f>AJ44</f>
        <v/>
      </c>
      <c r="I44" s="41" t="n"/>
      <c r="J44" s="41" t="n"/>
      <c r="K44" s="52">
        <f>AM44</f>
        <v/>
      </c>
      <c r="L44" s="41" t="n"/>
      <c r="M44" s="41" t="n"/>
      <c r="N44" s="57">
        <f>AN44</f>
        <v/>
      </c>
      <c r="O44" s="41" t="n"/>
      <c r="P44" s="41" t="n"/>
      <c r="Q44" s="53">
        <f>AO44</f>
        <v/>
      </c>
      <c r="R44" s="41" t="n"/>
      <c r="S44" s="41" t="n"/>
      <c r="T44" s="57">
        <f>IF(AR44="","-",AR44)</f>
        <v/>
      </c>
      <c r="U44" s="41" t="n"/>
      <c r="V44" s="57">
        <f>IF(AT44="","-",AT44)</f>
        <v/>
      </c>
      <c r="W44" s="41" t="n"/>
      <c r="X44" s="55">
        <f>AU44</f>
        <v/>
      </c>
      <c r="Y44" s="41" t="n"/>
      <c r="Z44" s="66">
        <f>AV44</f>
        <v/>
      </c>
      <c r="AA44" s="41" t="n"/>
      <c r="AB44" s="41" t="n"/>
      <c r="AC44" s="53">
        <f>AW44</f>
        <v/>
      </c>
      <c r="AD44" s="41" t="n"/>
      <c r="AE44" s="41" t="n"/>
      <c r="AF44" s="15" t="n"/>
      <c r="AI44" s="67" t="n">
        <v>24</v>
      </c>
      <c r="AJ44" s="67" t="n">
        <v>25.5</v>
      </c>
      <c r="AK44" s="68">
        <f>AJ44-AI44</f>
        <v/>
      </c>
      <c r="AL44" s="68">
        <f>(AI44+AJ44)/2</f>
        <v/>
      </c>
      <c r="AM44" s="67" t="inlineStr">
        <is>
          <t>Clay</t>
        </is>
      </c>
      <c r="AN44" s="67" t="n">
        <v>20</v>
      </c>
      <c r="AO44" s="68">
        <f>IF(AL44&gt;$AA$19,$AA$21,$AA$20)</f>
        <v/>
      </c>
      <c r="AP44" s="68">
        <f>AP43+AO44*AK44</f>
        <v/>
      </c>
      <c r="AQ44" s="68">
        <f>AP44-AO44*AK44/2-10*MAX(AL44-$AA$19,0)</f>
        <v/>
      </c>
      <c r="AR44" s="67" t="n">
        <v>34.63</v>
      </c>
      <c r="AS44" s="67" t="n">
        <v>24.12</v>
      </c>
      <c r="AT44" s="68">
        <f>IF(AR44="","",AR44-AS44)</f>
        <v/>
      </c>
      <c r="AU44" s="67" t="n">
        <v>0.775</v>
      </c>
      <c r="AV44" s="68">
        <f>IF(AM44="Sand",0,Input!$AA$31*AN44)</f>
        <v/>
      </c>
      <c r="AW44" s="68">
        <f>IF(AM44="Sand",27.1+0.3*MIN(Input!$AA$32*AN44,60)-0.00054*MIN(Input!$AA$32*AN44,60)^2,MIN(MAX(DEGREES(ASIN(0.8-0.094*LN(MAX(IF(AT44="",10,AT44),5)))),20),30))</f>
        <v/>
      </c>
      <c r="AX44" s="68">
        <f>IF(AM44="Sand",Input!$AA$33*Input!$AA$32*AN44,Input!$AA$34*AV44)</f>
        <v/>
      </c>
      <c r="AY44" s="68">
        <f>IF(AM44="Sand",Input!$AA$35,0.5)</f>
        <v/>
      </c>
      <c r="AZ44" s="68">
        <f>Input!$AA$15/2/AL44</f>
        <v/>
      </c>
      <c r="BA44" s="68">
        <f>Input!$AA$16/2/AL44</f>
        <v/>
      </c>
      <c r="BB44" s="68">
        <f>1/(4*PI())*(2*AZ44*BA44*SQRT(AZ44^2+BA44^2+1)/(AZ44^2+BA44^2+1+AZ44^2*BA44^2)*(AZ44^2+BA44^2+2)/(AZ44^2+BA44^2+1)+ATAN2(AZ44^2+BA44^2+1-AZ44^2*BA44^2,2*AZ44*BA44*SQRT(AZ44^2+BA44^2+1)))</f>
        <v/>
      </c>
      <c r="BC44" s="68">
        <f>4*Input!$AA$14*BB44</f>
        <v/>
      </c>
      <c r="BD44" s="68">
        <f>((Input!$AA$16/Input!$AA$15)*LN((1+SQRT((Input!$AA$16/Input!$AA$15)^2+1))*SQRT((Input!$AA$16/Input!$AA$15)^2+(AJ44/(Input!$AA$15/2))^2)/((Input!$AA$16/Input!$AA$15)*(1+SQRT((Input!$AA$16/Input!$AA$15)^2+(AJ44/(Input!$AA$15/2))^2+1))))+LN(((Input!$AA$16/Input!$AA$15)+SQRT((Input!$AA$16/Input!$AA$15)^2+1))*SQRT(1+(AJ44/(Input!$AA$15/2))^2)/((Input!$AA$16/Input!$AA$15)+SQRT((Input!$AA$16/Input!$AA$15)^2+(AJ44/(Input!$AA$15/2))^2+1))))/PI()</f>
        <v/>
      </c>
      <c r="BE44" s="68">
        <f>(AJ44/(Input!$AA$15/2))/(2*PI())*ATAN((Input!$AA$16/Input!$AA$15)/((AJ44/(Input!$AA$15/2))*SQRT((Input!$AA$16/Input!$AA$15)^2+(AJ44/(Input!$AA$15/2))^2+1)))</f>
        <v/>
      </c>
      <c r="BF44" s="68">
        <f>MAX(0,AJ44-MAX(AI44,$AA$22))/AK44*IF(BC44&gt;=Input!$AA$21*AQ44,1,0)</f>
        <v/>
      </c>
      <c r="BG44" s="68">
        <f>4*Input!$AA$14*(Input!$AA$15/2)*(1-AY44^2)/AX44*((BD44-BD43)+(1-2*AY44)/(1-AY44)*(BE44-BE43))*1000*BF44</f>
        <v/>
      </c>
      <c r="BH44" s="68">
        <f>IF(AM44="Sand",0,0.009*(AR44-10))</f>
        <v/>
      </c>
      <c r="BI44" s="68">
        <f>BH44*Input!$AA$36</f>
        <v/>
      </c>
      <c r="BJ44" s="68">
        <f>IF(AM44="Sand",0,MAX(AV44/Input!$AA$37,AQ44))</f>
        <v/>
      </c>
      <c r="BK44" s="68">
        <f>IF(AM44="Sand",0,1000*AK44/(1+AU44)*IF(AQ44+BC44&lt;=BJ44,BI44*LOG10((AQ44+BC44)/AQ44),BI44*LOG10(BJ44/AQ44)+BH44*LOG10((AQ44+BC44)/BJ44)))*BF44</f>
        <v/>
      </c>
      <c r="BL44" s="68">
        <f>IF(AM44="Sand",0,10^(INDEX(Input!$Q$48:$Q$54,MIN(MATCH(MIN(MAX(AR44,30),120),Input!$C$48:$C$54,1),6))+(MIN(MAX(AR44,30),120)-INDEX(Input!$C$48:$C$54,MIN(MATCH(MIN(MAX(AR44,30),120),Input!$C$48:$C$54,1),6)))/(INDEX(Input!$C$48:$C$54,MIN(MATCH(MIN(MAX(AR44,30),120),Input!$C$48:$C$54,1),6)+1)-INDEX(Input!$C$48:$C$54,MIN(MATCH(MIN(MAX(AR44,30),120),Input!$C$48:$C$54,1),6)))*(INDEX(Input!$Q$48:$Q$54,MIN(MATCH(MIN(MAX(AR44,30),120),Input!$C$48:$C$54,1),6)+1)-INDEX(Input!$Q$48:$Q$54,MIN(MATCH(MIN(MAX(AR44,30),120),Input!$C$48:$C$54,1),6)))))</f>
        <v/>
      </c>
      <c r="BM44" s="68">
        <f>IF(OR(AM44="Sand",BF44=0),0,Input!$AA$38*(AK44/2)^2/(BL44*1E-4*31536000))</f>
        <v/>
      </c>
      <c r="BN44" s="68">
        <f>MAX(0,MIN(AJ44,Input!$AA$20)-AI44)</f>
        <v/>
      </c>
      <c r="BO44" s="68">
        <f>MAX(0,MIN(AJ44,Input!$AA$20)-MAX(AI44,$AA$22))</f>
        <v/>
      </c>
      <c r="BP44" s="68">
        <f>MAX(0,MIN(AJ44,$AA$225)-AI44)</f>
        <v/>
      </c>
      <c r="BQ44" s="68" t="inlineStr"/>
    </row>
    <row r="45">
      <c r="B45" s="9" t="n"/>
      <c r="C45" s="57" t="n">
        <v>18</v>
      </c>
      <c r="D45" s="41" t="n"/>
      <c r="E45" s="55">
        <f>AI45</f>
        <v/>
      </c>
      <c r="F45" s="41" t="n"/>
      <c r="G45" s="41" t="n"/>
      <c r="H45" s="55">
        <f>AJ45</f>
        <v/>
      </c>
      <c r="I45" s="41" t="n"/>
      <c r="J45" s="41" t="n"/>
      <c r="K45" s="52">
        <f>AM45</f>
        <v/>
      </c>
      <c r="L45" s="41" t="n"/>
      <c r="M45" s="41" t="n"/>
      <c r="N45" s="57">
        <f>AN45</f>
        <v/>
      </c>
      <c r="O45" s="41" t="n"/>
      <c r="P45" s="41" t="n"/>
      <c r="Q45" s="53">
        <f>AO45</f>
        <v/>
      </c>
      <c r="R45" s="41" t="n"/>
      <c r="S45" s="41" t="n"/>
      <c r="T45" s="57">
        <f>IF(AR45="","-",AR45)</f>
        <v/>
      </c>
      <c r="U45" s="41" t="n"/>
      <c r="V45" s="57">
        <f>IF(AT45="","-",AT45)</f>
        <v/>
      </c>
      <c r="W45" s="41" t="n"/>
      <c r="X45" s="55">
        <f>AU45</f>
        <v/>
      </c>
      <c r="Y45" s="41" t="n"/>
      <c r="Z45" s="66">
        <f>AV45</f>
        <v/>
      </c>
      <c r="AA45" s="41" t="n"/>
      <c r="AB45" s="41" t="n"/>
      <c r="AC45" s="53">
        <f>AW45</f>
        <v/>
      </c>
      <c r="AD45" s="41" t="n"/>
      <c r="AE45" s="41" t="n"/>
      <c r="AF45" s="15" t="n"/>
      <c r="AI45" s="67" t="n">
        <v>25.5</v>
      </c>
      <c r="AJ45" s="67" t="n">
        <v>27</v>
      </c>
      <c r="AK45" s="68">
        <f>AJ45-AI45</f>
        <v/>
      </c>
      <c r="AL45" s="68">
        <f>(AI45+AJ45)/2</f>
        <v/>
      </c>
      <c r="AM45" s="67" t="inlineStr">
        <is>
          <t>Clay</t>
        </is>
      </c>
      <c r="AN45" s="67" t="n">
        <v>21</v>
      </c>
      <c r="AO45" s="68">
        <f>IF(AL45&gt;$AA$19,$AA$21,$AA$20)</f>
        <v/>
      </c>
      <c r="AP45" s="68">
        <f>AP44+AO45*AK45</f>
        <v/>
      </c>
      <c r="AQ45" s="68">
        <f>AP45-AO45*AK45/2-10*MAX(AL45-$AA$19,0)</f>
        <v/>
      </c>
      <c r="AR45" s="67" t="n">
        <v>29.665</v>
      </c>
      <c r="AS45" s="67" t="n">
        <v>19.806</v>
      </c>
      <c r="AT45" s="68">
        <f>IF(AR45="","",AR45-AS45)</f>
        <v/>
      </c>
      <c r="AU45" s="67" t="n">
        <v>0.401</v>
      </c>
      <c r="AV45" s="68">
        <f>IF(AM45="Sand",0,Input!$AA$31*AN45)</f>
        <v/>
      </c>
      <c r="AW45" s="68">
        <f>IF(AM45="Sand",27.1+0.3*MIN(Input!$AA$32*AN45,60)-0.00054*MIN(Input!$AA$32*AN45,60)^2,MIN(MAX(DEGREES(ASIN(0.8-0.094*LN(MAX(IF(AT45="",10,AT45),5)))),20),30))</f>
        <v/>
      </c>
      <c r="AX45" s="68">
        <f>IF(AM45="Sand",Input!$AA$33*Input!$AA$32*AN45,Input!$AA$34*AV45)</f>
        <v/>
      </c>
      <c r="AY45" s="68">
        <f>IF(AM45="Sand",Input!$AA$35,0.5)</f>
        <v/>
      </c>
      <c r="AZ45" s="68">
        <f>Input!$AA$15/2/AL45</f>
        <v/>
      </c>
      <c r="BA45" s="68">
        <f>Input!$AA$16/2/AL45</f>
        <v/>
      </c>
      <c r="BB45" s="68">
        <f>1/(4*PI())*(2*AZ45*BA45*SQRT(AZ45^2+BA45^2+1)/(AZ45^2+BA45^2+1+AZ45^2*BA45^2)*(AZ45^2+BA45^2+2)/(AZ45^2+BA45^2+1)+ATAN2(AZ45^2+BA45^2+1-AZ45^2*BA45^2,2*AZ45*BA45*SQRT(AZ45^2+BA45^2+1)))</f>
        <v/>
      </c>
      <c r="BC45" s="68">
        <f>4*Input!$AA$14*BB45</f>
        <v/>
      </c>
      <c r="BD45" s="68">
        <f>((Input!$AA$16/Input!$AA$15)*LN((1+SQRT((Input!$AA$16/Input!$AA$15)^2+1))*SQRT((Input!$AA$16/Input!$AA$15)^2+(AJ45/(Input!$AA$15/2))^2)/((Input!$AA$16/Input!$AA$15)*(1+SQRT((Input!$AA$16/Input!$AA$15)^2+(AJ45/(Input!$AA$15/2))^2+1))))+LN(((Input!$AA$16/Input!$AA$15)+SQRT((Input!$AA$16/Input!$AA$15)^2+1))*SQRT(1+(AJ45/(Input!$AA$15/2))^2)/((Input!$AA$16/Input!$AA$15)+SQRT((Input!$AA$16/Input!$AA$15)^2+(AJ45/(Input!$AA$15/2))^2+1))))/PI()</f>
        <v/>
      </c>
      <c r="BE45" s="68">
        <f>(AJ45/(Input!$AA$15/2))/(2*PI())*ATAN((Input!$AA$16/Input!$AA$15)/((AJ45/(Input!$AA$15/2))*SQRT((Input!$AA$16/Input!$AA$15)^2+(AJ45/(Input!$AA$15/2))^2+1)))</f>
        <v/>
      </c>
      <c r="BF45" s="68">
        <f>MAX(0,AJ45-MAX(AI45,$AA$22))/AK45*IF(BC45&gt;=Input!$AA$21*AQ45,1,0)</f>
        <v/>
      </c>
      <c r="BG45" s="68">
        <f>4*Input!$AA$14*(Input!$AA$15/2)*(1-AY45^2)/AX45*((BD45-BD44)+(1-2*AY45)/(1-AY45)*(BE45-BE44))*1000*BF45</f>
        <v/>
      </c>
      <c r="BH45" s="68">
        <f>IF(AM45="Sand",0,0.009*(AR45-10))</f>
        <v/>
      </c>
      <c r="BI45" s="68">
        <f>BH45*Input!$AA$36</f>
        <v/>
      </c>
      <c r="BJ45" s="68">
        <f>IF(AM45="Sand",0,MAX(AV45/Input!$AA$37,AQ45))</f>
        <v/>
      </c>
      <c r="BK45" s="68">
        <f>IF(AM45="Sand",0,1000*AK45/(1+AU45)*IF(AQ45+BC45&lt;=BJ45,BI45*LOG10((AQ45+BC45)/AQ45),BI45*LOG10(BJ45/AQ45)+BH45*LOG10((AQ45+BC45)/BJ45)))*BF45</f>
        <v/>
      </c>
      <c r="BL45" s="68">
        <f>IF(AM45="Sand",0,10^(INDEX(Input!$Q$48:$Q$54,MIN(MATCH(MIN(MAX(AR45,30),120),Input!$C$48:$C$54,1),6))+(MIN(MAX(AR45,30),120)-INDEX(Input!$C$48:$C$54,MIN(MATCH(MIN(MAX(AR45,30),120),Input!$C$48:$C$54,1),6)))/(INDEX(Input!$C$48:$C$54,MIN(MATCH(MIN(MAX(AR45,30),120),Input!$C$48:$C$54,1),6)+1)-INDEX(Input!$C$48:$C$54,MIN(MATCH(MIN(MAX(AR45,30),120),Input!$C$48:$C$54,1),6)))*(INDEX(Input!$Q$48:$Q$54,MIN(MATCH(MIN(MAX(AR45,30),120),Input!$C$48:$C$54,1),6)+1)-INDEX(Input!$Q$48:$Q$54,MIN(MATCH(MIN(MAX(AR45,30),120),Input!$C$48:$C$54,1),6)))))</f>
        <v/>
      </c>
      <c r="BM45" s="68">
        <f>IF(OR(AM45="Sand",BF45=0),0,Input!$AA$38*(AK45/2)^2/(BL45*1E-4*31536000))</f>
        <v/>
      </c>
      <c r="BN45" s="68">
        <f>MAX(0,MIN(AJ45,Input!$AA$20)-AI45)</f>
        <v/>
      </c>
      <c r="BO45" s="68">
        <f>MAX(0,MIN(AJ45,Input!$AA$20)-MAX(AI45,$AA$22))</f>
        <v/>
      </c>
      <c r="BP45" s="68">
        <f>MAX(0,MIN(AJ45,$AA$225)-AI45)</f>
        <v/>
      </c>
      <c r="BQ45" s="68" t="inlineStr">
        <is>
          <t>LL/PL/e0 = borehole average</t>
        </is>
      </c>
    </row>
    <row r="46">
      <c r="B46" s="9" t="n"/>
      <c r="C46" s="57" t="n">
        <v>19</v>
      </c>
      <c r="D46" s="41" t="n"/>
      <c r="E46" s="55">
        <f>AI46</f>
        <v/>
      </c>
      <c r="F46" s="41" t="n"/>
      <c r="G46" s="41" t="n"/>
      <c r="H46" s="55">
        <f>AJ46</f>
        <v/>
      </c>
      <c r="I46" s="41" t="n"/>
      <c r="J46" s="41" t="n"/>
      <c r="K46" s="52">
        <f>AM46</f>
        <v/>
      </c>
      <c r="L46" s="41" t="n"/>
      <c r="M46" s="41" t="n"/>
      <c r="N46" s="57">
        <f>AN46</f>
        <v/>
      </c>
      <c r="O46" s="41" t="n"/>
      <c r="P46" s="41" t="n"/>
      <c r="Q46" s="53">
        <f>AO46</f>
        <v/>
      </c>
      <c r="R46" s="41" t="n"/>
      <c r="S46" s="41" t="n"/>
      <c r="T46" s="57">
        <f>IF(AR46="","-",AR46)</f>
        <v/>
      </c>
      <c r="U46" s="41" t="n"/>
      <c r="V46" s="57">
        <f>IF(AT46="","-",AT46)</f>
        <v/>
      </c>
      <c r="W46" s="41" t="n"/>
      <c r="X46" s="55">
        <f>AU46</f>
        <v/>
      </c>
      <c r="Y46" s="41" t="n"/>
      <c r="Z46" s="66">
        <f>AV46</f>
        <v/>
      </c>
      <c r="AA46" s="41" t="n"/>
      <c r="AB46" s="41" t="n"/>
      <c r="AC46" s="53">
        <f>AW46</f>
        <v/>
      </c>
      <c r="AD46" s="41" t="n"/>
      <c r="AE46" s="41" t="n"/>
      <c r="AF46" s="15" t="n"/>
      <c r="AI46" s="67" t="n">
        <v>27</v>
      </c>
      <c r="AJ46" s="67" t="n">
        <v>28.5</v>
      </c>
      <c r="AK46" s="68">
        <f>AJ46-AI46</f>
        <v/>
      </c>
      <c r="AL46" s="68">
        <f>(AI46+AJ46)/2</f>
        <v/>
      </c>
      <c r="AM46" s="67" t="inlineStr">
        <is>
          <t>Sand</t>
        </is>
      </c>
      <c r="AN46" s="67" t="n">
        <v>21</v>
      </c>
      <c r="AO46" s="68">
        <f>IF(AL46&gt;$AA$19,$AA$21,$AA$20)</f>
        <v/>
      </c>
      <c r="AP46" s="68">
        <f>AP45+AO46*AK46</f>
        <v/>
      </c>
      <c r="AQ46" s="68">
        <f>AP46-AO46*AK46/2-10*MAX(AL46-$AA$19,0)</f>
        <v/>
      </c>
      <c r="AR46" s="67" t="n"/>
      <c r="AS46" s="67" t="n"/>
      <c r="AT46" s="68">
        <f>IF(AR46="","",AR46-AS46)</f>
        <v/>
      </c>
      <c r="AU46" s="67" t="n">
        <v>0.474</v>
      </c>
      <c r="AV46" s="68">
        <f>IF(AM46="Sand",0,Input!$AA$31*AN46)</f>
        <v/>
      </c>
      <c r="AW46" s="68">
        <f>IF(AM46="Sand",27.1+0.3*MIN(Input!$AA$32*AN46,60)-0.00054*MIN(Input!$AA$32*AN46,60)^2,MIN(MAX(DEGREES(ASIN(0.8-0.094*LN(MAX(IF(AT46="",10,AT46),5)))),20),30))</f>
        <v/>
      </c>
      <c r="AX46" s="68">
        <f>IF(AM46="Sand",Input!$AA$33*Input!$AA$32*AN46,Input!$AA$34*AV46)</f>
        <v/>
      </c>
      <c r="AY46" s="68">
        <f>IF(AM46="Sand",Input!$AA$35,0.5)</f>
        <v/>
      </c>
      <c r="AZ46" s="68">
        <f>Input!$AA$15/2/AL46</f>
        <v/>
      </c>
      <c r="BA46" s="68">
        <f>Input!$AA$16/2/AL46</f>
        <v/>
      </c>
      <c r="BB46" s="68">
        <f>1/(4*PI())*(2*AZ46*BA46*SQRT(AZ46^2+BA46^2+1)/(AZ46^2+BA46^2+1+AZ46^2*BA46^2)*(AZ46^2+BA46^2+2)/(AZ46^2+BA46^2+1)+ATAN2(AZ46^2+BA46^2+1-AZ46^2*BA46^2,2*AZ46*BA46*SQRT(AZ46^2+BA46^2+1)))</f>
        <v/>
      </c>
      <c r="BC46" s="68">
        <f>4*Input!$AA$14*BB46</f>
        <v/>
      </c>
      <c r="BD46" s="68">
        <f>((Input!$AA$16/Input!$AA$15)*LN((1+SQRT((Input!$AA$16/Input!$AA$15)^2+1))*SQRT((Input!$AA$16/Input!$AA$15)^2+(AJ46/(Input!$AA$15/2))^2)/((Input!$AA$16/Input!$AA$15)*(1+SQRT((Input!$AA$16/Input!$AA$15)^2+(AJ46/(Input!$AA$15/2))^2+1))))+LN(((Input!$AA$16/Input!$AA$15)+SQRT((Input!$AA$16/Input!$AA$15)^2+1))*SQRT(1+(AJ46/(Input!$AA$15/2))^2)/((Input!$AA$16/Input!$AA$15)+SQRT((Input!$AA$16/Input!$AA$15)^2+(AJ46/(Input!$AA$15/2))^2+1))))/PI()</f>
        <v/>
      </c>
      <c r="BE46" s="68">
        <f>(AJ46/(Input!$AA$15/2))/(2*PI())*ATAN((Input!$AA$16/Input!$AA$15)/((AJ46/(Input!$AA$15/2))*SQRT((Input!$AA$16/Input!$AA$15)^2+(AJ46/(Input!$AA$15/2))^2+1)))</f>
        <v/>
      </c>
      <c r="BF46" s="68">
        <f>MAX(0,AJ46-MAX(AI46,$AA$22))/AK46*IF(BC46&gt;=Input!$AA$21*AQ46,1,0)</f>
        <v/>
      </c>
      <c r="BG46" s="68">
        <f>4*Input!$AA$14*(Input!$AA$15/2)*(1-AY46^2)/AX46*((BD46-BD45)+(1-2*AY46)/(1-AY46)*(BE46-BE45))*1000*BF46</f>
        <v/>
      </c>
      <c r="BH46" s="68">
        <f>IF(AM46="Sand",0,0.009*(AR46-10))</f>
        <v/>
      </c>
      <c r="BI46" s="68">
        <f>BH46*Input!$AA$36</f>
        <v/>
      </c>
      <c r="BJ46" s="68">
        <f>IF(AM46="Sand",0,MAX(AV46/Input!$AA$37,AQ46))</f>
        <v/>
      </c>
      <c r="BK46" s="68">
        <f>IF(AM46="Sand",0,1000*AK46/(1+AU46)*IF(AQ46+BC46&lt;=BJ46,BI46*LOG10((AQ46+BC46)/AQ46),BI46*LOG10(BJ46/AQ46)+BH46*LOG10((AQ46+BC46)/BJ46)))*BF46</f>
        <v/>
      </c>
      <c r="BL46" s="68">
        <f>IF(AM46="Sand",0,10^(INDEX(Input!$Q$48:$Q$54,MIN(MATCH(MIN(MAX(AR46,30),120),Input!$C$48:$C$54,1),6))+(MIN(MAX(AR46,30),120)-INDEX(Input!$C$48:$C$54,MIN(MATCH(MIN(MAX(AR46,30),120),Input!$C$48:$C$54,1),6)))/(INDEX(Input!$C$48:$C$54,MIN(MATCH(MIN(MAX(AR46,30),120),Input!$C$48:$C$54,1),6)+1)-INDEX(Input!$C$48:$C$54,MIN(MATCH(MIN(MAX(AR46,30),120),Input!$C$48:$C$54,1),6)))*(INDEX(Input!$Q$48:$Q$54,MIN(MATCH(MIN(MAX(AR46,30),120),Input!$C$48:$C$54,1),6)+1)-INDEX(Input!$Q$48:$Q$54,MIN(MATCH(MIN(MAX(AR46,30),120),Input!$C$48:$C$54,1),6)))))</f>
        <v/>
      </c>
      <c r="BM46" s="68">
        <f>IF(OR(AM46="Sand",BF46=0),0,Input!$AA$38*(AK46/2)^2/(BL46*1E-4*31536000))</f>
        <v/>
      </c>
      <c r="BN46" s="68">
        <f>MAX(0,MIN(AJ46,Input!$AA$20)-AI46)</f>
        <v/>
      </c>
      <c r="BO46" s="68">
        <f>MAX(0,MIN(AJ46,Input!$AA$20)-MAX(AI46,$AA$22))</f>
        <v/>
      </c>
      <c r="BP46" s="68">
        <f>MAX(0,MIN(AJ46,$AA$225)-AI46)</f>
        <v/>
      </c>
      <c r="BQ46" s="68" t="inlineStr"/>
    </row>
    <row r="47">
      <c r="B47" s="9" t="n"/>
      <c r="C47" s="57" t="n">
        <v>20</v>
      </c>
      <c r="D47" s="41" t="n"/>
      <c r="E47" s="55">
        <f>AI47</f>
        <v/>
      </c>
      <c r="F47" s="41" t="n"/>
      <c r="G47" s="41" t="n"/>
      <c r="H47" s="55">
        <f>AJ47</f>
        <v/>
      </c>
      <c r="I47" s="41" t="n"/>
      <c r="J47" s="41" t="n"/>
      <c r="K47" s="52">
        <f>AM47</f>
        <v/>
      </c>
      <c r="L47" s="41" t="n"/>
      <c r="M47" s="41" t="n"/>
      <c r="N47" s="57">
        <f>AN47</f>
        <v/>
      </c>
      <c r="O47" s="41" t="n"/>
      <c r="P47" s="41" t="n"/>
      <c r="Q47" s="53">
        <f>AO47</f>
        <v/>
      </c>
      <c r="R47" s="41" t="n"/>
      <c r="S47" s="41" t="n"/>
      <c r="T47" s="57">
        <f>IF(AR47="","-",AR47)</f>
        <v/>
      </c>
      <c r="U47" s="41" t="n"/>
      <c r="V47" s="57">
        <f>IF(AT47="","-",AT47)</f>
        <v/>
      </c>
      <c r="W47" s="41" t="n"/>
      <c r="X47" s="55">
        <f>AU47</f>
        <v/>
      </c>
      <c r="Y47" s="41" t="n"/>
      <c r="Z47" s="66">
        <f>AV47</f>
        <v/>
      </c>
      <c r="AA47" s="41" t="n"/>
      <c r="AB47" s="41" t="n"/>
      <c r="AC47" s="53">
        <f>AW47</f>
        <v/>
      </c>
      <c r="AD47" s="41" t="n"/>
      <c r="AE47" s="41" t="n"/>
      <c r="AF47" s="15" t="n"/>
      <c r="AI47" s="67" t="n">
        <v>28.5</v>
      </c>
      <c r="AJ47" s="67" t="n">
        <v>30</v>
      </c>
      <c r="AK47" s="68">
        <f>AJ47-AI47</f>
        <v/>
      </c>
      <c r="AL47" s="68">
        <f>(AI47+AJ47)/2</f>
        <v/>
      </c>
      <c r="AM47" s="67" t="inlineStr">
        <is>
          <t>Clay</t>
        </is>
      </c>
      <c r="AN47" s="67" t="n">
        <v>48</v>
      </c>
      <c r="AO47" s="68">
        <f>IF(AL47&gt;$AA$19,$AA$21,$AA$20)</f>
        <v/>
      </c>
      <c r="AP47" s="68">
        <f>AP46+AO47*AK47</f>
        <v/>
      </c>
      <c r="AQ47" s="68">
        <f>AP47-AO47*AK47/2-10*MAX(AL47-$AA$19,0)</f>
        <v/>
      </c>
      <c r="AR47" s="67" t="n">
        <v>37.95</v>
      </c>
      <c r="AS47" s="67" t="n">
        <v>20.57</v>
      </c>
      <c r="AT47" s="68">
        <f>IF(AR47="","",AR47-AS47)</f>
        <v/>
      </c>
      <c r="AU47" s="67" t="n">
        <v>0.745</v>
      </c>
      <c r="AV47" s="68">
        <f>IF(AM47="Sand",0,Input!$AA$31*AN47)</f>
        <v/>
      </c>
      <c r="AW47" s="68">
        <f>IF(AM47="Sand",27.1+0.3*MIN(Input!$AA$32*AN47,60)-0.00054*MIN(Input!$AA$32*AN47,60)^2,MIN(MAX(DEGREES(ASIN(0.8-0.094*LN(MAX(IF(AT47="",10,AT47),5)))),20),30))</f>
        <v/>
      </c>
      <c r="AX47" s="68">
        <f>IF(AM47="Sand",Input!$AA$33*Input!$AA$32*AN47,Input!$AA$34*AV47)</f>
        <v/>
      </c>
      <c r="AY47" s="68">
        <f>IF(AM47="Sand",Input!$AA$35,0.5)</f>
        <v/>
      </c>
      <c r="AZ47" s="68">
        <f>Input!$AA$15/2/AL47</f>
        <v/>
      </c>
      <c r="BA47" s="68">
        <f>Input!$AA$16/2/AL47</f>
        <v/>
      </c>
      <c r="BB47" s="68">
        <f>1/(4*PI())*(2*AZ47*BA47*SQRT(AZ47^2+BA47^2+1)/(AZ47^2+BA47^2+1+AZ47^2*BA47^2)*(AZ47^2+BA47^2+2)/(AZ47^2+BA47^2+1)+ATAN2(AZ47^2+BA47^2+1-AZ47^2*BA47^2,2*AZ47*BA47*SQRT(AZ47^2+BA47^2+1)))</f>
        <v/>
      </c>
      <c r="BC47" s="68">
        <f>4*Input!$AA$14*BB47</f>
        <v/>
      </c>
      <c r="BD47" s="68">
        <f>((Input!$AA$16/Input!$AA$15)*LN((1+SQRT((Input!$AA$16/Input!$AA$15)^2+1))*SQRT((Input!$AA$16/Input!$AA$15)^2+(AJ47/(Input!$AA$15/2))^2)/((Input!$AA$16/Input!$AA$15)*(1+SQRT((Input!$AA$16/Input!$AA$15)^2+(AJ47/(Input!$AA$15/2))^2+1))))+LN(((Input!$AA$16/Input!$AA$15)+SQRT((Input!$AA$16/Input!$AA$15)^2+1))*SQRT(1+(AJ47/(Input!$AA$15/2))^2)/((Input!$AA$16/Input!$AA$15)+SQRT((Input!$AA$16/Input!$AA$15)^2+(AJ47/(Input!$AA$15/2))^2+1))))/PI()</f>
        <v/>
      </c>
      <c r="BE47" s="68">
        <f>(AJ47/(Input!$AA$15/2))/(2*PI())*ATAN((Input!$AA$16/Input!$AA$15)/((AJ47/(Input!$AA$15/2))*SQRT((Input!$AA$16/Input!$AA$15)^2+(AJ47/(Input!$AA$15/2))^2+1)))</f>
        <v/>
      </c>
      <c r="BF47" s="68">
        <f>MAX(0,AJ47-MAX(AI47,$AA$22))/AK47*IF(BC47&gt;=Input!$AA$21*AQ47,1,0)</f>
        <v/>
      </c>
      <c r="BG47" s="68">
        <f>4*Input!$AA$14*(Input!$AA$15/2)*(1-AY47^2)/AX47*((BD47-BD46)+(1-2*AY47)/(1-AY47)*(BE47-BE46))*1000*BF47</f>
        <v/>
      </c>
      <c r="BH47" s="68">
        <f>IF(AM47="Sand",0,0.009*(AR47-10))</f>
        <v/>
      </c>
      <c r="BI47" s="68">
        <f>BH47*Input!$AA$36</f>
        <v/>
      </c>
      <c r="BJ47" s="68">
        <f>IF(AM47="Sand",0,MAX(AV47/Input!$AA$37,AQ47))</f>
        <v/>
      </c>
      <c r="BK47" s="68">
        <f>IF(AM47="Sand",0,1000*AK47/(1+AU47)*IF(AQ47+BC47&lt;=BJ47,BI47*LOG10((AQ47+BC47)/AQ47),BI47*LOG10(BJ47/AQ47)+BH47*LOG10((AQ47+BC47)/BJ47)))*BF47</f>
        <v/>
      </c>
      <c r="BL47" s="68">
        <f>IF(AM47="Sand",0,10^(INDEX(Input!$Q$48:$Q$54,MIN(MATCH(MIN(MAX(AR47,30),120),Input!$C$48:$C$54,1),6))+(MIN(MAX(AR47,30),120)-INDEX(Input!$C$48:$C$54,MIN(MATCH(MIN(MAX(AR47,30),120),Input!$C$48:$C$54,1),6)))/(INDEX(Input!$C$48:$C$54,MIN(MATCH(MIN(MAX(AR47,30),120),Input!$C$48:$C$54,1),6)+1)-INDEX(Input!$C$48:$C$54,MIN(MATCH(MIN(MAX(AR47,30),120),Input!$C$48:$C$54,1),6)))*(INDEX(Input!$Q$48:$Q$54,MIN(MATCH(MIN(MAX(AR47,30),120),Input!$C$48:$C$54,1),6)+1)-INDEX(Input!$Q$48:$Q$54,MIN(MATCH(MIN(MAX(AR47,30),120),Input!$C$48:$C$54,1),6)))))</f>
        <v/>
      </c>
      <c r="BM47" s="68">
        <f>IF(OR(AM47="Sand",BF47=0),0,Input!$AA$38*(AK47/2)^2/(BL47*1E-4*31536000))</f>
        <v/>
      </c>
      <c r="BN47" s="68">
        <f>MAX(0,MIN(AJ47,Input!$AA$20)-AI47)</f>
        <v/>
      </c>
      <c r="BO47" s="68">
        <f>MAX(0,MIN(AJ47,Input!$AA$20)-MAX(AI47,$AA$22))</f>
        <v/>
      </c>
      <c r="BP47" s="68">
        <f>MAX(0,MIN(AJ47,$AA$225)-AI47)</f>
        <v/>
      </c>
      <c r="BQ47" s="68" t="inlineStr"/>
    </row>
    <row r="48">
      <c r="B48" s="9" t="n"/>
      <c r="C48" s="57" t="n">
        <v>21</v>
      </c>
      <c r="D48" s="41" t="n"/>
      <c r="E48" s="55">
        <f>AI48</f>
        <v/>
      </c>
      <c r="F48" s="41" t="n"/>
      <c r="G48" s="41" t="n"/>
      <c r="H48" s="55">
        <f>AJ48</f>
        <v/>
      </c>
      <c r="I48" s="41" t="n"/>
      <c r="J48" s="41" t="n"/>
      <c r="K48" s="52">
        <f>AM48</f>
        <v/>
      </c>
      <c r="L48" s="41" t="n"/>
      <c r="M48" s="41" t="n"/>
      <c r="N48" s="57">
        <f>AN48</f>
        <v/>
      </c>
      <c r="O48" s="41" t="n"/>
      <c r="P48" s="41" t="n"/>
      <c r="Q48" s="53">
        <f>AO48</f>
        <v/>
      </c>
      <c r="R48" s="41" t="n"/>
      <c r="S48" s="41" t="n"/>
      <c r="T48" s="57">
        <f>IF(AR48="","-",AR48)</f>
        <v/>
      </c>
      <c r="U48" s="41" t="n"/>
      <c r="V48" s="57">
        <f>IF(AT48="","-",AT48)</f>
        <v/>
      </c>
      <c r="W48" s="41" t="n"/>
      <c r="X48" s="55">
        <f>AU48</f>
        <v/>
      </c>
      <c r="Y48" s="41" t="n"/>
      <c r="Z48" s="66">
        <f>AV48</f>
        <v/>
      </c>
      <c r="AA48" s="41" t="n"/>
      <c r="AB48" s="41" t="n"/>
      <c r="AC48" s="53">
        <f>AW48</f>
        <v/>
      </c>
      <c r="AD48" s="41" t="n"/>
      <c r="AE48" s="41" t="n"/>
      <c r="AF48" s="15" t="n"/>
      <c r="AI48" s="67" t="n">
        <v>30</v>
      </c>
      <c r="AJ48" s="67" t="n">
        <v>31.5</v>
      </c>
      <c r="AK48" s="68">
        <f>AJ48-AI48</f>
        <v/>
      </c>
      <c r="AL48" s="68">
        <f>(AI48+AJ48)/2</f>
        <v/>
      </c>
      <c r="AM48" s="67" t="inlineStr">
        <is>
          <t>Clay</t>
        </is>
      </c>
      <c r="AN48" s="67" t="n">
        <v>50</v>
      </c>
      <c r="AO48" s="68">
        <f>IF(AL48&gt;$AA$19,$AA$21,$AA$20)</f>
        <v/>
      </c>
      <c r="AP48" s="68">
        <f>AP47+AO48*AK48</f>
        <v/>
      </c>
      <c r="AQ48" s="68">
        <f>AP48-AO48*AK48/2-10*MAX(AL48-$AA$19,0)</f>
        <v/>
      </c>
      <c r="AR48" s="67" t="n">
        <v>29.665</v>
      </c>
      <c r="AS48" s="67" t="n">
        <v>19.806</v>
      </c>
      <c r="AT48" s="68">
        <f>IF(AR48="","",AR48-AS48)</f>
        <v/>
      </c>
      <c r="AU48" s="67" t="n">
        <v>0.681</v>
      </c>
      <c r="AV48" s="68">
        <f>IF(AM48="Sand",0,Input!$AA$31*AN48)</f>
        <v/>
      </c>
      <c r="AW48" s="68">
        <f>IF(AM48="Sand",27.1+0.3*MIN(Input!$AA$32*AN48,60)-0.00054*MIN(Input!$AA$32*AN48,60)^2,MIN(MAX(DEGREES(ASIN(0.8-0.094*LN(MAX(IF(AT48="",10,AT48),5)))),20),30))</f>
        <v/>
      </c>
      <c r="AX48" s="68">
        <f>IF(AM48="Sand",Input!$AA$33*Input!$AA$32*AN48,Input!$AA$34*AV48)</f>
        <v/>
      </c>
      <c r="AY48" s="68">
        <f>IF(AM48="Sand",Input!$AA$35,0.5)</f>
        <v/>
      </c>
      <c r="AZ48" s="68">
        <f>Input!$AA$15/2/AL48</f>
        <v/>
      </c>
      <c r="BA48" s="68">
        <f>Input!$AA$16/2/AL48</f>
        <v/>
      </c>
      <c r="BB48" s="68">
        <f>1/(4*PI())*(2*AZ48*BA48*SQRT(AZ48^2+BA48^2+1)/(AZ48^2+BA48^2+1+AZ48^2*BA48^2)*(AZ48^2+BA48^2+2)/(AZ48^2+BA48^2+1)+ATAN2(AZ48^2+BA48^2+1-AZ48^2*BA48^2,2*AZ48*BA48*SQRT(AZ48^2+BA48^2+1)))</f>
        <v/>
      </c>
      <c r="BC48" s="68">
        <f>4*Input!$AA$14*BB48</f>
        <v/>
      </c>
      <c r="BD48" s="68">
        <f>((Input!$AA$16/Input!$AA$15)*LN((1+SQRT((Input!$AA$16/Input!$AA$15)^2+1))*SQRT((Input!$AA$16/Input!$AA$15)^2+(AJ48/(Input!$AA$15/2))^2)/((Input!$AA$16/Input!$AA$15)*(1+SQRT((Input!$AA$16/Input!$AA$15)^2+(AJ48/(Input!$AA$15/2))^2+1))))+LN(((Input!$AA$16/Input!$AA$15)+SQRT((Input!$AA$16/Input!$AA$15)^2+1))*SQRT(1+(AJ48/(Input!$AA$15/2))^2)/((Input!$AA$16/Input!$AA$15)+SQRT((Input!$AA$16/Input!$AA$15)^2+(AJ48/(Input!$AA$15/2))^2+1))))/PI()</f>
        <v/>
      </c>
      <c r="BE48" s="68">
        <f>(AJ48/(Input!$AA$15/2))/(2*PI())*ATAN((Input!$AA$16/Input!$AA$15)/((AJ48/(Input!$AA$15/2))*SQRT((Input!$AA$16/Input!$AA$15)^2+(AJ48/(Input!$AA$15/2))^2+1)))</f>
        <v/>
      </c>
      <c r="BF48" s="68">
        <f>MAX(0,AJ48-MAX(AI48,$AA$22))/AK48*IF(BC48&gt;=Input!$AA$21*AQ48,1,0)</f>
        <v/>
      </c>
      <c r="BG48" s="68">
        <f>4*Input!$AA$14*(Input!$AA$15/2)*(1-AY48^2)/AX48*((BD48-BD47)+(1-2*AY48)/(1-AY48)*(BE48-BE47))*1000*BF48</f>
        <v/>
      </c>
      <c r="BH48" s="68">
        <f>IF(AM48="Sand",0,0.009*(AR48-10))</f>
        <v/>
      </c>
      <c r="BI48" s="68">
        <f>BH48*Input!$AA$36</f>
        <v/>
      </c>
      <c r="BJ48" s="68">
        <f>IF(AM48="Sand",0,MAX(AV48/Input!$AA$37,AQ48))</f>
        <v/>
      </c>
      <c r="BK48" s="68">
        <f>IF(AM48="Sand",0,1000*AK48/(1+AU48)*IF(AQ48+BC48&lt;=BJ48,BI48*LOG10((AQ48+BC48)/AQ48),BI48*LOG10(BJ48/AQ48)+BH48*LOG10((AQ48+BC48)/BJ48)))*BF48</f>
        <v/>
      </c>
      <c r="BL48" s="68">
        <f>IF(AM48="Sand",0,10^(INDEX(Input!$Q$48:$Q$54,MIN(MATCH(MIN(MAX(AR48,30),120),Input!$C$48:$C$54,1),6))+(MIN(MAX(AR48,30),120)-INDEX(Input!$C$48:$C$54,MIN(MATCH(MIN(MAX(AR48,30),120),Input!$C$48:$C$54,1),6)))/(INDEX(Input!$C$48:$C$54,MIN(MATCH(MIN(MAX(AR48,30),120),Input!$C$48:$C$54,1),6)+1)-INDEX(Input!$C$48:$C$54,MIN(MATCH(MIN(MAX(AR48,30),120),Input!$C$48:$C$54,1),6)))*(INDEX(Input!$Q$48:$Q$54,MIN(MATCH(MIN(MAX(AR48,30),120),Input!$C$48:$C$54,1),6)+1)-INDEX(Input!$Q$48:$Q$54,MIN(MATCH(MIN(MAX(AR48,30),120),Input!$C$48:$C$54,1),6)))))</f>
        <v/>
      </c>
      <c r="BM48" s="68">
        <f>IF(OR(AM48="Sand",BF48=0),0,Input!$AA$38*(AK48/2)^2/(BL48*1E-4*31536000))</f>
        <v/>
      </c>
      <c r="BN48" s="68">
        <f>MAX(0,MIN(AJ48,Input!$AA$20)-AI48)</f>
        <v/>
      </c>
      <c r="BO48" s="68">
        <f>MAX(0,MIN(AJ48,Input!$AA$20)-MAX(AI48,$AA$22))</f>
        <v/>
      </c>
      <c r="BP48" s="68">
        <f>MAX(0,MIN(AJ48,$AA$225)-AI48)</f>
        <v/>
      </c>
      <c r="BQ48" s="68" t="inlineStr">
        <is>
          <t>LL/PL/e0 = borehole average</t>
        </is>
      </c>
    </row>
    <row r="49">
      <c r="B49" s="9" t="n"/>
      <c r="C49" s="57" t="n">
        <v>22</v>
      </c>
      <c r="D49" s="41" t="n"/>
      <c r="E49" s="55">
        <f>AI49</f>
        <v/>
      </c>
      <c r="F49" s="41" t="n"/>
      <c r="G49" s="41" t="n"/>
      <c r="H49" s="55">
        <f>AJ49</f>
        <v/>
      </c>
      <c r="I49" s="41" t="n"/>
      <c r="J49" s="41" t="n"/>
      <c r="K49" s="52">
        <f>AM49</f>
        <v/>
      </c>
      <c r="L49" s="41" t="n"/>
      <c r="M49" s="41" t="n"/>
      <c r="N49" s="57">
        <f>AN49</f>
        <v/>
      </c>
      <c r="O49" s="41" t="n"/>
      <c r="P49" s="41" t="n"/>
      <c r="Q49" s="53">
        <f>AO49</f>
        <v/>
      </c>
      <c r="R49" s="41" t="n"/>
      <c r="S49" s="41" t="n"/>
      <c r="T49" s="57">
        <f>IF(AR49="","-",AR49)</f>
        <v/>
      </c>
      <c r="U49" s="41" t="n"/>
      <c r="V49" s="57">
        <f>IF(AT49="","-",AT49)</f>
        <v/>
      </c>
      <c r="W49" s="41" t="n"/>
      <c r="X49" s="55">
        <f>AU49</f>
        <v/>
      </c>
      <c r="Y49" s="41" t="n"/>
      <c r="Z49" s="66">
        <f>AV49</f>
        <v/>
      </c>
      <c r="AA49" s="41" t="n"/>
      <c r="AB49" s="41" t="n"/>
      <c r="AC49" s="53">
        <f>AW49</f>
        <v/>
      </c>
      <c r="AD49" s="41" t="n"/>
      <c r="AE49" s="41" t="n"/>
      <c r="AF49" s="15" t="n"/>
      <c r="AI49" s="67" t="n">
        <v>31.5</v>
      </c>
      <c r="AJ49" s="67" t="n">
        <v>33</v>
      </c>
      <c r="AK49" s="68">
        <f>AJ49-AI49</f>
        <v/>
      </c>
      <c r="AL49" s="68">
        <f>(AI49+AJ49)/2</f>
        <v/>
      </c>
      <c r="AM49" s="67" t="inlineStr">
        <is>
          <t>Clay</t>
        </is>
      </c>
      <c r="AN49" s="67" t="n">
        <v>50</v>
      </c>
      <c r="AO49" s="68">
        <f>IF(AL49&gt;$AA$19,$AA$21,$AA$20)</f>
        <v/>
      </c>
      <c r="AP49" s="68">
        <f>AP48+AO49*AK49</f>
        <v/>
      </c>
      <c r="AQ49" s="68">
        <f>AP49-AO49*AK49/2-10*MAX(AL49-$AA$19,0)</f>
        <v/>
      </c>
      <c r="AR49" s="67" t="n">
        <v>29.665</v>
      </c>
      <c r="AS49" s="67" t="n">
        <v>19.806</v>
      </c>
      <c r="AT49" s="68">
        <f>IF(AR49="","",AR49-AS49)</f>
        <v/>
      </c>
      <c r="AU49" s="67" t="n">
        <v>0.681</v>
      </c>
      <c r="AV49" s="68">
        <f>IF(AM49="Sand",0,Input!$AA$31*AN49)</f>
        <v/>
      </c>
      <c r="AW49" s="68">
        <f>IF(AM49="Sand",27.1+0.3*MIN(Input!$AA$32*AN49,60)-0.00054*MIN(Input!$AA$32*AN49,60)^2,MIN(MAX(DEGREES(ASIN(0.8-0.094*LN(MAX(IF(AT49="",10,AT49),5)))),20),30))</f>
        <v/>
      </c>
      <c r="AX49" s="68">
        <f>IF(AM49="Sand",Input!$AA$33*Input!$AA$32*AN49,Input!$AA$34*AV49)</f>
        <v/>
      </c>
      <c r="AY49" s="68">
        <f>IF(AM49="Sand",Input!$AA$35,0.5)</f>
        <v/>
      </c>
      <c r="AZ49" s="68">
        <f>Input!$AA$15/2/AL49</f>
        <v/>
      </c>
      <c r="BA49" s="68">
        <f>Input!$AA$16/2/AL49</f>
        <v/>
      </c>
      <c r="BB49" s="68">
        <f>1/(4*PI())*(2*AZ49*BA49*SQRT(AZ49^2+BA49^2+1)/(AZ49^2+BA49^2+1+AZ49^2*BA49^2)*(AZ49^2+BA49^2+2)/(AZ49^2+BA49^2+1)+ATAN2(AZ49^2+BA49^2+1-AZ49^2*BA49^2,2*AZ49*BA49*SQRT(AZ49^2+BA49^2+1)))</f>
        <v/>
      </c>
      <c r="BC49" s="68">
        <f>4*Input!$AA$14*BB49</f>
        <v/>
      </c>
      <c r="BD49" s="68">
        <f>((Input!$AA$16/Input!$AA$15)*LN((1+SQRT((Input!$AA$16/Input!$AA$15)^2+1))*SQRT((Input!$AA$16/Input!$AA$15)^2+(AJ49/(Input!$AA$15/2))^2)/((Input!$AA$16/Input!$AA$15)*(1+SQRT((Input!$AA$16/Input!$AA$15)^2+(AJ49/(Input!$AA$15/2))^2+1))))+LN(((Input!$AA$16/Input!$AA$15)+SQRT((Input!$AA$16/Input!$AA$15)^2+1))*SQRT(1+(AJ49/(Input!$AA$15/2))^2)/((Input!$AA$16/Input!$AA$15)+SQRT((Input!$AA$16/Input!$AA$15)^2+(AJ49/(Input!$AA$15/2))^2+1))))/PI()</f>
        <v/>
      </c>
      <c r="BE49" s="68">
        <f>(AJ49/(Input!$AA$15/2))/(2*PI())*ATAN((Input!$AA$16/Input!$AA$15)/((AJ49/(Input!$AA$15/2))*SQRT((Input!$AA$16/Input!$AA$15)^2+(AJ49/(Input!$AA$15/2))^2+1)))</f>
        <v/>
      </c>
      <c r="BF49" s="68">
        <f>MAX(0,AJ49-MAX(AI49,$AA$22))/AK49*IF(BC49&gt;=Input!$AA$21*AQ49,1,0)</f>
        <v/>
      </c>
      <c r="BG49" s="68">
        <f>4*Input!$AA$14*(Input!$AA$15/2)*(1-AY49^2)/AX49*((BD49-BD48)+(1-2*AY49)/(1-AY49)*(BE49-BE48))*1000*BF49</f>
        <v/>
      </c>
      <c r="BH49" s="68">
        <f>IF(AM49="Sand",0,0.009*(AR49-10))</f>
        <v/>
      </c>
      <c r="BI49" s="68">
        <f>BH49*Input!$AA$36</f>
        <v/>
      </c>
      <c r="BJ49" s="68">
        <f>IF(AM49="Sand",0,MAX(AV49/Input!$AA$37,AQ49))</f>
        <v/>
      </c>
      <c r="BK49" s="68">
        <f>IF(AM49="Sand",0,1000*AK49/(1+AU49)*IF(AQ49+BC49&lt;=BJ49,BI49*LOG10((AQ49+BC49)/AQ49),BI49*LOG10(BJ49/AQ49)+BH49*LOG10((AQ49+BC49)/BJ49)))*BF49</f>
        <v/>
      </c>
      <c r="BL49" s="68">
        <f>IF(AM49="Sand",0,10^(INDEX(Input!$Q$48:$Q$54,MIN(MATCH(MIN(MAX(AR49,30),120),Input!$C$48:$C$54,1),6))+(MIN(MAX(AR49,30),120)-INDEX(Input!$C$48:$C$54,MIN(MATCH(MIN(MAX(AR49,30),120),Input!$C$48:$C$54,1),6)))/(INDEX(Input!$C$48:$C$54,MIN(MATCH(MIN(MAX(AR49,30),120),Input!$C$48:$C$54,1),6)+1)-INDEX(Input!$C$48:$C$54,MIN(MATCH(MIN(MAX(AR49,30),120),Input!$C$48:$C$54,1),6)))*(INDEX(Input!$Q$48:$Q$54,MIN(MATCH(MIN(MAX(AR49,30),120),Input!$C$48:$C$54,1),6)+1)-INDEX(Input!$Q$48:$Q$54,MIN(MATCH(MIN(MAX(AR49,30),120),Input!$C$48:$C$54,1),6)))))</f>
        <v/>
      </c>
      <c r="BM49" s="68">
        <f>IF(OR(AM49="Sand",BF49=0),0,Input!$AA$38*(AK49/2)^2/(BL49*1E-4*31536000))</f>
        <v/>
      </c>
      <c r="BN49" s="68">
        <f>MAX(0,MIN(AJ49,Input!$AA$20)-AI49)</f>
        <v/>
      </c>
      <c r="BO49" s="68">
        <f>MAX(0,MIN(AJ49,Input!$AA$20)-MAX(AI49,$AA$22))</f>
        <v/>
      </c>
      <c r="BP49" s="68">
        <f>MAX(0,MIN(AJ49,$AA$225)-AI49)</f>
        <v/>
      </c>
      <c r="BQ49" s="68" t="inlineStr">
        <is>
          <t>LL/PL/e0 = borehole average</t>
        </is>
      </c>
    </row>
    <row r="50">
      <c r="B50" s="9" t="n"/>
      <c r="C50" s="57" t="n">
        <v>23</v>
      </c>
      <c r="D50" s="41" t="n"/>
      <c r="E50" s="55">
        <f>AI50</f>
        <v/>
      </c>
      <c r="F50" s="41" t="n"/>
      <c r="G50" s="41" t="n"/>
      <c r="H50" s="55">
        <f>AJ50</f>
        <v/>
      </c>
      <c r="I50" s="41" t="n"/>
      <c r="J50" s="41" t="n"/>
      <c r="K50" s="52">
        <f>AM50</f>
        <v/>
      </c>
      <c r="L50" s="41" t="n"/>
      <c r="M50" s="41" t="n"/>
      <c r="N50" s="57">
        <f>AN50</f>
        <v/>
      </c>
      <c r="O50" s="41" t="n"/>
      <c r="P50" s="41" t="n"/>
      <c r="Q50" s="53">
        <f>AO50</f>
        <v/>
      </c>
      <c r="R50" s="41" t="n"/>
      <c r="S50" s="41" t="n"/>
      <c r="T50" s="57">
        <f>IF(AR50="","-",AR50)</f>
        <v/>
      </c>
      <c r="U50" s="41" t="n"/>
      <c r="V50" s="57">
        <f>IF(AT50="","-",AT50)</f>
        <v/>
      </c>
      <c r="W50" s="41" t="n"/>
      <c r="X50" s="55">
        <f>AU50</f>
        <v/>
      </c>
      <c r="Y50" s="41" t="n"/>
      <c r="Z50" s="66">
        <f>AV50</f>
        <v/>
      </c>
      <c r="AA50" s="41" t="n"/>
      <c r="AB50" s="41" t="n"/>
      <c r="AC50" s="53">
        <f>AW50</f>
        <v/>
      </c>
      <c r="AD50" s="41" t="n"/>
      <c r="AE50" s="41" t="n"/>
      <c r="AF50" s="15" t="n"/>
      <c r="AI50" s="67" t="n">
        <v>33</v>
      </c>
      <c r="AJ50" s="67" t="n">
        <v>34.5</v>
      </c>
      <c r="AK50" s="68">
        <f>AJ50-AI50</f>
        <v/>
      </c>
      <c r="AL50" s="68">
        <f>(AI50+AJ50)/2</f>
        <v/>
      </c>
      <c r="AM50" s="67" t="inlineStr">
        <is>
          <t>Clay</t>
        </is>
      </c>
      <c r="AN50" s="67" t="n">
        <v>50</v>
      </c>
      <c r="AO50" s="68">
        <f>IF(AL50&gt;$AA$19,$AA$21,$AA$20)</f>
        <v/>
      </c>
      <c r="AP50" s="68">
        <f>AP49+AO50*AK50</f>
        <v/>
      </c>
      <c r="AQ50" s="68">
        <f>AP50-AO50*AK50/2-10*MAX(AL50-$AA$19,0)</f>
        <v/>
      </c>
      <c r="AR50" s="67" t="n">
        <v>29.665</v>
      </c>
      <c r="AS50" s="67" t="n">
        <v>19.806</v>
      </c>
      <c r="AT50" s="68">
        <f>IF(AR50="","",AR50-AS50)</f>
        <v/>
      </c>
      <c r="AU50" s="67" t="n">
        <v>0.681</v>
      </c>
      <c r="AV50" s="68">
        <f>IF(AM50="Sand",0,Input!$AA$31*AN50)</f>
        <v/>
      </c>
      <c r="AW50" s="68">
        <f>IF(AM50="Sand",27.1+0.3*MIN(Input!$AA$32*AN50,60)-0.00054*MIN(Input!$AA$32*AN50,60)^2,MIN(MAX(DEGREES(ASIN(0.8-0.094*LN(MAX(IF(AT50="",10,AT50),5)))),20),30))</f>
        <v/>
      </c>
      <c r="AX50" s="68">
        <f>IF(AM50="Sand",Input!$AA$33*Input!$AA$32*AN50,Input!$AA$34*AV50)</f>
        <v/>
      </c>
      <c r="AY50" s="68">
        <f>IF(AM50="Sand",Input!$AA$35,0.5)</f>
        <v/>
      </c>
      <c r="AZ50" s="68">
        <f>Input!$AA$15/2/AL50</f>
        <v/>
      </c>
      <c r="BA50" s="68">
        <f>Input!$AA$16/2/AL50</f>
        <v/>
      </c>
      <c r="BB50" s="68">
        <f>1/(4*PI())*(2*AZ50*BA50*SQRT(AZ50^2+BA50^2+1)/(AZ50^2+BA50^2+1+AZ50^2*BA50^2)*(AZ50^2+BA50^2+2)/(AZ50^2+BA50^2+1)+ATAN2(AZ50^2+BA50^2+1-AZ50^2*BA50^2,2*AZ50*BA50*SQRT(AZ50^2+BA50^2+1)))</f>
        <v/>
      </c>
      <c r="BC50" s="68">
        <f>4*Input!$AA$14*BB50</f>
        <v/>
      </c>
      <c r="BD50" s="68">
        <f>((Input!$AA$16/Input!$AA$15)*LN((1+SQRT((Input!$AA$16/Input!$AA$15)^2+1))*SQRT((Input!$AA$16/Input!$AA$15)^2+(AJ50/(Input!$AA$15/2))^2)/((Input!$AA$16/Input!$AA$15)*(1+SQRT((Input!$AA$16/Input!$AA$15)^2+(AJ50/(Input!$AA$15/2))^2+1))))+LN(((Input!$AA$16/Input!$AA$15)+SQRT((Input!$AA$16/Input!$AA$15)^2+1))*SQRT(1+(AJ50/(Input!$AA$15/2))^2)/((Input!$AA$16/Input!$AA$15)+SQRT((Input!$AA$16/Input!$AA$15)^2+(AJ50/(Input!$AA$15/2))^2+1))))/PI()</f>
        <v/>
      </c>
      <c r="BE50" s="68">
        <f>(AJ50/(Input!$AA$15/2))/(2*PI())*ATAN((Input!$AA$16/Input!$AA$15)/((AJ50/(Input!$AA$15/2))*SQRT((Input!$AA$16/Input!$AA$15)^2+(AJ50/(Input!$AA$15/2))^2+1)))</f>
        <v/>
      </c>
      <c r="BF50" s="68">
        <f>MAX(0,AJ50-MAX(AI50,$AA$22))/AK50*IF(BC50&gt;=Input!$AA$21*AQ50,1,0)</f>
        <v/>
      </c>
      <c r="BG50" s="68">
        <f>4*Input!$AA$14*(Input!$AA$15/2)*(1-AY50^2)/AX50*((BD50-BD49)+(1-2*AY50)/(1-AY50)*(BE50-BE49))*1000*BF50</f>
        <v/>
      </c>
      <c r="BH50" s="68">
        <f>IF(AM50="Sand",0,0.009*(AR50-10))</f>
        <v/>
      </c>
      <c r="BI50" s="68">
        <f>BH50*Input!$AA$36</f>
        <v/>
      </c>
      <c r="BJ50" s="68">
        <f>IF(AM50="Sand",0,MAX(AV50/Input!$AA$37,AQ50))</f>
        <v/>
      </c>
      <c r="BK50" s="68">
        <f>IF(AM50="Sand",0,1000*AK50/(1+AU50)*IF(AQ50+BC50&lt;=BJ50,BI50*LOG10((AQ50+BC50)/AQ50),BI50*LOG10(BJ50/AQ50)+BH50*LOG10((AQ50+BC50)/BJ50)))*BF50</f>
        <v/>
      </c>
      <c r="BL50" s="68">
        <f>IF(AM50="Sand",0,10^(INDEX(Input!$Q$48:$Q$54,MIN(MATCH(MIN(MAX(AR50,30),120),Input!$C$48:$C$54,1),6))+(MIN(MAX(AR50,30),120)-INDEX(Input!$C$48:$C$54,MIN(MATCH(MIN(MAX(AR50,30),120),Input!$C$48:$C$54,1),6)))/(INDEX(Input!$C$48:$C$54,MIN(MATCH(MIN(MAX(AR50,30),120),Input!$C$48:$C$54,1),6)+1)-INDEX(Input!$C$48:$C$54,MIN(MATCH(MIN(MAX(AR50,30),120),Input!$C$48:$C$54,1),6)))*(INDEX(Input!$Q$48:$Q$54,MIN(MATCH(MIN(MAX(AR50,30),120),Input!$C$48:$C$54,1),6)+1)-INDEX(Input!$Q$48:$Q$54,MIN(MATCH(MIN(MAX(AR50,30),120),Input!$C$48:$C$54,1),6)))))</f>
        <v/>
      </c>
      <c r="BM50" s="68">
        <f>IF(OR(AM50="Sand",BF50=0),0,Input!$AA$38*(AK50/2)^2/(BL50*1E-4*31536000))</f>
        <v/>
      </c>
      <c r="BN50" s="68">
        <f>MAX(0,MIN(AJ50,Input!$AA$20)-AI50)</f>
        <v/>
      </c>
      <c r="BO50" s="68">
        <f>MAX(0,MIN(AJ50,Input!$AA$20)-MAX(AI50,$AA$22))</f>
        <v/>
      </c>
      <c r="BP50" s="68">
        <f>MAX(0,MIN(AJ50,$AA$225)-AI50)</f>
        <v/>
      </c>
      <c r="BQ50" s="68" t="inlineStr">
        <is>
          <t>LL/PL/e0 = borehole average</t>
        </is>
      </c>
    </row>
    <row r="51">
      <c r="B51" s="9" t="n"/>
      <c r="C51" s="57" t="n">
        <v>24</v>
      </c>
      <c r="D51" s="41" t="n"/>
      <c r="E51" s="55">
        <f>AI51</f>
        <v/>
      </c>
      <c r="F51" s="41" t="n"/>
      <c r="G51" s="41" t="n"/>
      <c r="H51" s="55">
        <f>AJ51</f>
        <v/>
      </c>
      <c r="I51" s="41" t="n"/>
      <c r="J51" s="41" t="n"/>
      <c r="K51" s="52">
        <f>AM51</f>
        <v/>
      </c>
      <c r="L51" s="41" t="n"/>
      <c r="M51" s="41" t="n"/>
      <c r="N51" s="57">
        <f>AN51</f>
        <v/>
      </c>
      <c r="O51" s="41" t="n"/>
      <c r="P51" s="41" t="n"/>
      <c r="Q51" s="53">
        <f>AO51</f>
        <v/>
      </c>
      <c r="R51" s="41" t="n"/>
      <c r="S51" s="41" t="n"/>
      <c r="T51" s="57">
        <f>IF(AR51="","-",AR51)</f>
        <v/>
      </c>
      <c r="U51" s="41" t="n"/>
      <c r="V51" s="57">
        <f>IF(AT51="","-",AT51)</f>
        <v/>
      </c>
      <c r="W51" s="41" t="n"/>
      <c r="X51" s="55">
        <f>AU51</f>
        <v/>
      </c>
      <c r="Y51" s="41" t="n"/>
      <c r="Z51" s="66">
        <f>AV51</f>
        <v/>
      </c>
      <c r="AA51" s="41" t="n"/>
      <c r="AB51" s="41" t="n"/>
      <c r="AC51" s="53">
        <f>AW51</f>
        <v/>
      </c>
      <c r="AD51" s="41" t="n"/>
      <c r="AE51" s="41" t="n"/>
      <c r="AF51" s="15" t="n"/>
      <c r="AI51" s="67" t="n">
        <v>34.5</v>
      </c>
      <c r="AJ51" s="67" t="n">
        <v>36</v>
      </c>
      <c r="AK51" s="68">
        <f>AJ51-AI51</f>
        <v/>
      </c>
      <c r="AL51" s="68">
        <f>(AI51+AJ51)/2</f>
        <v/>
      </c>
      <c r="AM51" s="67" t="inlineStr">
        <is>
          <t>Clay</t>
        </is>
      </c>
      <c r="AN51" s="67" t="n">
        <v>50</v>
      </c>
      <c r="AO51" s="68">
        <f>IF(AL51&gt;$AA$19,$AA$21,$AA$20)</f>
        <v/>
      </c>
      <c r="AP51" s="68">
        <f>AP50+AO51*AK51</f>
        <v/>
      </c>
      <c r="AQ51" s="68">
        <f>AP51-AO51*AK51/2-10*MAX(AL51-$AA$19,0)</f>
        <v/>
      </c>
      <c r="AR51" s="67" t="n">
        <v>25.39</v>
      </c>
      <c r="AS51" s="67" t="n">
        <v>15.08</v>
      </c>
      <c r="AT51" s="68">
        <f>IF(AR51="","",AR51-AS51)</f>
        <v/>
      </c>
      <c r="AU51" s="67" t="n">
        <v>0.51</v>
      </c>
      <c r="AV51" s="68">
        <f>IF(AM51="Sand",0,Input!$AA$31*AN51)</f>
        <v/>
      </c>
      <c r="AW51" s="68">
        <f>IF(AM51="Sand",27.1+0.3*MIN(Input!$AA$32*AN51,60)-0.00054*MIN(Input!$AA$32*AN51,60)^2,MIN(MAX(DEGREES(ASIN(0.8-0.094*LN(MAX(IF(AT51="",10,AT51),5)))),20),30))</f>
        <v/>
      </c>
      <c r="AX51" s="68">
        <f>IF(AM51="Sand",Input!$AA$33*Input!$AA$32*AN51,Input!$AA$34*AV51)</f>
        <v/>
      </c>
      <c r="AY51" s="68">
        <f>IF(AM51="Sand",Input!$AA$35,0.5)</f>
        <v/>
      </c>
      <c r="AZ51" s="68">
        <f>Input!$AA$15/2/AL51</f>
        <v/>
      </c>
      <c r="BA51" s="68">
        <f>Input!$AA$16/2/AL51</f>
        <v/>
      </c>
      <c r="BB51" s="68">
        <f>1/(4*PI())*(2*AZ51*BA51*SQRT(AZ51^2+BA51^2+1)/(AZ51^2+BA51^2+1+AZ51^2*BA51^2)*(AZ51^2+BA51^2+2)/(AZ51^2+BA51^2+1)+ATAN2(AZ51^2+BA51^2+1-AZ51^2*BA51^2,2*AZ51*BA51*SQRT(AZ51^2+BA51^2+1)))</f>
        <v/>
      </c>
      <c r="BC51" s="68">
        <f>4*Input!$AA$14*BB51</f>
        <v/>
      </c>
      <c r="BD51" s="68">
        <f>((Input!$AA$16/Input!$AA$15)*LN((1+SQRT((Input!$AA$16/Input!$AA$15)^2+1))*SQRT((Input!$AA$16/Input!$AA$15)^2+(AJ51/(Input!$AA$15/2))^2)/((Input!$AA$16/Input!$AA$15)*(1+SQRT((Input!$AA$16/Input!$AA$15)^2+(AJ51/(Input!$AA$15/2))^2+1))))+LN(((Input!$AA$16/Input!$AA$15)+SQRT((Input!$AA$16/Input!$AA$15)^2+1))*SQRT(1+(AJ51/(Input!$AA$15/2))^2)/((Input!$AA$16/Input!$AA$15)+SQRT((Input!$AA$16/Input!$AA$15)^2+(AJ51/(Input!$AA$15/2))^2+1))))/PI()</f>
        <v/>
      </c>
      <c r="BE51" s="68">
        <f>(AJ51/(Input!$AA$15/2))/(2*PI())*ATAN((Input!$AA$16/Input!$AA$15)/((AJ51/(Input!$AA$15/2))*SQRT((Input!$AA$16/Input!$AA$15)^2+(AJ51/(Input!$AA$15/2))^2+1)))</f>
        <v/>
      </c>
      <c r="BF51" s="68">
        <f>MAX(0,AJ51-MAX(AI51,$AA$22))/AK51*IF(BC51&gt;=Input!$AA$21*AQ51,1,0)</f>
        <v/>
      </c>
      <c r="BG51" s="68">
        <f>4*Input!$AA$14*(Input!$AA$15/2)*(1-AY51^2)/AX51*((BD51-BD50)+(1-2*AY51)/(1-AY51)*(BE51-BE50))*1000*BF51</f>
        <v/>
      </c>
      <c r="BH51" s="68">
        <f>IF(AM51="Sand",0,0.009*(AR51-10))</f>
        <v/>
      </c>
      <c r="BI51" s="68">
        <f>BH51*Input!$AA$36</f>
        <v/>
      </c>
      <c r="BJ51" s="68">
        <f>IF(AM51="Sand",0,MAX(AV51/Input!$AA$37,AQ51))</f>
        <v/>
      </c>
      <c r="BK51" s="68">
        <f>IF(AM51="Sand",0,1000*AK51/(1+AU51)*IF(AQ51+BC51&lt;=BJ51,BI51*LOG10((AQ51+BC51)/AQ51),BI51*LOG10(BJ51/AQ51)+BH51*LOG10((AQ51+BC51)/BJ51)))*BF51</f>
        <v/>
      </c>
      <c r="BL51" s="68">
        <f>IF(AM51="Sand",0,10^(INDEX(Input!$Q$48:$Q$54,MIN(MATCH(MIN(MAX(AR51,30),120),Input!$C$48:$C$54,1),6))+(MIN(MAX(AR51,30),120)-INDEX(Input!$C$48:$C$54,MIN(MATCH(MIN(MAX(AR51,30),120),Input!$C$48:$C$54,1),6)))/(INDEX(Input!$C$48:$C$54,MIN(MATCH(MIN(MAX(AR51,30),120),Input!$C$48:$C$54,1),6)+1)-INDEX(Input!$C$48:$C$54,MIN(MATCH(MIN(MAX(AR51,30),120),Input!$C$48:$C$54,1),6)))*(INDEX(Input!$Q$48:$Q$54,MIN(MATCH(MIN(MAX(AR51,30),120),Input!$C$48:$C$54,1),6)+1)-INDEX(Input!$Q$48:$Q$54,MIN(MATCH(MIN(MAX(AR51,30),120),Input!$C$48:$C$54,1),6)))))</f>
        <v/>
      </c>
      <c r="BM51" s="68">
        <f>IF(OR(AM51="Sand",BF51=0),0,Input!$AA$38*(AK51/2)^2/(BL51*1E-4*31536000))</f>
        <v/>
      </c>
      <c r="BN51" s="68">
        <f>MAX(0,MIN(AJ51,Input!$AA$20)-AI51)</f>
        <v/>
      </c>
      <c r="BO51" s="68">
        <f>MAX(0,MIN(AJ51,Input!$AA$20)-MAX(AI51,$AA$22))</f>
        <v/>
      </c>
      <c r="BP51" s="68">
        <f>MAX(0,MIN(AJ51,$AA$225)-AI51)</f>
        <v/>
      </c>
      <c r="BQ51" s="68" t="inlineStr"/>
    </row>
    <row r="52">
      <c r="B52" s="9" t="n"/>
      <c r="C52" s="57" t="n">
        <v>25</v>
      </c>
      <c r="D52" s="41" t="n"/>
      <c r="E52" s="55">
        <f>AI52</f>
        <v/>
      </c>
      <c r="F52" s="41" t="n"/>
      <c r="G52" s="41" t="n"/>
      <c r="H52" s="55">
        <f>AJ52</f>
        <v/>
      </c>
      <c r="I52" s="41" t="n"/>
      <c r="J52" s="41" t="n"/>
      <c r="K52" s="52">
        <f>AM52</f>
        <v/>
      </c>
      <c r="L52" s="41" t="n"/>
      <c r="M52" s="41" t="n"/>
      <c r="N52" s="57">
        <f>AN52</f>
        <v/>
      </c>
      <c r="O52" s="41" t="n"/>
      <c r="P52" s="41" t="n"/>
      <c r="Q52" s="53">
        <f>AO52</f>
        <v/>
      </c>
      <c r="R52" s="41" t="n"/>
      <c r="S52" s="41" t="n"/>
      <c r="T52" s="57">
        <f>IF(AR52="","-",AR52)</f>
        <v/>
      </c>
      <c r="U52" s="41" t="n"/>
      <c r="V52" s="57">
        <f>IF(AT52="","-",AT52)</f>
        <v/>
      </c>
      <c r="W52" s="41" t="n"/>
      <c r="X52" s="55">
        <f>AU52</f>
        <v/>
      </c>
      <c r="Y52" s="41" t="n"/>
      <c r="Z52" s="66">
        <f>AV52</f>
        <v/>
      </c>
      <c r="AA52" s="41" t="n"/>
      <c r="AB52" s="41" t="n"/>
      <c r="AC52" s="53">
        <f>AW52</f>
        <v/>
      </c>
      <c r="AD52" s="41" t="n"/>
      <c r="AE52" s="41" t="n"/>
      <c r="AF52" s="15" t="n"/>
      <c r="AI52" s="67" t="n">
        <v>36</v>
      </c>
      <c r="AJ52" s="67" t="n">
        <v>37.5</v>
      </c>
      <c r="AK52" s="68">
        <f>AJ52-AI52</f>
        <v/>
      </c>
      <c r="AL52" s="68">
        <f>(AI52+AJ52)/2</f>
        <v/>
      </c>
      <c r="AM52" s="67" t="inlineStr">
        <is>
          <t>Sand</t>
        </is>
      </c>
      <c r="AN52" s="67" t="n">
        <v>50</v>
      </c>
      <c r="AO52" s="68">
        <f>IF(AL52&gt;$AA$19,$AA$21,$AA$20)</f>
        <v/>
      </c>
      <c r="AP52" s="68">
        <f>AP51+AO52*AK52</f>
        <v/>
      </c>
      <c r="AQ52" s="68">
        <f>AP52-AO52*AK52/2-10*MAX(AL52-$AA$19,0)</f>
        <v/>
      </c>
      <c r="AR52" s="67" t="n"/>
      <c r="AS52" s="67" t="n"/>
      <c r="AT52" s="68">
        <f>IF(AR52="","",AR52-AS52)</f>
        <v/>
      </c>
      <c r="AU52" s="67" t="n">
        <v>0.65</v>
      </c>
      <c r="AV52" s="68">
        <f>IF(AM52="Sand",0,Input!$AA$31*AN52)</f>
        <v/>
      </c>
      <c r="AW52" s="68">
        <f>IF(AM52="Sand",27.1+0.3*MIN(Input!$AA$32*AN52,60)-0.00054*MIN(Input!$AA$32*AN52,60)^2,MIN(MAX(DEGREES(ASIN(0.8-0.094*LN(MAX(IF(AT52="",10,AT52),5)))),20),30))</f>
        <v/>
      </c>
      <c r="AX52" s="68">
        <f>IF(AM52="Sand",Input!$AA$33*Input!$AA$32*AN52,Input!$AA$34*AV52)</f>
        <v/>
      </c>
      <c r="AY52" s="68">
        <f>IF(AM52="Sand",Input!$AA$35,0.5)</f>
        <v/>
      </c>
      <c r="AZ52" s="68">
        <f>Input!$AA$15/2/AL52</f>
        <v/>
      </c>
      <c r="BA52" s="68">
        <f>Input!$AA$16/2/AL52</f>
        <v/>
      </c>
      <c r="BB52" s="68">
        <f>1/(4*PI())*(2*AZ52*BA52*SQRT(AZ52^2+BA52^2+1)/(AZ52^2+BA52^2+1+AZ52^2*BA52^2)*(AZ52^2+BA52^2+2)/(AZ52^2+BA52^2+1)+ATAN2(AZ52^2+BA52^2+1-AZ52^2*BA52^2,2*AZ52*BA52*SQRT(AZ52^2+BA52^2+1)))</f>
        <v/>
      </c>
      <c r="BC52" s="68">
        <f>4*Input!$AA$14*BB52</f>
        <v/>
      </c>
      <c r="BD52" s="68">
        <f>((Input!$AA$16/Input!$AA$15)*LN((1+SQRT((Input!$AA$16/Input!$AA$15)^2+1))*SQRT((Input!$AA$16/Input!$AA$15)^2+(AJ52/(Input!$AA$15/2))^2)/((Input!$AA$16/Input!$AA$15)*(1+SQRT((Input!$AA$16/Input!$AA$15)^2+(AJ52/(Input!$AA$15/2))^2+1))))+LN(((Input!$AA$16/Input!$AA$15)+SQRT((Input!$AA$16/Input!$AA$15)^2+1))*SQRT(1+(AJ52/(Input!$AA$15/2))^2)/((Input!$AA$16/Input!$AA$15)+SQRT((Input!$AA$16/Input!$AA$15)^2+(AJ52/(Input!$AA$15/2))^2+1))))/PI()</f>
        <v/>
      </c>
      <c r="BE52" s="68">
        <f>(AJ52/(Input!$AA$15/2))/(2*PI())*ATAN((Input!$AA$16/Input!$AA$15)/((AJ52/(Input!$AA$15/2))*SQRT((Input!$AA$16/Input!$AA$15)^2+(AJ52/(Input!$AA$15/2))^2+1)))</f>
        <v/>
      </c>
      <c r="BF52" s="68">
        <f>MAX(0,AJ52-MAX(AI52,$AA$22))/AK52*IF(BC52&gt;=Input!$AA$21*AQ52,1,0)</f>
        <v/>
      </c>
      <c r="BG52" s="68">
        <f>4*Input!$AA$14*(Input!$AA$15/2)*(1-AY52^2)/AX52*((BD52-BD51)+(1-2*AY52)/(1-AY52)*(BE52-BE51))*1000*BF52</f>
        <v/>
      </c>
      <c r="BH52" s="68">
        <f>IF(AM52="Sand",0,0.009*(AR52-10))</f>
        <v/>
      </c>
      <c r="BI52" s="68">
        <f>BH52*Input!$AA$36</f>
        <v/>
      </c>
      <c r="BJ52" s="68">
        <f>IF(AM52="Sand",0,MAX(AV52/Input!$AA$37,AQ52))</f>
        <v/>
      </c>
      <c r="BK52" s="68">
        <f>IF(AM52="Sand",0,1000*AK52/(1+AU52)*IF(AQ52+BC52&lt;=BJ52,BI52*LOG10((AQ52+BC52)/AQ52),BI52*LOG10(BJ52/AQ52)+BH52*LOG10((AQ52+BC52)/BJ52)))*BF52</f>
        <v/>
      </c>
      <c r="BL52" s="68">
        <f>IF(AM52="Sand",0,10^(INDEX(Input!$Q$48:$Q$54,MIN(MATCH(MIN(MAX(AR52,30),120),Input!$C$48:$C$54,1),6))+(MIN(MAX(AR52,30),120)-INDEX(Input!$C$48:$C$54,MIN(MATCH(MIN(MAX(AR52,30),120),Input!$C$48:$C$54,1),6)))/(INDEX(Input!$C$48:$C$54,MIN(MATCH(MIN(MAX(AR52,30),120),Input!$C$48:$C$54,1),6)+1)-INDEX(Input!$C$48:$C$54,MIN(MATCH(MIN(MAX(AR52,30),120),Input!$C$48:$C$54,1),6)))*(INDEX(Input!$Q$48:$Q$54,MIN(MATCH(MIN(MAX(AR52,30),120),Input!$C$48:$C$54,1),6)+1)-INDEX(Input!$Q$48:$Q$54,MIN(MATCH(MIN(MAX(AR52,30),120),Input!$C$48:$C$54,1),6)))))</f>
        <v/>
      </c>
      <c r="BM52" s="68">
        <f>IF(OR(AM52="Sand",BF52=0),0,Input!$AA$38*(AK52/2)^2/(BL52*1E-4*31536000))</f>
        <v/>
      </c>
      <c r="BN52" s="68">
        <f>MAX(0,MIN(AJ52,Input!$AA$20)-AI52)</f>
        <v/>
      </c>
      <c r="BO52" s="68">
        <f>MAX(0,MIN(AJ52,Input!$AA$20)-MAX(AI52,$AA$22))</f>
        <v/>
      </c>
      <c r="BP52" s="68">
        <f>MAX(0,MIN(AJ52,$AA$225)-AI52)</f>
        <v/>
      </c>
      <c r="BQ52" s="68" t="inlineStr"/>
    </row>
    <row r="53">
      <c r="B53" s="9" t="n"/>
      <c r="C53" s="57" t="n">
        <v>26</v>
      </c>
      <c r="D53" s="41" t="n"/>
      <c r="E53" s="55">
        <f>AI53</f>
        <v/>
      </c>
      <c r="F53" s="41" t="n"/>
      <c r="G53" s="41" t="n"/>
      <c r="H53" s="55">
        <f>AJ53</f>
        <v/>
      </c>
      <c r="I53" s="41" t="n"/>
      <c r="J53" s="41" t="n"/>
      <c r="K53" s="52">
        <f>AM53</f>
        <v/>
      </c>
      <c r="L53" s="41" t="n"/>
      <c r="M53" s="41" t="n"/>
      <c r="N53" s="57">
        <f>AN53</f>
        <v/>
      </c>
      <c r="O53" s="41" t="n"/>
      <c r="P53" s="41" t="n"/>
      <c r="Q53" s="53">
        <f>AO53</f>
        <v/>
      </c>
      <c r="R53" s="41" t="n"/>
      <c r="S53" s="41" t="n"/>
      <c r="T53" s="57">
        <f>IF(AR53="","-",AR53)</f>
        <v/>
      </c>
      <c r="U53" s="41" t="n"/>
      <c r="V53" s="57">
        <f>IF(AT53="","-",AT53)</f>
        <v/>
      </c>
      <c r="W53" s="41" t="n"/>
      <c r="X53" s="55">
        <f>AU53</f>
        <v/>
      </c>
      <c r="Y53" s="41" t="n"/>
      <c r="Z53" s="66">
        <f>AV53</f>
        <v/>
      </c>
      <c r="AA53" s="41" t="n"/>
      <c r="AB53" s="41" t="n"/>
      <c r="AC53" s="53">
        <f>AW53</f>
        <v/>
      </c>
      <c r="AD53" s="41" t="n"/>
      <c r="AE53" s="41" t="n"/>
      <c r="AF53" s="15" t="n"/>
      <c r="AI53" s="67" t="n">
        <v>37.5</v>
      </c>
      <c r="AJ53" s="67" t="n">
        <v>39</v>
      </c>
      <c r="AK53" s="68">
        <f>AJ53-AI53</f>
        <v/>
      </c>
      <c r="AL53" s="68">
        <f>(AI53+AJ53)/2</f>
        <v/>
      </c>
      <c r="AM53" s="67" t="inlineStr">
        <is>
          <t>Clay</t>
        </is>
      </c>
      <c r="AN53" s="67" t="n">
        <v>50</v>
      </c>
      <c r="AO53" s="68">
        <f>IF(AL53&gt;$AA$19,$AA$21,$AA$20)</f>
        <v/>
      </c>
      <c r="AP53" s="68">
        <f>AP52+AO53*AK53</f>
        <v/>
      </c>
      <c r="AQ53" s="68">
        <f>AP53-AO53*AK53/2-10*MAX(AL53-$AA$19,0)</f>
        <v/>
      </c>
      <c r="AR53" s="67" t="n">
        <v>42.56</v>
      </c>
      <c r="AS53" s="67" t="n">
        <v>27.27</v>
      </c>
      <c r="AT53" s="68">
        <f>IF(AR53="","",AR53-AS53)</f>
        <v/>
      </c>
      <c r="AU53" s="67" t="n">
        <v>1.001</v>
      </c>
      <c r="AV53" s="68">
        <f>IF(AM53="Sand",0,Input!$AA$31*AN53)</f>
        <v/>
      </c>
      <c r="AW53" s="68">
        <f>IF(AM53="Sand",27.1+0.3*MIN(Input!$AA$32*AN53,60)-0.00054*MIN(Input!$AA$32*AN53,60)^2,MIN(MAX(DEGREES(ASIN(0.8-0.094*LN(MAX(IF(AT53="",10,AT53),5)))),20),30))</f>
        <v/>
      </c>
      <c r="AX53" s="68">
        <f>IF(AM53="Sand",Input!$AA$33*Input!$AA$32*AN53,Input!$AA$34*AV53)</f>
        <v/>
      </c>
      <c r="AY53" s="68">
        <f>IF(AM53="Sand",Input!$AA$35,0.5)</f>
        <v/>
      </c>
      <c r="AZ53" s="68">
        <f>Input!$AA$15/2/AL53</f>
        <v/>
      </c>
      <c r="BA53" s="68">
        <f>Input!$AA$16/2/AL53</f>
        <v/>
      </c>
      <c r="BB53" s="68">
        <f>1/(4*PI())*(2*AZ53*BA53*SQRT(AZ53^2+BA53^2+1)/(AZ53^2+BA53^2+1+AZ53^2*BA53^2)*(AZ53^2+BA53^2+2)/(AZ53^2+BA53^2+1)+ATAN2(AZ53^2+BA53^2+1-AZ53^2*BA53^2,2*AZ53*BA53*SQRT(AZ53^2+BA53^2+1)))</f>
        <v/>
      </c>
      <c r="BC53" s="68">
        <f>4*Input!$AA$14*BB53</f>
        <v/>
      </c>
      <c r="BD53" s="68">
        <f>((Input!$AA$16/Input!$AA$15)*LN((1+SQRT((Input!$AA$16/Input!$AA$15)^2+1))*SQRT((Input!$AA$16/Input!$AA$15)^2+(AJ53/(Input!$AA$15/2))^2)/((Input!$AA$16/Input!$AA$15)*(1+SQRT((Input!$AA$16/Input!$AA$15)^2+(AJ53/(Input!$AA$15/2))^2+1))))+LN(((Input!$AA$16/Input!$AA$15)+SQRT((Input!$AA$16/Input!$AA$15)^2+1))*SQRT(1+(AJ53/(Input!$AA$15/2))^2)/((Input!$AA$16/Input!$AA$15)+SQRT((Input!$AA$16/Input!$AA$15)^2+(AJ53/(Input!$AA$15/2))^2+1))))/PI()</f>
        <v/>
      </c>
      <c r="BE53" s="68">
        <f>(AJ53/(Input!$AA$15/2))/(2*PI())*ATAN((Input!$AA$16/Input!$AA$15)/((AJ53/(Input!$AA$15/2))*SQRT((Input!$AA$16/Input!$AA$15)^2+(AJ53/(Input!$AA$15/2))^2+1)))</f>
        <v/>
      </c>
      <c r="BF53" s="68">
        <f>MAX(0,AJ53-MAX(AI53,$AA$22))/AK53*IF(BC53&gt;=Input!$AA$21*AQ53,1,0)</f>
        <v/>
      </c>
      <c r="BG53" s="68">
        <f>4*Input!$AA$14*(Input!$AA$15/2)*(1-AY53^2)/AX53*((BD53-BD52)+(1-2*AY53)/(1-AY53)*(BE53-BE52))*1000*BF53</f>
        <v/>
      </c>
      <c r="BH53" s="68">
        <f>IF(AM53="Sand",0,0.009*(AR53-10))</f>
        <v/>
      </c>
      <c r="BI53" s="68">
        <f>BH53*Input!$AA$36</f>
        <v/>
      </c>
      <c r="BJ53" s="68">
        <f>IF(AM53="Sand",0,MAX(AV53/Input!$AA$37,AQ53))</f>
        <v/>
      </c>
      <c r="BK53" s="68">
        <f>IF(AM53="Sand",0,1000*AK53/(1+AU53)*IF(AQ53+BC53&lt;=BJ53,BI53*LOG10((AQ53+BC53)/AQ53),BI53*LOG10(BJ53/AQ53)+BH53*LOG10((AQ53+BC53)/BJ53)))*BF53</f>
        <v/>
      </c>
      <c r="BL53" s="68">
        <f>IF(AM53="Sand",0,10^(INDEX(Input!$Q$48:$Q$54,MIN(MATCH(MIN(MAX(AR53,30),120),Input!$C$48:$C$54,1),6))+(MIN(MAX(AR53,30),120)-INDEX(Input!$C$48:$C$54,MIN(MATCH(MIN(MAX(AR53,30),120),Input!$C$48:$C$54,1),6)))/(INDEX(Input!$C$48:$C$54,MIN(MATCH(MIN(MAX(AR53,30),120),Input!$C$48:$C$54,1),6)+1)-INDEX(Input!$C$48:$C$54,MIN(MATCH(MIN(MAX(AR53,30),120),Input!$C$48:$C$54,1),6)))*(INDEX(Input!$Q$48:$Q$54,MIN(MATCH(MIN(MAX(AR53,30),120),Input!$C$48:$C$54,1),6)+1)-INDEX(Input!$Q$48:$Q$54,MIN(MATCH(MIN(MAX(AR53,30),120),Input!$C$48:$C$54,1),6)))))</f>
        <v/>
      </c>
      <c r="BM53" s="68">
        <f>IF(OR(AM53="Sand",BF53=0),0,Input!$AA$38*(AK53/2)^2/(BL53*1E-4*31536000))</f>
        <v/>
      </c>
      <c r="BN53" s="68">
        <f>MAX(0,MIN(AJ53,Input!$AA$20)-AI53)</f>
        <v/>
      </c>
      <c r="BO53" s="68">
        <f>MAX(0,MIN(AJ53,Input!$AA$20)-MAX(AI53,$AA$22))</f>
        <v/>
      </c>
      <c r="BP53" s="68">
        <f>MAX(0,MIN(AJ53,$AA$225)-AI53)</f>
        <v/>
      </c>
      <c r="BQ53" s="68" t="inlineStr"/>
    </row>
    <row r="54">
      <c r="B54" s="9" t="n"/>
      <c r="C54" s="57" t="n">
        <v>27</v>
      </c>
      <c r="D54" s="41" t="n"/>
      <c r="E54" s="55">
        <f>AI54</f>
        <v/>
      </c>
      <c r="F54" s="41" t="n"/>
      <c r="G54" s="41" t="n"/>
      <c r="H54" s="55">
        <f>AJ54</f>
        <v/>
      </c>
      <c r="I54" s="41" t="n"/>
      <c r="J54" s="41" t="n"/>
      <c r="K54" s="52">
        <f>AM54</f>
        <v/>
      </c>
      <c r="L54" s="41" t="n"/>
      <c r="M54" s="41" t="n"/>
      <c r="N54" s="57">
        <f>AN54</f>
        <v/>
      </c>
      <c r="O54" s="41" t="n"/>
      <c r="P54" s="41" t="n"/>
      <c r="Q54" s="53">
        <f>AO54</f>
        <v/>
      </c>
      <c r="R54" s="41" t="n"/>
      <c r="S54" s="41" t="n"/>
      <c r="T54" s="57">
        <f>IF(AR54="","-",AR54)</f>
        <v/>
      </c>
      <c r="U54" s="41" t="n"/>
      <c r="V54" s="57">
        <f>IF(AT54="","-",AT54)</f>
        <v/>
      </c>
      <c r="W54" s="41" t="n"/>
      <c r="X54" s="55">
        <f>AU54</f>
        <v/>
      </c>
      <c r="Y54" s="41" t="n"/>
      <c r="Z54" s="66">
        <f>AV54</f>
        <v/>
      </c>
      <c r="AA54" s="41" t="n"/>
      <c r="AB54" s="41" t="n"/>
      <c r="AC54" s="53">
        <f>AW54</f>
        <v/>
      </c>
      <c r="AD54" s="41" t="n"/>
      <c r="AE54" s="41" t="n"/>
      <c r="AF54" s="15" t="n"/>
      <c r="AI54" s="67" t="n">
        <v>39</v>
      </c>
      <c r="AJ54" s="67" t="n">
        <v>40.5</v>
      </c>
      <c r="AK54" s="68">
        <f>AJ54-AI54</f>
        <v/>
      </c>
      <c r="AL54" s="68">
        <f>(AI54+AJ54)/2</f>
        <v/>
      </c>
      <c r="AM54" s="67" t="inlineStr">
        <is>
          <t>Clay</t>
        </is>
      </c>
      <c r="AN54" s="67" t="n">
        <v>50</v>
      </c>
      <c r="AO54" s="68">
        <f>IF(AL54&gt;$AA$19,$AA$21,$AA$20)</f>
        <v/>
      </c>
      <c r="AP54" s="68">
        <f>AP53+AO54*AK54</f>
        <v/>
      </c>
      <c r="AQ54" s="68">
        <f>AP54-AO54*AK54/2-10*MAX(AL54-$AA$19,0)</f>
        <v/>
      </c>
      <c r="AR54" s="67" t="n">
        <v>29.665</v>
      </c>
      <c r="AS54" s="67" t="n">
        <v>19.806</v>
      </c>
      <c r="AT54" s="68">
        <f>IF(AR54="","",AR54-AS54)</f>
        <v/>
      </c>
      <c r="AU54" s="67" t="n">
        <v>0.681</v>
      </c>
      <c r="AV54" s="68">
        <f>IF(AM54="Sand",0,Input!$AA$31*AN54)</f>
        <v/>
      </c>
      <c r="AW54" s="68">
        <f>IF(AM54="Sand",27.1+0.3*MIN(Input!$AA$32*AN54,60)-0.00054*MIN(Input!$AA$32*AN54,60)^2,MIN(MAX(DEGREES(ASIN(0.8-0.094*LN(MAX(IF(AT54="",10,AT54),5)))),20),30))</f>
        <v/>
      </c>
      <c r="AX54" s="68">
        <f>IF(AM54="Sand",Input!$AA$33*Input!$AA$32*AN54,Input!$AA$34*AV54)</f>
        <v/>
      </c>
      <c r="AY54" s="68">
        <f>IF(AM54="Sand",Input!$AA$35,0.5)</f>
        <v/>
      </c>
      <c r="AZ54" s="68">
        <f>Input!$AA$15/2/AL54</f>
        <v/>
      </c>
      <c r="BA54" s="68">
        <f>Input!$AA$16/2/AL54</f>
        <v/>
      </c>
      <c r="BB54" s="68">
        <f>1/(4*PI())*(2*AZ54*BA54*SQRT(AZ54^2+BA54^2+1)/(AZ54^2+BA54^2+1+AZ54^2*BA54^2)*(AZ54^2+BA54^2+2)/(AZ54^2+BA54^2+1)+ATAN2(AZ54^2+BA54^2+1-AZ54^2*BA54^2,2*AZ54*BA54*SQRT(AZ54^2+BA54^2+1)))</f>
        <v/>
      </c>
      <c r="BC54" s="68">
        <f>4*Input!$AA$14*BB54</f>
        <v/>
      </c>
      <c r="BD54" s="68">
        <f>((Input!$AA$16/Input!$AA$15)*LN((1+SQRT((Input!$AA$16/Input!$AA$15)^2+1))*SQRT((Input!$AA$16/Input!$AA$15)^2+(AJ54/(Input!$AA$15/2))^2)/((Input!$AA$16/Input!$AA$15)*(1+SQRT((Input!$AA$16/Input!$AA$15)^2+(AJ54/(Input!$AA$15/2))^2+1))))+LN(((Input!$AA$16/Input!$AA$15)+SQRT((Input!$AA$16/Input!$AA$15)^2+1))*SQRT(1+(AJ54/(Input!$AA$15/2))^2)/((Input!$AA$16/Input!$AA$15)+SQRT((Input!$AA$16/Input!$AA$15)^2+(AJ54/(Input!$AA$15/2))^2+1))))/PI()</f>
        <v/>
      </c>
      <c r="BE54" s="68">
        <f>(AJ54/(Input!$AA$15/2))/(2*PI())*ATAN((Input!$AA$16/Input!$AA$15)/((AJ54/(Input!$AA$15/2))*SQRT((Input!$AA$16/Input!$AA$15)^2+(AJ54/(Input!$AA$15/2))^2+1)))</f>
        <v/>
      </c>
      <c r="BF54" s="68">
        <f>MAX(0,AJ54-MAX(AI54,$AA$22))/AK54*IF(BC54&gt;=Input!$AA$21*AQ54,1,0)</f>
        <v/>
      </c>
      <c r="BG54" s="68">
        <f>4*Input!$AA$14*(Input!$AA$15/2)*(1-AY54^2)/AX54*((BD54-BD53)+(1-2*AY54)/(1-AY54)*(BE54-BE53))*1000*BF54</f>
        <v/>
      </c>
      <c r="BH54" s="68">
        <f>IF(AM54="Sand",0,0.009*(AR54-10))</f>
        <v/>
      </c>
      <c r="BI54" s="68">
        <f>BH54*Input!$AA$36</f>
        <v/>
      </c>
      <c r="BJ54" s="68">
        <f>IF(AM54="Sand",0,MAX(AV54/Input!$AA$37,AQ54))</f>
        <v/>
      </c>
      <c r="BK54" s="68">
        <f>IF(AM54="Sand",0,1000*AK54/(1+AU54)*IF(AQ54+BC54&lt;=BJ54,BI54*LOG10((AQ54+BC54)/AQ54),BI54*LOG10(BJ54/AQ54)+BH54*LOG10((AQ54+BC54)/BJ54)))*BF54</f>
        <v/>
      </c>
      <c r="BL54" s="68">
        <f>IF(AM54="Sand",0,10^(INDEX(Input!$Q$48:$Q$54,MIN(MATCH(MIN(MAX(AR54,30),120),Input!$C$48:$C$54,1),6))+(MIN(MAX(AR54,30),120)-INDEX(Input!$C$48:$C$54,MIN(MATCH(MIN(MAX(AR54,30),120),Input!$C$48:$C$54,1),6)))/(INDEX(Input!$C$48:$C$54,MIN(MATCH(MIN(MAX(AR54,30),120),Input!$C$48:$C$54,1),6)+1)-INDEX(Input!$C$48:$C$54,MIN(MATCH(MIN(MAX(AR54,30),120),Input!$C$48:$C$54,1),6)))*(INDEX(Input!$Q$48:$Q$54,MIN(MATCH(MIN(MAX(AR54,30),120),Input!$C$48:$C$54,1),6)+1)-INDEX(Input!$Q$48:$Q$54,MIN(MATCH(MIN(MAX(AR54,30),120),Input!$C$48:$C$54,1),6)))))</f>
        <v/>
      </c>
      <c r="BM54" s="68">
        <f>IF(OR(AM54="Sand",BF54=0),0,Input!$AA$38*(AK54/2)^2/(BL54*1E-4*31536000))</f>
        <v/>
      </c>
      <c r="BN54" s="68">
        <f>MAX(0,MIN(AJ54,Input!$AA$20)-AI54)</f>
        <v/>
      </c>
      <c r="BO54" s="68">
        <f>MAX(0,MIN(AJ54,Input!$AA$20)-MAX(AI54,$AA$22))</f>
        <v/>
      </c>
      <c r="BP54" s="68">
        <f>MAX(0,MIN(AJ54,$AA$225)-AI54)</f>
        <v/>
      </c>
      <c r="BQ54" s="68" t="inlineStr">
        <is>
          <t>LL/PL/e0 = borehole average</t>
        </is>
      </c>
    </row>
    <row r="55">
      <c r="B55" s="9" t="n"/>
      <c r="C55" s="57" t="n">
        <v>28</v>
      </c>
      <c r="D55" s="41" t="n"/>
      <c r="E55" s="55">
        <f>AI55</f>
        <v/>
      </c>
      <c r="F55" s="41" t="n"/>
      <c r="G55" s="41" t="n"/>
      <c r="H55" s="55">
        <f>AJ55</f>
        <v/>
      </c>
      <c r="I55" s="41" t="n"/>
      <c r="J55" s="41" t="n"/>
      <c r="K55" s="52">
        <f>AM55</f>
        <v/>
      </c>
      <c r="L55" s="41" t="n"/>
      <c r="M55" s="41" t="n"/>
      <c r="N55" s="57">
        <f>AN55</f>
        <v/>
      </c>
      <c r="O55" s="41" t="n"/>
      <c r="P55" s="41" t="n"/>
      <c r="Q55" s="53">
        <f>AO55</f>
        <v/>
      </c>
      <c r="R55" s="41" t="n"/>
      <c r="S55" s="41" t="n"/>
      <c r="T55" s="57">
        <f>IF(AR55="","-",AR55)</f>
        <v/>
      </c>
      <c r="U55" s="41" t="n"/>
      <c r="V55" s="57">
        <f>IF(AT55="","-",AT55)</f>
        <v/>
      </c>
      <c r="W55" s="41" t="n"/>
      <c r="X55" s="55">
        <f>AU55</f>
        <v/>
      </c>
      <c r="Y55" s="41" t="n"/>
      <c r="Z55" s="66">
        <f>AV55</f>
        <v/>
      </c>
      <c r="AA55" s="41" t="n"/>
      <c r="AB55" s="41" t="n"/>
      <c r="AC55" s="53">
        <f>AW55</f>
        <v/>
      </c>
      <c r="AD55" s="41" t="n"/>
      <c r="AE55" s="41" t="n"/>
      <c r="AF55" s="15" t="n"/>
      <c r="AI55" s="67" t="n">
        <v>40.5</v>
      </c>
      <c r="AJ55" s="67" t="n">
        <v>42</v>
      </c>
      <c r="AK55" s="68">
        <f>AJ55-AI55</f>
        <v/>
      </c>
      <c r="AL55" s="68">
        <f>(AI55+AJ55)/2</f>
        <v/>
      </c>
      <c r="AM55" s="67" t="inlineStr">
        <is>
          <t>Clay</t>
        </is>
      </c>
      <c r="AN55" s="67" t="n">
        <v>50</v>
      </c>
      <c r="AO55" s="68">
        <f>IF(AL55&gt;$AA$19,$AA$21,$AA$20)</f>
        <v/>
      </c>
      <c r="AP55" s="68">
        <f>AP54+AO55*AK55</f>
        <v/>
      </c>
      <c r="AQ55" s="68">
        <f>AP55-AO55*AK55/2-10*MAX(AL55-$AA$19,0)</f>
        <v/>
      </c>
      <c r="AR55" s="67" t="n">
        <v>36.82</v>
      </c>
      <c r="AS55" s="67" t="n">
        <v>20.32</v>
      </c>
      <c r="AT55" s="68">
        <f>IF(AR55="","",AR55-AS55)</f>
        <v/>
      </c>
      <c r="AU55" s="67" t="n">
        <v>0.836</v>
      </c>
      <c r="AV55" s="68">
        <f>IF(AM55="Sand",0,Input!$AA$31*AN55)</f>
        <v/>
      </c>
      <c r="AW55" s="68">
        <f>IF(AM55="Sand",27.1+0.3*MIN(Input!$AA$32*AN55,60)-0.00054*MIN(Input!$AA$32*AN55,60)^2,MIN(MAX(DEGREES(ASIN(0.8-0.094*LN(MAX(IF(AT55="",10,AT55),5)))),20),30))</f>
        <v/>
      </c>
      <c r="AX55" s="68">
        <f>IF(AM55="Sand",Input!$AA$33*Input!$AA$32*AN55,Input!$AA$34*AV55)</f>
        <v/>
      </c>
      <c r="AY55" s="68">
        <f>IF(AM55="Sand",Input!$AA$35,0.5)</f>
        <v/>
      </c>
      <c r="AZ55" s="68">
        <f>Input!$AA$15/2/AL55</f>
        <v/>
      </c>
      <c r="BA55" s="68">
        <f>Input!$AA$16/2/AL55</f>
        <v/>
      </c>
      <c r="BB55" s="68">
        <f>1/(4*PI())*(2*AZ55*BA55*SQRT(AZ55^2+BA55^2+1)/(AZ55^2+BA55^2+1+AZ55^2*BA55^2)*(AZ55^2+BA55^2+2)/(AZ55^2+BA55^2+1)+ATAN2(AZ55^2+BA55^2+1-AZ55^2*BA55^2,2*AZ55*BA55*SQRT(AZ55^2+BA55^2+1)))</f>
        <v/>
      </c>
      <c r="BC55" s="68">
        <f>4*Input!$AA$14*BB55</f>
        <v/>
      </c>
      <c r="BD55" s="68">
        <f>((Input!$AA$16/Input!$AA$15)*LN((1+SQRT((Input!$AA$16/Input!$AA$15)^2+1))*SQRT((Input!$AA$16/Input!$AA$15)^2+(AJ55/(Input!$AA$15/2))^2)/((Input!$AA$16/Input!$AA$15)*(1+SQRT((Input!$AA$16/Input!$AA$15)^2+(AJ55/(Input!$AA$15/2))^2+1))))+LN(((Input!$AA$16/Input!$AA$15)+SQRT((Input!$AA$16/Input!$AA$15)^2+1))*SQRT(1+(AJ55/(Input!$AA$15/2))^2)/((Input!$AA$16/Input!$AA$15)+SQRT((Input!$AA$16/Input!$AA$15)^2+(AJ55/(Input!$AA$15/2))^2+1))))/PI()</f>
        <v/>
      </c>
      <c r="BE55" s="68">
        <f>(AJ55/(Input!$AA$15/2))/(2*PI())*ATAN((Input!$AA$16/Input!$AA$15)/((AJ55/(Input!$AA$15/2))*SQRT((Input!$AA$16/Input!$AA$15)^2+(AJ55/(Input!$AA$15/2))^2+1)))</f>
        <v/>
      </c>
      <c r="BF55" s="68">
        <f>MAX(0,AJ55-MAX(AI55,$AA$22))/AK55*IF(BC55&gt;=Input!$AA$21*AQ55,1,0)</f>
        <v/>
      </c>
      <c r="BG55" s="68">
        <f>4*Input!$AA$14*(Input!$AA$15/2)*(1-AY55^2)/AX55*((BD55-BD54)+(1-2*AY55)/(1-AY55)*(BE55-BE54))*1000*BF55</f>
        <v/>
      </c>
      <c r="BH55" s="68">
        <f>IF(AM55="Sand",0,0.009*(AR55-10))</f>
        <v/>
      </c>
      <c r="BI55" s="68">
        <f>BH55*Input!$AA$36</f>
        <v/>
      </c>
      <c r="BJ55" s="68">
        <f>IF(AM55="Sand",0,MAX(AV55/Input!$AA$37,AQ55))</f>
        <v/>
      </c>
      <c r="BK55" s="68">
        <f>IF(AM55="Sand",0,1000*AK55/(1+AU55)*IF(AQ55+BC55&lt;=BJ55,BI55*LOG10((AQ55+BC55)/AQ55),BI55*LOG10(BJ55/AQ55)+BH55*LOG10((AQ55+BC55)/BJ55)))*BF55</f>
        <v/>
      </c>
      <c r="BL55" s="68">
        <f>IF(AM55="Sand",0,10^(INDEX(Input!$Q$48:$Q$54,MIN(MATCH(MIN(MAX(AR55,30),120),Input!$C$48:$C$54,1),6))+(MIN(MAX(AR55,30),120)-INDEX(Input!$C$48:$C$54,MIN(MATCH(MIN(MAX(AR55,30),120),Input!$C$48:$C$54,1),6)))/(INDEX(Input!$C$48:$C$54,MIN(MATCH(MIN(MAX(AR55,30),120),Input!$C$48:$C$54,1),6)+1)-INDEX(Input!$C$48:$C$54,MIN(MATCH(MIN(MAX(AR55,30),120),Input!$C$48:$C$54,1),6)))*(INDEX(Input!$Q$48:$Q$54,MIN(MATCH(MIN(MAX(AR55,30),120),Input!$C$48:$C$54,1),6)+1)-INDEX(Input!$Q$48:$Q$54,MIN(MATCH(MIN(MAX(AR55,30),120),Input!$C$48:$C$54,1),6)))))</f>
        <v/>
      </c>
      <c r="BM55" s="68">
        <f>IF(OR(AM55="Sand",BF55=0),0,Input!$AA$38*(AK55/2)^2/(BL55*1E-4*31536000))</f>
        <v/>
      </c>
      <c r="BN55" s="68">
        <f>MAX(0,MIN(AJ55,Input!$AA$20)-AI55)</f>
        <v/>
      </c>
      <c r="BO55" s="68">
        <f>MAX(0,MIN(AJ55,Input!$AA$20)-MAX(AI55,$AA$22))</f>
        <v/>
      </c>
      <c r="BP55" s="68">
        <f>MAX(0,MIN(AJ55,$AA$225)-AI55)</f>
        <v/>
      </c>
      <c r="BQ55" s="68" t="inlineStr"/>
    </row>
    <row r="56">
      <c r="B56" s="9" t="n"/>
      <c r="C56" s="57" t="n">
        <v>29</v>
      </c>
      <c r="D56" s="41" t="n"/>
      <c r="E56" s="55">
        <f>AI56</f>
        <v/>
      </c>
      <c r="F56" s="41" t="n"/>
      <c r="G56" s="41" t="n"/>
      <c r="H56" s="55">
        <f>AJ56</f>
        <v/>
      </c>
      <c r="I56" s="41" t="n"/>
      <c r="J56" s="41" t="n"/>
      <c r="K56" s="52">
        <f>AM56</f>
        <v/>
      </c>
      <c r="L56" s="41" t="n"/>
      <c r="M56" s="41" t="n"/>
      <c r="N56" s="57">
        <f>AN56</f>
        <v/>
      </c>
      <c r="O56" s="41" t="n"/>
      <c r="P56" s="41" t="n"/>
      <c r="Q56" s="53">
        <f>AO56</f>
        <v/>
      </c>
      <c r="R56" s="41" t="n"/>
      <c r="S56" s="41" t="n"/>
      <c r="T56" s="57">
        <f>IF(AR56="","-",AR56)</f>
        <v/>
      </c>
      <c r="U56" s="41" t="n"/>
      <c r="V56" s="57">
        <f>IF(AT56="","-",AT56)</f>
        <v/>
      </c>
      <c r="W56" s="41" t="n"/>
      <c r="X56" s="55">
        <f>AU56</f>
        <v/>
      </c>
      <c r="Y56" s="41" t="n"/>
      <c r="Z56" s="66">
        <f>AV56</f>
        <v/>
      </c>
      <c r="AA56" s="41" t="n"/>
      <c r="AB56" s="41" t="n"/>
      <c r="AC56" s="53">
        <f>AW56</f>
        <v/>
      </c>
      <c r="AD56" s="41" t="n"/>
      <c r="AE56" s="41" t="n"/>
      <c r="AF56" s="15" t="n"/>
      <c r="AI56" s="67" t="n">
        <v>42</v>
      </c>
      <c r="AJ56" s="67" t="n">
        <v>43.5</v>
      </c>
      <c r="AK56" s="68">
        <f>AJ56-AI56</f>
        <v/>
      </c>
      <c r="AL56" s="68">
        <f>(AI56+AJ56)/2</f>
        <v/>
      </c>
      <c r="AM56" s="67" t="inlineStr">
        <is>
          <t>Clay</t>
        </is>
      </c>
      <c r="AN56" s="67" t="n">
        <v>50</v>
      </c>
      <c r="AO56" s="68">
        <f>IF(AL56&gt;$AA$19,$AA$21,$AA$20)</f>
        <v/>
      </c>
      <c r="AP56" s="68">
        <f>AP55+AO56*AK56</f>
        <v/>
      </c>
      <c r="AQ56" s="68">
        <f>AP56-AO56*AK56/2-10*MAX(AL56-$AA$19,0)</f>
        <v/>
      </c>
      <c r="AR56" s="67" t="n">
        <v>29.665</v>
      </c>
      <c r="AS56" s="67" t="n">
        <v>19.806</v>
      </c>
      <c r="AT56" s="68">
        <f>IF(AR56="","",AR56-AS56)</f>
        <v/>
      </c>
      <c r="AU56" s="67" t="n">
        <v>0.681</v>
      </c>
      <c r="AV56" s="68">
        <f>IF(AM56="Sand",0,Input!$AA$31*AN56)</f>
        <v/>
      </c>
      <c r="AW56" s="68">
        <f>IF(AM56="Sand",27.1+0.3*MIN(Input!$AA$32*AN56,60)-0.00054*MIN(Input!$AA$32*AN56,60)^2,MIN(MAX(DEGREES(ASIN(0.8-0.094*LN(MAX(IF(AT56="",10,AT56),5)))),20),30))</f>
        <v/>
      </c>
      <c r="AX56" s="68">
        <f>IF(AM56="Sand",Input!$AA$33*Input!$AA$32*AN56,Input!$AA$34*AV56)</f>
        <v/>
      </c>
      <c r="AY56" s="68">
        <f>IF(AM56="Sand",Input!$AA$35,0.5)</f>
        <v/>
      </c>
      <c r="AZ56" s="68">
        <f>Input!$AA$15/2/AL56</f>
        <v/>
      </c>
      <c r="BA56" s="68">
        <f>Input!$AA$16/2/AL56</f>
        <v/>
      </c>
      <c r="BB56" s="68">
        <f>1/(4*PI())*(2*AZ56*BA56*SQRT(AZ56^2+BA56^2+1)/(AZ56^2+BA56^2+1+AZ56^2*BA56^2)*(AZ56^2+BA56^2+2)/(AZ56^2+BA56^2+1)+ATAN2(AZ56^2+BA56^2+1-AZ56^2*BA56^2,2*AZ56*BA56*SQRT(AZ56^2+BA56^2+1)))</f>
        <v/>
      </c>
      <c r="BC56" s="68">
        <f>4*Input!$AA$14*BB56</f>
        <v/>
      </c>
      <c r="BD56" s="68">
        <f>((Input!$AA$16/Input!$AA$15)*LN((1+SQRT((Input!$AA$16/Input!$AA$15)^2+1))*SQRT((Input!$AA$16/Input!$AA$15)^2+(AJ56/(Input!$AA$15/2))^2)/((Input!$AA$16/Input!$AA$15)*(1+SQRT((Input!$AA$16/Input!$AA$15)^2+(AJ56/(Input!$AA$15/2))^2+1))))+LN(((Input!$AA$16/Input!$AA$15)+SQRT((Input!$AA$16/Input!$AA$15)^2+1))*SQRT(1+(AJ56/(Input!$AA$15/2))^2)/((Input!$AA$16/Input!$AA$15)+SQRT((Input!$AA$16/Input!$AA$15)^2+(AJ56/(Input!$AA$15/2))^2+1))))/PI()</f>
        <v/>
      </c>
      <c r="BE56" s="68">
        <f>(AJ56/(Input!$AA$15/2))/(2*PI())*ATAN((Input!$AA$16/Input!$AA$15)/((AJ56/(Input!$AA$15/2))*SQRT((Input!$AA$16/Input!$AA$15)^2+(AJ56/(Input!$AA$15/2))^2+1)))</f>
        <v/>
      </c>
      <c r="BF56" s="68">
        <f>MAX(0,AJ56-MAX(AI56,$AA$22))/AK56*IF(BC56&gt;=Input!$AA$21*AQ56,1,0)</f>
        <v/>
      </c>
      <c r="BG56" s="68">
        <f>4*Input!$AA$14*(Input!$AA$15/2)*(1-AY56^2)/AX56*((BD56-BD55)+(1-2*AY56)/(1-AY56)*(BE56-BE55))*1000*BF56</f>
        <v/>
      </c>
      <c r="BH56" s="68">
        <f>IF(AM56="Sand",0,0.009*(AR56-10))</f>
        <v/>
      </c>
      <c r="BI56" s="68">
        <f>BH56*Input!$AA$36</f>
        <v/>
      </c>
      <c r="BJ56" s="68">
        <f>IF(AM56="Sand",0,MAX(AV56/Input!$AA$37,AQ56))</f>
        <v/>
      </c>
      <c r="BK56" s="68">
        <f>IF(AM56="Sand",0,1000*AK56/(1+AU56)*IF(AQ56+BC56&lt;=BJ56,BI56*LOG10((AQ56+BC56)/AQ56),BI56*LOG10(BJ56/AQ56)+BH56*LOG10((AQ56+BC56)/BJ56)))*BF56</f>
        <v/>
      </c>
      <c r="BL56" s="68">
        <f>IF(AM56="Sand",0,10^(INDEX(Input!$Q$48:$Q$54,MIN(MATCH(MIN(MAX(AR56,30),120),Input!$C$48:$C$54,1),6))+(MIN(MAX(AR56,30),120)-INDEX(Input!$C$48:$C$54,MIN(MATCH(MIN(MAX(AR56,30),120),Input!$C$48:$C$54,1),6)))/(INDEX(Input!$C$48:$C$54,MIN(MATCH(MIN(MAX(AR56,30),120),Input!$C$48:$C$54,1),6)+1)-INDEX(Input!$C$48:$C$54,MIN(MATCH(MIN(MAX(AR56,30),120),Input!$C$48:$C$54,1),6)))*(INDEX(Input!$Q$48:$Q$54,MIN(MATCH(MIN(MAX(AR56,30),120),Input!$C$48:$C$54,1),6)+1)-INDEX(Input!$Q$48:$Q$54,MIN(MATCH(MIN(MAX(AR56,30),120),Input!$C$48:$C$54,1),6)))))</f>
        <v/>
      </c>
      <c r="BM56" s="68">
        <f>IF(OR(AM56="Sand",BF56=0),0,Input!$AA$38*(AK56/2)^2/(BL56*1E-4*31536000))</f>
        <v/>
      </c>
      <c r="BN56" s="68">
        <f>MAX(0,MIN(AJ56,Input!$AA$20)-AI56)</f>
        <v/>
      </c>
      <c r="BO56" s="68">
        <f>MAX(0,MIN(AJ56,Input!$AA$20)-MAX(AI56,$AA$22))</f>
        <v/>
      </c>
      <c r="BP56" s="68">
        <f>MAX(0,MIN(AJ56,$AA$225)-AI56)</f>
        <v/>
      </c>
      <c r="BQ56" s="68" t="inlineStr">
        <is>
          <t>LL/PL/e0 = borehole average</t>
        </is>
      </c>
    </row>
    <row r="57">
      <c r="B57" s="9" t="n"/>
      <c r="C57" s="57" t="n">
        <v>30</v>
      </c>
      <c r="D57" s="41" t="n"/>
      <c r="E57" s="55">
        <f>AI57</f>
        <v/>
      </c>
      <c r="F57" s="41" t="n"/>
      <c r="G57" s="41" t="n"/>
      <c r="H57" s="55">
        <f>AJ57</f>
        <v/>
      </c>
      <c r="I57" s="41" t="n"/>
      <c r="J57" s="41" t="n"/>
      <c r="K57" s="52">
        <f>AM57</f>
        <v/>
      </c>
      <c r="L57" s="41" t="n"/>
      <c r="M57" s="41" t="n"/>
      <c r="N57" s="57">
        <f>AN57</f>
        <v/>
      </c>
      <c r="O57" s="41" t="n"/>
      <c r="P57" s="41" t="n"/>
      <c r="Q57" s="53">
        <f>AO57</f>
        <v/>
      </c>
      <c r="R57" s="41" t="n"/>
      <c r="S57" s="41" t="n"/>
      <c r="T57" s="57">
        <f>IF(AR57="","-",AR57)</f>
        <v/>
      </c>
      <c r="U57" s="41" t="n"/>
      <c r="V57" s="57">
        <f>IF(AT57="","-",AT57)</f>
        <v/>
      </c>
      <c r="W57" s="41" t="n"/>
      <c r="X57" s="55">
        <f>AU57</f>
        <v/>
      </c>
      <c r="Y57" s="41" t="n"/>
      <c r="Z57" s="66">
        <f>AV57</f>
        <v/>
      </c>
      <c r="AA57" s="41" t="n"/>
      <c r="AB57" s="41" t="n"/>
      <c r="AC57" s="53">
        <f>AW57</f>
        <v/>
      </c>
      <c r="AD57" s="41" t="n"/>
      <c r="AE57" s="41" t="n"/>
      <c r="AF57" s="15" t="n"/>
      <c r="AI57" s="67" t="n">
        <v>43.5</v>
      </c>
      <c r="AJ57" s="67" t="n">
        <v>45</v>
      </c>
      <c r="AK57" s="68">
        <f>AJ57-AI57</f>
        <v/>
      </c>
      <c r="AL57" s="68">
        <f>(AI57+AJ57)/2</f>
        <v/>
      </c>
      <c r="AM57" s="67" t="inlineStr">
        <is>
          <t>Clay</t>
        </is>
      </c>
      <c r="AN57" s="67" t="n">
        <v>50</v>
      </c>
      <c r="AO57" s="68">
        <f>IF(AL57&gt;$AA$19,$AA$21,$AA$20)</f>
        <v/>
      </c>
      <c r="AP57" s="68">
        <f>AP56+AO57*AK57</f>
        <v/>
      </c>
      <c r="AQ57" s="68">
        <f>AP57-AO57*AK57/2-10*MAX(AL57-$AA$19,0)</f>
        <v/>
      </c>
      <c r="AR57" s="67" t="n">
        <v>30.1</v>
      </c>
      <c r="AS57" s="67" t="n">
        <v>20.6</v>
      </c>
      <c r="AT57" s="68">
        <f>IF(AR57="","",AR57-AS57)</f>
        <v/>
      </c>
      <c r="AU57" s="67" t="n">
        <v>0.703</v>
      </c>
      <c r="AV57" s="68">
        <f>IF(AM57="Sand",0,Input!$AA$31*AN57)</f>
        <v/>
      </c>
      <c r="AW57" s="68">
        <f>IF(AM57="Sand",27.1+0.3*MIN(Input!$AA$32*AN57,60)-0.00054*MIN(Input!$AA$32*AN57,60)^2,MIN(MAX(DEGREES(ASIN(0.8-0.094*LN(MAX(IF(AT57="",10,AT57),5)))),20),30))</f>
        <v/>
      </c>
      <c r="AX57" s="68">
        <f>IF(AM57="Sand",Input!$AA$33*Input!$AA$32*AN57,Input!$AA$34*AV57)</f>
        <v/>
      </c>
      <c r="AY57" s="68">
        <f>IF(AM57="Sand",Input!$AA$35,0.5)</f>
        <v/>
      </c>
      <c r="AZ57" s="68">
        <f>Input!$AA$15/2/AL57</f>
        <v/>
      </c>
      <c r="BA57" s="68">
        <f>Input!$AA$16/2/AL57</f>
        <v/>
      </c>
      <c r="BB57" s="68">
        <f>1/(4*PI())*(2*AZ57*BA57*SQRT(AZ57^2+BA57^2+1)/(AZ57^2+BA57^2+1+AZ57^2*BA57^2)*(AZ57^2+BA57^2+2)/(AZ57^2+BA57^2+1)+ATAN2(AZ57^2+BA57^2+1-AZ57^2*BA57^2,2*AZ57*BA57*SQRT(AZ57^2+BA57^2+1)))</f>
        <v/>
      </c>
      <c r="BC57" s="68">
        <f>4*Input!$AA$14*BB57</f>
        <v/>
      </c>
      <c r="BD57" s="68">
        <f>((Input!$AA$16/Input!$AA$15)*LN((1+SQRT((Input!$AA$16/Input!$AA$15)^2+1))*SQRT((Input!$AA$16/Input!$AA$15)^2+(AJ57/(Input!$AA$15/2))^2)/((Input!$AA$16/Input!$AA$15)*(1+SQRT((Input!$AA$16/Input!$AA$15)^2+(AJ57/(Input!$AA$15/2))^2+1))))+LN(((Input!$AA$16/Input!$AA$15)+SQRT((Input!$AA$16/Input!$AA$15)^2+1))*SQRT(1+(AJ57/(Input!$AA$15/2))^2)/((Input!$AA$16/Input!$AA$15)+SQRT((Input!$AA$16/Input!$AA$15)^2+(AJ57/(Input!$AA$15/2))^2+1))))/PI()</f>
        <v/>
      </c>
      <c r="BE57" s="68">
        <f>(AJ57/(Input!$AA$15/2))/(2*PI())*ATAN((Input!$AA$16/Input!$AA$15)/((AJ57/(Input!$AA$15/2))*SQRT((Input!$AA$16/Input!$AA$15)^2+(AJ57/(Input!$AA$15/2))^2+1)))</f>
        <v/>
      </c>
      <c r="BF57" s="68">
        <f>MAX(0,AJ57-MAX(AI57,$AA$22))/AK57*IF(BC57&gt;=Input!$AA$21*AQ57,1,0)</f>
        <v/>
      </c>
      <c r="BG57" s="68">
        <f>4*Input!$AA$14*(Input!$AA$15/2)*(1-AY57^2)/AX57*((BD57-BD56)+(1-2*AY57)/(1-AY57)*(BE57-BE56))*1000*BF57</f>
        <v/>
      </c>
      <c r="BH57" s="68">
        <f>IF(AM57="Sand",0,0.009*(AR57-10))</f>
        <v/>
      </c>
      <c r="BI57" s="68">
        <f>BH57*Input!$AA$36</f>
        <v/>
      </c>
      <c r="BJ57" s="68">
        <f>IF(AM57="Sand",0,MAX(AV57/Input!$AA$37,AQ57))</f>
        <v/>
      </c>
      <c r="BK57" s="68">
        <f>IF(AM57="Sand",0,1000*AK57/(1+AU57)*IF(AQ57+BC57&lt;=BJ57,BI57*LOG10((AQ57+BC57)/AQ57),BI57*LOG10(BJ57/AQ57)+BH57*LOG10((AQ57+BC57)/BJ57)))*BF57</f>
        <v/>
      </c>
      <c r="BL57" s="68">
        <f>IF(AM57="Sand",0,10^(INDEX(Input!$Q$48:$Q$54,MIN(MATCH(MIN(MAX(AR57,30),120),Input!$C$48:$C$54,1),6))+(MIN(MAX(AR57,30),120)-INDEX(Input!$C$48:$C$54,MIN(MATCH(MIN(MAX(AR57,30),120),Input!$C$48:$C$54,1),6)))/(INDEX(Input!$C$48:$C$54,MIN(MATCH(MIN(MAX(AR57,30),120),Input!$C$48:$C$54,1),6)+1)-INDEX(Input!$C$48:$C$54,MIN(MATCH(MIN(MAX(AR57,30),120),Input!$C$48:$C$54,1),6)))*(INDEX(Input!$Q$48:$Q$54,MIN(MATCH(MIN(MAX(AR57,30),120),Input!$C$48:$C$54,1),6)+1)-INDEX(Input!$Q$48:$Q$54,MIN(MATCH(MIN(MAX(AR57,30),120),Input!$C$48:$C$54,1),6)))))</f>
        <v/>
      </c>
      <c r="BM57" s="68">
        <f>IF(OR(AM57="Sand",BF57=0),0,Input!$AA$38*(AK57/2)^2/(BL57*1E-4*31536000))</f>
        <v/>
      </c>
      <c r="BN57" s="68">
        <f>MAX(0,MIN(AJ57,Input!$AA$20)-AI57)</f>
        <v/>
      </c>
      <c r="BO57" s="68">
        <f>MAX(0,MIN(AJ57,Input!$AA$20)-MAX(AI57,$AA$22))</f>
        <v/>
      </c>
      <c r="BP57" s="68">
        <f>MAX(0,MIN(AJ57,$AA$225)-AI57)</f>
        <v/>
      </c>
      <c r="BQ57" s="68" t="inlineStr"/>
    </row>
    <row r="58">
      <c r="B58" s="9" t="n"/>
      <c r="C58" s="57" t="n">
        <v>31</v>
      </c>
      <c r="D58" s="41" t="n"/>
      <c r="E58" s="55">
        <f>AI58</f>
        <v/>
      </c>
      <c r="F58" s="41" t="n"/>
      <c r="G58" s="41" t="n"/>
      <c r="H58" s="55">
        <f>AJ58</f>
        <v/>
      </c>
      <c r="I58" s="41" t="n"/>
      <c r="J58" s="41" t="n"/>
      <c r="K58" s="52">
        <f>AM58</f>
        <v/>
      </c>
      <c r="L58" s="41" t="n"/>
      <c r="M58" s="41" t="n"/>
      <c r="N58" s="57">
        <f>AN58</f>
        <v/>
      </c>
      <c r="O58" s="41" t="n"/>
      <c r="P58" s="41" t="n"/>
      <c r="Q58" s="53">
        <f>AO58</f>
        <v/>
      </c>
      <c r="R58" s="41" t="n"/>
      <c r="S58" s="41" t="n"/>
      <c r="T58" s="57">
        <f>IF(AR58="","-",AR58)</f>
        <v/>
      </c>
      <c r="U58" s="41" t="n"/>
      <c r="V58" s="57">
        <f>IF(AT58="","-",AT58)</f>
        <v/>
      </c>
      <c r="W58" s="41" t="n"/>
      <c r="X58" s="55">
        <f>AU58</f>
        <v/>
      </c>
      <c r="Y58" s="41" t="n"/>
      <c r="Z58" s="66">
        <f>AV58</f>
        <v/>
      </c>
      <c r="AA58" s="41" t="n"/>
      <c r="AB58" s="41" t="n"/>
      <c r="AC58" s="53">
        <f>AW58</f>
        <v/>
      </c>
      <c r="AD58" s="41" t="n"/>
      <c r="AE58" s="41" t="n"/>
      <c r="AF58" s="15" t="n"/>
      <c r="AI58" s="67" t="n">
        <v>45</v>
      </c>
      <c r="AJ58" s="67" t="n">
        <v>46.5</v>
      </c>
      <c r="AK58" s="68">
        <f>AJ58-AI58</f>
        <v/>
      </c>
      <c r="AL58" s="68">
        <f>(AI58+AJ58)/2</f>
        <v/>
      </c>
      <c r="AM58" s="67" t="inlineStr">
        <is>
          <t>Clay</t>
        </is>
      </c>
      <c r="AN58" s="67" t="n">
        <v>33</v>
      </c>
      <c r="AO58" s="68">
        <f>IF(AL58&gt;$AA$19,$AA$21,$AA$20)</f>
        <v/>
      </c>
      <c r="AP58" s="68">
        <f>AP57+AO58*AK58</f>
        <v/>
      </c>
      <c r="AQ58" s="68">
        <f>AP58-AO58*AK58/2-10*MAX(AL58-$AA$19,0)</f>
        <v/>
      </c>
      <c r="AR58" s="67" t="n">
        <v>29.665</v>
      </c>
      <c r="AS58" s="67" t="n">
        <v>19.806</v>
      </c>
      <c r="AT58" s="68">
        <f>IF(AR58="","",AR58-AS58)</f>
        <v/>
      </c>
      <c r="AU58" s="67" t="n">
        <v>0.681</v>
      </c>
      <c r="AV58" s="68">
        <f>IF(AM58="Sand",0,Input!$AA$31*AN58)</f>
        <v/>
      </c>
      <c r="AW58" s="68">
        <f>IF(AM58="Sand",27.1+0.3*MIN(Input!$AA$32*AN58,60)-0.00054*MIN(Input!$AA$32*AN58,60)^2,MIN(MAX(DEGREES(ASIN(0.8-0.094*LN(MAX(IF(AT58="",10,AT58),5)))),20),30))</f>
        <v/>
      </c>
      <c r="AX58" s="68">
        <f>IF(AM58="Sand",Input!$AA$33*Input!$AA$32*AN58,Input!$AA$34*AV58)</f>
        <v/>
      </c>
      <c r="AY58" s="68">
        <f>IF(AM58="Sand",Input!$AA$35,0.5)</f>
        <v/>
      </c>
      <c r="AZ58" s="68">
        <f>Input!$AA$15/2/AL58</f>
        <v/>
      </c>
      <c r="BA58" s="68">
        <f>Input!$AA$16/2/AL58</f>
        <v/>
      </c>
      <c r="BB58" s="68">
        <f>1/(4*PI())*(2*AZ58*BA58*SQRT(AZ58^2+BA58^2+1)/(AZ58^2+BA58^2+1+AZ58^2*BA58^2)*(AZ58^2+BA58^2+2)/(AZ58^2+BA58^2+1)+ATAN2(AZ58^2+BA58^2+1-AZ58^2*BA58^2,2*AZ58*BA58*SQRT(AZ58^2+BA58^2+1)))</f>
        <v/>
      </c>
      <c r="BC58" s="68">
        <f>4*Input!$AA$14*BB58</f>
        <v/>
      </c>
      <c r="BD58" s="68">
        <f>((Input!$AA$16/Input!$AA$15)*LN((1+SQRT((Input!$AA$16/Input!$AA$15)^2+1))*SQRT((Input!$AA$16/Input!$AA$15)^2+(AJ58/(Input!$AA$15/2))^2)/((Input!$AA$16/Input!$AA$15)*(1+SQRT((Input!$AA$16/Input!$AA$15)^2+(AJ58/(Input!$AA$15/2))^2+1))))+LN(((Input!$AA$16/Input!$AA$15)+SQRT((Input!$AA$16/Input!$AA$15)^2+1))*SQRT(1+(AJ58/(Input!$AA$15/2))^2)/((Input!$AA$16/Input!$AA$15)+SQRT((Input!$AA$16/Input!$AA$15)^2+(AJ58/(Input!$AA$15/2))^2+1))))/PI()</f>
        <v/>
      </c>
      <c r="BE58" s="68">
        <f>(AJ58/(Input!$AA$15/2))/(2*PI())*ATAN((Input!$AA$16/Input!$AA$15)/((AJ58/(Input!$AA$15/2))*SQRT((Input!$AA$16/Input!$AA$15)^2+(AJ58/(Input!$AA$15/2))^2+1)))</f>
        <v/>
      </c>
      <c r="BF58" s="68">
        <f>MAX(0,AJ58-MAX(AI58,$AA$22))/AK58*IF(BC58&gt;=Input!$AA$21*AQ58,1,0)</f>
        <v/>
      </c>
      <c r="BG58" s="68">
        <f>4*Input!$AA$14*(Input!$AA$15/2)*(1-AY58^2)/AX58*((BD58-BD57)+(1-2*AY58)/(1-AY58)*(BE58-BE57))*1000*BF58</f>
        <v/>
      </c>
      <c r="BH58" s="68">
        <f>IF(AM58="Sand",0,0.009*(AR58-10))</f>
        <v/>
      </c>
      <c r="BI58" s="68">
        <f>BH58*Input!$AA$36</f>
        <v/>
      </c>
      <c r="BJ58" s="68">
        <f>IF(AM58="Sand",0,MAX(AV58/Input!$AA$37,AQ58))</f>
        <v/>
      </c>
      <c r="BK58" s="68">
        <f>IF(AM58="Sand",0,1000*AK58/(1+AU58)*IF(AQ58+BC58&lt;=BJ58,BI58*LOG10((AQ58+BC58)/AQ58),BI58*LOG10(BJ58/AQ58)+BH58*LOG10((AQ58+BC58)/BJ58)))*BF58</f>
        <v/>
      </c>
      <c r="BL58" s="68">
        <f>IF(AM58="Sand",0,10^(INDEX(Input!$Q$48:$Q$54,MIN(MATCH(MIN(MAX(AR58,30),120),Input!$C$48:$C$54,1),6))+(MIN(MAX(AR58,30),120)-INDEX(Input!$C$48:$C$54,MIN(MATCH(MIN(MAX(AR58,30),120),Input!$C$48:$C$54,1),6)))/(INDEX(Input!$C$48:$C$54,MIN(MATCH(MIN(MAX(AR58,30),120),Input!$C$48:$C$54,1),6)+1)-INDEX(Input!$C$48:$C$54,MIN(MATCH(MIN(MAX(AR58,30),120),Input!$C$48:$C$54,1),6)))*(INDEX(Input!$Q$48:$Q$54,MIN(MATCH(MIN(MAX(AR58,30),120),Input!$C$48:$C$54,1),6)+1)-INDEX(Input!$Q$48:$Q$54,MIN(MATCH(MIN(MAX(AR58,30),120),Input!$C$48:$C$54,1),6)))))</f>
        <v/>
      </c>
      <c r="BM58" s="68">
        <f>IF(OR(AM58="Sand",BF58=0),0,Input!$AA$38*(AK58/2)^2/(BL58*1E-4*31536000))</f>
        <v/>
      </c>
      <c r="BN58" s="68">
        <f>MAX(0,MIN(AJ58,Input!$AA$20)-AI58)</f>
        <v/>
      </c>
      <c r="BO58" s="68">
        <f>MAX(0,MIN(AJ58,Input!$AA$20)-MAX(AI58,$AA$22))</f>
        <v/>
      </c>
      <c r="BP58" s="68">
        <f>MAX(0,MIN(AJ58,$AA$225)-AI58)</f>
        <v/>
      </c>
      <c r="BQ58" s="68" t="inlineStr">
        <is>
          <t>LL/PL/e0 = borehole average</t>
        </is>
      </c>
    </row>
    <row r="59">
      <c r="B59" s="9" t="n"/>
      <c r="C59" s="57" t="n">
        <v>32</v>
      </c>
      <c r="D59" s="41" t="n"/>
      <c r="E59" s="55">
        <f>AI59</f>
        <v/>
      </c>
      <c r="F59" s="41" t="n"/>
      <c r="G59" s="41" t="n"/>
      <c r="H59" s="55">
        <f>AJ59</f>
        <v/>
      </c>
      <c r="I59" s="41" t="n"/>
      <c r="J59" s="41" t="n"/>
      <c r="K59" s="52">
        <f>AM59</f>
        <v/>
      </c>
      <c r="L59" s="41" t="n"/>
      <c r="M59" s="41" t="n"/>
      <c r="N59" s="57">
        <f>AN59</f>
        <v/>
      </c>
      <c r="O59" s="41" t="n"/>
      <c r="P59" s="41" t="n"/>
      <c r="Q59" s="53">
        <f>AO59</f>
        <v/>
      </c>
      <c r="R59" s="41" t="n"/>
      <c r="S59" s="41" t="n"/>
      <c r="T59" s="57">
        <f>IF(AR59="","-",AR59)</f>
        <v/>
      </c>
      <c r="U59" s="41" t="n"/>
      <c r="V59" s="57">
        <f>IF(AT59="","-",AT59)</f>
        <v/>
      </c>
      <c r="W59" s="41" t="n"/>
      <c r="X59" s="55">
        <f>AU59</f>
        <v/>
      </c>
      <c r="Y59" s="41" t="n"/>
      <c r="Z59" s="66">
        <f>AV59</f>
        <v/>
      </c>
      <c r="AA59" s="41" t="n"/>
      <c r="AB59" s="41" t="n"/>
      <c r="AC59" s="53">
        <f>AW59</f>
        <v/>
      </c>
      <c r="AD59" s="41" t="n"/>
      <c r="AE59" s="41" t="n"/>
      <c r="AF59" s="15" t="n"/>
      <c r="AI59" s="67" t="n">
        <v>46.5</v>
      </c>
      <c r="AJ59" s="67" t="n">
        <v>48</v>
      </c>
      <c r="AK59" s="68">
        <f>AJ59-AI59</f>
        <v/>
      </c>
      <c r="AL59" s="68">
        <f>(AI59+AJ59)/2</f>
        <v/>
      </c>
      <c r="AM59" s="67" t="inlineStr">
        <is>
          <t>Clay</t>
        </is>
      </c>
      <c r="AN59" s="67" t="n">
        <v>36</v>
      </c>
      <c r="AO59" s="68">
        <f>IF(AL59&gt;$AA$19,$AA$21,$AA$20)</f>
        <v/>
      </c>
      <c r="AP59" s="68">
        <f>AP58+AO59*AK59</f>
        <v/>
      </c>
      <c r="AQ59" s="68">
        <f>AP59-AO59*AK59/2-10*MAX(AL59-$AA$19,0)</f>
        <v/>
      </c>
      <c r="AR59" s="67" t="n">
        <v>39.36</v>
      </c>
      <c r="AS59" s="67" t="n">
        <v>25.37</v>
      </c>
      <c r="AT59" s="68">
        <f>IF(AR59="","",AR59-AS59)</f>
        <v/>
      </c>
      <c r="AU59" s="67" t="n">
        <v>0.841</v>
      </c>
      <c r="AV59" s="68">
        <f>IF(AM59="Sand",0,Input!$AA$31*AN59)</f>
        <v/>
      </c>
      <c r="AW59" s="68">
        <f>IF(AM59="Sand",27.1+0.3*MIN(Input!$AA$32*AN59,60)-0.00054*MIN(Input!$AA$32*AN59,60)^2,MIN(MAX(DEGREES(ASIN(0.8-0.094*LN(MAX(IF(AT59="",10,AT59),5)))),20),30))</f>
        <v/>
      </c>
      <c r="AX59" s="68">
        <f>IF(AM59="Sand",Input!$AA$33*Input!$AA$32*AN59,Input!$AA$34*AV59)</f>
        <v/>
      </c>
      <c r="AY59" s="68">
        <f>IF(AM59="Sand",Input!$AA$35,0.5)</f>
        <v/>
      </c>
      <c r="AZ59" s="68">
        <f>Input!$AA$15/2/AL59</f>
        <v/>
      </c>
      <c r="BA59" s="68">
        <f>Input!$AA$16/2/AL59</f>
        <v/>
      </c>
      <c r="BB59" s="68">
        <f>1/(4*PI())*(2*AZ59*BA59*SQRT(AZ59^2+BA59^2+1)/(AZ59^2+BA59^2+1+AZ59^2*BA59^2)*(AZ59^2+BA59^2+2)/(AZ59^2+BA59^2+1)+ATAN2(AZ59^2+BA59^2+1-AZ59^2*BA59^2,2*AZ59*BA59*SQRT(AZ59^2+BA59^2+1)))</f>
        <v/>
      </c>
      <c r="BC59" s="68">
        <f>4*Input!$AA$14*BB59</f>
        <v/>
      </c>
      <c r="BD59" s="68">
        <f>((Input!$AA$16/Input!$AA$15)*LN((1+SQRT((Input!$AA$16/Input!$AA$15)^2+1))*SQRT((Input!$AA$16/Input!$AA$15)^2+(AJ59/(Input!$AA$15/2))^2)/((Input!$AA$16/Input!$AA$15)*(1+SQRT((Input!$AA$16/Input!$AA$15)^2+(AJ59/(Input!$AA$15/2))^2+1))))+LN(((Input!$AA$16/Input!$AA$15)+SQRT((Input!$AA$16/Input!$AA$15)^2+1))*SQRT(1+(AJ59/(Input!$AA$15/2))^2)/((Input!$AA$16/Input!$AA$15)+SQRT((Input!$AA$16/Input!$AA$15)^2+(AJ59/(Input!$AA$15/2))^2+1))))/PI()</f>
        <v/>
      </c>
      <c r="BE59" s="68">
        <f>(AJ59/(Input!$AA$15/2))/(2*PI())*ATAN((Input!$AA$16/Input!$AA$15)/((AJ59/(Input!$AA$15/2))*SQRT((Input!$AA$16/Input!$AA$15)^2+(AJ59/(Input!$AA$15/2))^2+1)))</f>
        <v/>
      </c>
      <c r="BF59" s="68">
        <f>MAX(0,AJ59-MAX(AI59,$AA$22))/AK59*IF(BC59&gt;=Input!$AA$21*AQ59,1,0)</f>
        <v/>
      </c>
      <c r="BG59" s="68">
        <f>4*Input!$AA$14*(Input!$AA$15/2)*(1-AY59^2)/AX59*((BD59-BD58)+(1-2*AY59)/(1-AY59)*(BE59-BE58))*1000*BF59</f>
        <v/>
      </c>
      <c r="BH59" s="68">
        <f>IF(AM59="Sand",0,0.009*(AR59-10))</f>
        <v/>
      </c>
      <c r="BI59" s="68">
        <f>BH59*Input!$AA$36</f>
        <v/>
      </c>
      <c r="BJ59" s="68">
        <f>IF(AM59="Sand",0,MAX(AV59/Input!$AA$37,AQ59))</f>
        <v/>
      </c>
      <c r="BK59" s="68">
        <f>IF(AM59="Sand",0,1000*AK59/(1+AU59)*IF(AQ59+BC59&lt;=BJ59,BI59*LOG10((AQ59+BC59)/AQ59),BI59*LOG10(BJ59/AQ59)+BH59*LOG10((AQ59+BC59)/BJ59)))*BF59</f>
        <v/>
      </c>
      <c r="BL59" s="68">
        <f>IF(AM59="Sand",0,10^(INDEX(Input!$Q$48:$Q$54,MIN(MATCH(MIN(MAX(AR59,30),120),Input!$C$48:$C$54,1),6))+(MIN(MAX(AR59,30),120)-INDEX(Input!$C$48:$C$54,MIN(MATCH(MIN(MAX(AR59,30),120),Input!$C$48:$C$54,1),6)))/(INDEX(Input!$C$48:$C$54,MIN(MATCH(MIN(MAX(AR59,30),120),Input!$C$48:$C$54,1),6)+1)-INDEX(Input!$C$48:$C$54,MIN(MATCH(MIN(MAX(AR59,30),120),Input!$C$48:$C$54,1),6)))*(INDEX(Input!$Q$48:$Q$54,MIN(MATCH(MIN(MAX(AR59,30),120),Input!$C$48:$C$54,1),6)+1)-INDEX(Input!$Q$48:$Q$54,MIN(MATCH(MIN(MAX(AR59,30),120),Input!$C$48:$C$54,1),6)))))</f>
        <v/>
      </c>
      <c r="BM59" s="68">
        <f>IF(OR(AM59="Sand",BF59=0),0,Input!$AA$38*(AK59/2)^2/(BL59*1E-4*31536000))</f>
        <v/>
      </c>
      <c r="BN59" s="68">
        <f>MAX(0,MIN(AJ59,Input!$AA$20)-AI59)</f>
        <v/>
      </c>
      <c r="BO59" s="68">
        <f>MAX(0,MIN(AJ59,Input!$AA$20)-MAX(AI59,$AA$22))</f>
        <v/>
      </c>
      <c r="BP59" s="68">
        <f>MAX(0,MIN(AJ59,$AA$225)-AI59)</f>
        <v/>
      </c>
      <c r="BQ59" s="68" t="inlineStr"/>
    </row>
    <row r="60">
      <c r="B60" s="9" t="n"/>
      <c r="C60" s="57" t="n">
        <v>33</v>
      </c>
      <c r="D60" s="41" t="n"/>
      <c r="E60" s="55">
        <f>AI60</f>
        <v/>
      </c>
      <c r="F60" s="41" t="n"/>
      <c r="G60" s="41" t="n"/>
      <c r="H60" s="55">
        <f>AJ60</f>
        <v/>
      </c>
      <c r="I60" s="41" t="n"/>
      <c r="J60" s="41" t="n"/>
      <c r="K60" s="52">
        <f>AM60</f>
        <v/>
      </c>
      <c r="L60" s="41" t="n"/>
      <c r="M60" s="41" t="n"/>
      <c r="N60" s="57">
        <f>AN60</f>
        <v/>
      </c>
      <c r="O60" s="41" t="n"/>
      <c r="P60" s="41" t="n"/>
      <c r="Q60" s="53">
        <f>AO60</f>
        <v/>
      </c>
      <c r="R60" s="41" t="n"/>
      <c r="S60" s="41" t="n"/>
      <c r="T60" s="57">
        <f>IF(AR60="","-",AR60)</f>
        <v/>
      </c>
      <c r="U60" s="41" t="n"/>
      <c r="V60" s="57">
        <f>IF(AT60="","-",AT60)</f>
        <v/>
      </c>
      <c r="W60" s="41" t="n"/>
      <c r="X60" s="55">
        <f>AU60</f>
        <v/>
      </c>
      <c r="Y60" s="41" t="n"/>
      <c r="Z60" s="66">
        <f>AV60</f>
        <v/>
      </c>
      <c r="AA60" s="41" t="n"/>
      <c r="AB60" s="41" t="n"/>
      <c r="AC60" s="53">
        <f>AW60</f>
        <v/>
      </c>
      <c r="AD60" s="41" t="n"/>
      <c r="AE60" s="41" t="n"/>
      <c r="AF60" s="15" t="n"/>
      <c r="AI60" s="67" t="n">
        <v>48</v>
      </c>
      <c r="AJ60" s="67" t="n">
        <v>49.5</v>
      </c>
      <c r="AK60" s="68">
        <f>AJ60-AI60</f>
        <v/>
      </c>
      <c r="AL60" s="68">
        <f>(AI60+AJ60)/2</f>
        <v/>
      </c>
      <c r="AM60" s="67" t="inlineStr">
        <is>
          <t>Clay</t>
        </is>
      </c>
      <c r="AN60" s="67" t="n">
        <v>31</v>
      </c>
      <c r="AO60" s="68">
        <f>IF(AL60&gt;$AA$19,$AA$21,$AA$20)</f>
        <v/>
      </c>
      <c r="AP60" s="68">
        <f>AP59+AO60*AK60</f>
        <v/>
      </c>
      <c r="AQ60" s="68">
        <f>AP60-AO60*AK60/2-10*MAX(AL60-$AA$19,0)</f>
        <v/>
      </c>
      <c r="AR60" s="67" t="n">
        <v>29.665</v>
      </c>
      <c r="AS60" s="67" t="n">
        <v>19.806</v>
      </c>
      <c r="AT60" s="68">
        <f>IF(AR60="","",AR60-AS60)</f>
        <v/>
      </c>
      <c r="AU60" s="67" t="n">
        <v>0.681</v>
      </c>
      <c r="AV60" s="68">
        <f>IF(AM60="Sand",0,Input!$AA$31*AN60)</f>
        <v/>
      </c>
      <c r="AW60" s="68">
        <f>IF(AM60="Sand",27.1+0.3*MIN(Input!$AA$32*AN60,60)-0.00054*MIN(Input!$AA$32*AN60,60)^2,MIN(MAX(DEGREES(ASIN(0.8-0.094*LN(MAX(IF(AT60="",10,AT60),5)))),20),30))</f>
        <v/>
      </c>
      <c r="AX60" s="68">
        <f>IF(AM60="Sand",Input!$AA$33*Input!$AA$32*AN60,Input!$AA$34*AV60)</f>
        <v/>
      </c>
      <c r="AY60" s="68">
        <f>IF(AM60="Sand",Input!$AA$35,0.5)</f>
        <v/>
      </c>
      <c r="AZ60" s="68">
        <f>Input!$AA$15/2/AL60</f>
        <v/>
      </c>
      <c r="BA60" s="68">
        <f>Input!$AA$16/2/AL60</f>
        <v/>
      </c>
      <c r="BB60" s="68">
        <f>1/(4*PI())*(2*AZ60*BA60*SQRT(AZ60^2+BA60^2+1)/(AZ60^2+BA60^2+1+AZ60^2*BA60^2)*(AZ60^2+BA60^2+2)/(AZ60^2+BA60^2+1)+ATAN2(AZ60^2+BA60^2+1-AZ60^2*BA60^2,2*AZ60*BA60*SQRT(AZ60^2+BA60^2+1)))</f>
        <v/>
      </c>
      <c r="BC60" s="68">
        <f>4*Input!$AA$14*BB60</f>
        <v/>
      </c>
      <c r="BD60" s="68">
        <f>((Input!$AA$16/Input!$AA$15)*LN((1+SQRT((Input!$AA$16/Input!$AA$15)^2+1))*SQRT((Input!$AA$16/Input!$AA$15)^2+(AJ60/(Input!$AA$15/2))^2)/((Input!$AA$16/Input!$AA$15)*(1+SQRT((Input!$AA$16/Input!$AA$15)^2+(AJ60/(Input!$AA$15/2))^2+1))))+LN(((Input!$AA$16/Input!$AA$15)+SQRT((Input!$AA$16/Input!$AA$15)^2+1))*SQRT(1+(AJ60/(Input!$AA$15/2))^2)/((Input!$AA$16/Input!$AA$15)+SQRT((Input!$AA$16/Input!$AA$15)^2+(AJ60/(Input!$AA$15/2))^2+1))))/PI()</f>
        <v/>
      </c>
      <c r="BE60" s="68">
        <f>(AJ60/(Input!$AA$15/2))/(2*PI())*ATAN((Input!$AA$16/Input!$AA$15)/((AJ60/(Input!$AA$15/2))*SQRT((Input!$AA$16/Input!$AA$15)^2+(AJ60/(Input!$AA$15/2))^2+1)))</f>
        <v/>
      </c>
      <c r="BF60" s="68">
        <f>MAX(0,AJ60-MAX(AI60,$AA$22))/AK60*IF(BC60&gt;=Input!$AA$21*AQ60,1,0)</f>
        <v/>
      </c>
      <c r="BG60" s="68">
        <f>4*Input!$AA$14*(Input!$AA$15/2)*(1-AY60^2)/AX60*((BD60-BD59)+(1-2*AY60)/(1-AY60)*(BE60-BE59))*1000*BF60</f>
        <v/>
      </c>
      <c r="BH60" s="68">
        <f>IF(AM60="Sand",0,0.009*(AR60-10))</f>
        <v/>
      </c>
      <c r="BI60" s="68">
        <f>BH60*Input!$AA$36</f>
        <v/>
      </c>
      <c r="BJ60" s="68">
        <f>IF(AM60="Sand",0,MAX(AV60/Input!$AA$37,AQ60))</f>
        <v/>
      </c>
      <c r="BK60" s="68">
        <f>IF(AM60="Sand",0,1000*AK60/(1+AU60)*IF(AQ60+BC60&lt;=BJ60,BI60*LOG10((AQ60+BC60)/AQ60),BI60*LOG10(BJ60/AQ60)+BH60*LOG10((AQ60+BC60)/BJ60)))*BF60</f>
        <v/>
      </c>
      <c r="BL60" s="68">
        <f>IF(AM60="Sand",0,10^(INDEX(Input!$Q$48:$Q$54,MIN(MATCH(MIN(MAX(AR60,30),120),Input!$C$48:$C$54,1),6))+(MIN(MAX(AR60,30),120)-INDEX(Input!$C$48:$C$54,MIN(MATCH(MIN(MAX(AR60,30),120),Input!$C$48:$C$54,1),6)))/(INDEX(Input!$C$48:$C$54,MIN(MATCH(MIN(MAX(AR60,30),120),Input!$C$48:$C$54,1),6)+1)-INDEX(Input!$C$48:$C$54,MIN(MATCH(MIN(MAX(AR60,30),120),Input!$C$48:$C$54,1),6)))*(INDEX(Input!$Q$48:$Q$54,MIN(MATCH(MIN(MAX(AR60,30),120),Input!$C$48:$C$54,1),6)+1)-INDEX(Input!$Q$48:$Q$54,MIN(MATCH(MIN(MAX(AR60,30),120),Input!$C$48:$C$54,1),6)))))</f>
        <v/>
      </c>
      <c r="BM60" s="68">
        <f>IF(OR(AM60="Sand",BF60=0),0,Input!$AA$38*(AK60/2)^2/(BL60*1E-4*31536000))</f>
        <v/>
      </c>
      <c r="BN60" s="68">
        <f>MAX(0,MIN(AJ60,Input!$AA$20)-AI60)</f>
        <v/>
      </c>
      <c r="BO60" s="68">
        <f>MAX(0,MIN(AJ60,Input!$AA$20)-MAX(AI60,$AA$22))</f>
        <v/>
      </c>
      <c r="BP60" s="68">
        <f>MAX(0,MIN(AJ60,$AA$225)-AI60)</f>
        <v/>
      </c>
      <c r="BQ60" s="68" t="inlineStr">
        <is>
          <t>LL/PL/e0 = borehole average</t>
        </is>
      </c>
    </row>
    <row r="61">
      <c r="B61" s="9" t="n"/>
      <c r="C61" s="57" t="n">
        <v>34</v>
      </c>
      <c r="D61" s="41" t="n"/>
      <c r="E61" s="55">
        <f>AI61</f>
        <v/>
      </c>
      <c r="F61" s="41" t="n"/>
      <c r="G61" s="41" t="n"/>
      <c r="H61" s="55">
        <f>AJ61</f>
        <v/>
      </c>
      <c r="I61" s="41" t="n"/>
      <c r="J61" s="41" t="n"/>
      <c r="K61" s="52">
        <f>AM61</f>
        <v/>
      </c>
      <c r="L61" s="41" t="n"/>
      <c r="M61" s="41" t="n"/>
      <c r="N61" s="57">
        <f>AN61</f>
        <v/>
      </c>
      <c r="O61" s="41" t="n"/>
      <c r="P61" s="41" t="n"/>
      <c r="Q61" s="53">
        <f>AO61</f>
        <v/>
      </c>
      <c r="R61" s="41" t="n"/>
      <c r="S61" s="41" t="n"/>
      <c r="T61" s="57">
        <f>IF(AR61="","-",AR61)</f>
        <v/>
      </c>
      <c r="U61" s="41" t="n"/>
      <c r="V61" s="57">
        <f>IF(AT61="","-",AT61)</f>
        <v/>
      </c>
      <c r="W61" s="41" t="n"/>
      <c r="X61" s="55">
        <f>AU61</f>
        <v/>
      </c>
      <c r="Y61" s="41" t="n"/>
      <c r="Z61" s="66">
        <f>AV61</f>
        <v/>
      </c>
      <c r="AA61" s="41" t="n"/>
      <c r="AB61" s="41" t="n"/>
      <c r="AC61" s="53">
        <f>AW61</f>
        <v/>
      </c>
      <c r="AD61" s="41" t="n"/>
      <c r="AE61" s="41" t="n"/>
      <c r="AF61" s="15" t="n"/>
      <c r="AI61" s="67" t="n">
        <v>49.5</v>
      </c>
      <c r="AJ61" s="67" t="n">
        <v>51</v>
      </c>
      <c r="AK61" s="68">
        <f>AJ61-AI61</f>
        <v/>
      </c>
      <c r="AL61" s="68">
        <f>(AI61+AJ61)/2</f>
        <v/>
      </c>
      <c r="AM61" s="67" t="inlineStr">
        <is>
          <t>Sand</t>
        </is>
      </c>
      <c r="AN61" s="67" t="n">
        <v>30</v>
      </c>
      <c r="AO61" s="68">
        <f>IF(AL61&gt;$AA$19,$AA$21,$AA$20)</f>
        <v/>
      </c>
      <c r="AP61" s="68">
        <f>AP60+AO61*AK61</f>
        <v/>
      </c>
      <c r="AQ61" s="68">
        <f>AP61-AO61*AK61/2-10*MAX(AL61-$AA$19,0)</f>
        <v/>
      </c>
      <c r="AR61" s="67" t="n"/>
      <c r="AS61" s="67" t="n"/>
      <c r="AT61" s="68">
        <f>IF(AR61="","",AR61-AS61)</f>
        <v/>
      </c>
      <c r="AU61" s="67" t="n">
        <v>0.357</v>
      </c>
      <c r="AV61" s="68">
        <f>IF(AM61="Sand",0,Input!$AA$31*AN61)</f>
        <v/>
      </c>
      <c r="AW61" s="68">
        <f>IF(AM61="Sand",27.1+0.3*MIN(Input!$AA$32*AN61,60)-0.00054*MIN(Input!$AA$32*AN61,60)^2,MIN(MAX(DEGREES(ASIN(0.8-0.094*LN(MAX(IF(AT61="",10,AT61),5)))),20),30))</f>
        <v/>
      </c>
      <c r="AX61" s="68">
        <f>IF(AM61="Sand",Input!$AA$33*Input!$AA$32*AN61,Input!$AA$34*AV61)</f>
        <v/>
      </c>
      <c r="AY61" s="68">
        <f>IF(AM61="Sand",Input!$AA$35,0.5)</f>
        <v/>
      </c>
      <c r="AZ61" s="68">
        <f>Input!$AA$15/2/AL61</f>
        <v/>
      </c>
      <c r="BA61" s="68">
        <f>Input!$AA$16/2/AL61</f>
        <v/>
      </c>
      <c r="BB61" s="68">
        <f>1/(4*PI())*(2*AZ61*BA61*SQRT(AZ61^2+BA61^2+1)/(AZ61^2+BA61^2+1+AZ61^2*BA61^2)*(AZ61^2+BA61^2+2)/(AZ61^2+BA61^2+1)+ATAN2(AZ61^2+BA61^2+1-AZ61^2*BA61^2,2*AZ61*BA61*SQRT(AZ61^2+BA61^2+1)))</f>
        <v/>
      </c>
      <c r="BC61" s="68">
        <f>4*Input!$AA$14*BB61</f>
        <v/>
      </c>
      <c r="BD61" s="68">
        <f>((Input!$AA$16/Input!$AA$15)*LN((1+SQRT((Input!$AA$16/Input!$AA$15)^2+1))*SQRT((Input!$AA$16/Input!$AA$15)^2+(AJ61/(Input!$AA$15/2))^2)/((Input!$AA$16/Input!$AA$15)*(1+SQRT((Input!$AA$16/Input!$AA$15)^2+(AJ61/(Input!$AA$15/2))^2+1))))+LN(((Input!$AA$16/Input!$AA$15)+SQRT((Input!$AA$16/Input!$AA$15)^2+1))*SQRT(1+(AJ61/(Input!$AA$15/2))^2)/((Input!$AA$16/Input!$AA$15)+SQRT((Input!$AA$16/Input!$AA$15)^2+(AJ61/(Input!$AA$15/2))^2+1))))/PI()</f>
        <v/>
      </c>
      <c r="BE61" s="68">
        <f>(AJ61/(Input!$AA$15/2))/(2*PI())*ATAN((Input!$AA$16/Input!$AA$15)/((AJ61/(Input!$AA$15/2))*SQRT((Input!$AA$16/Input!$AA$15)^2+(AJ61/(Input!$AA$15/2))^2+1)))</f>
        <v/>
      </c>
      <c r="BF61" s="68">
        <f>MAX(0,AJ61-MAX(AI61,$AA$22))/AK61*IF(BC61&gt;=Input!$AA$21*AQ61,1,0)</f>
        <v/>
      </c>
      <c r="BG61" s="68">
        <f>4*Input!$AA$14*(Input!$AA$15/2)*(1-AY61^2)/AX61*((BD61-BD60)+(1-2*AY61)/(1-AY61)*(BE61-BE60))*1000*BF61</f>
        <v/>
      </c>
      <c r="BH61" s="68">
        <f>IF(AM61="Sand",0,0.009*(AR61-10))</f>
        <v/>
      </c>
      <c r="BI61" s="68">
        <f>BH61*Input!$AA$36</f>
        <v/>
      </c>
      <c r="BJ61" s="68">
        <f>IF(AM61="Sand",0,MAX(AV61/Input!$AA$37,AQ61))</f>
        <v/>
      </c>
      <c r="BK61" s="68">
        <f>IF(AM61="Sand",0,1000*AK61/(1+AU61)*IF(AQ61+BC61&lt;=BJ61,BI61*LOG10((AQ61+BC61)/AQ61),BI61*LOG10(BJ61/AQ61)+BH61*LOG10((AQ61+BC61)/BJ61)))*BF61</f>
        <v/>
      </c>
      <c r="BL61" s="68">
        <f>IF(AM61="Sand",0,10^(INDEX(Input!$Q$48:$Q$54,MIN(MATCH(MIN(MAX(AR61,30),120),Input!$C$48:$C$54,1),6))+(MIN(MAX(AR61,30),120)-INDEX(Input!$C$48:$C$54,MIN(MATCH(MIN(MAX(AR61,30),120),Input!$C$48:$C$54,1),6)))/(INDEX(Input!$C$48:$C$54,MIN(MATCH(MIN(MAX(AR61,30),120),Input!$C$48:$C$54,1),6)+1)-INDEX(Input!$C$48:$C$54,MIN(MATCH(MIN(MAX(AR61,30),120),Input!$C$48:$C$54,1),6)))*(INDEX(Input!$Q$48:$Q$54,MIN(MATCH(MIN(MAX(AR61,30),120),Input!$C$48:$C$54,1),6)+1)-INDEX(Input!$Q$48:$Q$54,MIN(MATCH(MIN(MAX(AR61,30),120),Input!$C$48:$C$54,1),6)))))</f>
        <v/>
      </c>
      <c r="BM61" s="68">
        <f>IF(OR(AM61="Sand",BF61=0),0,Input!$AA$38*(AK61/2)^2/(BL61*1E-4*31536000))</f>
        <v/>
      </c>
      <c r="BN61" s="68">
        <f>MAX(0,MIN(AJ61,Input!$AA$20)-AI61)</f>
        <v/>
      </c>
      <c r="BO61" s="68">
        <f>MAX(0,MIN(AJ61,Input!$AA$20)-MAX(AI61,$AA$22))</f>
        <v/>
      </c>
      <c r="BP61" s="68">
        <f>MAX(0,MIN(AJ61,$AA$225)-AI61)</f>
        <v/>
      </c>
      <c r="BQ61" s="68" t="inlineStr"/>
    </row>
    <row r="62">
      <c r="B62" s="9" t="n"/>
      <c r="C62" s="57" t="n">
        <v>35</v>
      </c>
      <c r="D62" s="41" t="n"/>
      <c r="E62" s="55">
        <f>AI62</f>
        <v/>
      </c>
      <c r="F62" s="41" t="n"/>
      <c r="G62" s="41" t="n"/>
      <c r="H62" s="55">
        <f>AJ62</f>
        <v/>
      </c>
      <c r="I62" s="41" t="n"/>
      <c r="J62" s="41" t="n"/>
      <c r="K62" s="52">
        <f>AM62</f>
        <v/>
      </c>
      <c r="L62" s="41" t="n"/>
      <c r="M62" s="41" t="n"/>
      <c r="N62" s="57">
        <f>AN62</f>
        <v/>
      </c>
      <c r="O62" s="41" t="n"/>
      <c r="P62" s="41" t="n"/>
      <c r="Q62" s="53">
        <f>AO62</f>
        <v/>
      </c>
      <c r="R62" s="41" t="n"/>
      <c r="S62" s="41" t="n"/>
      <c r="T62" s="57">
        <f>IF(AR62="","-",AR62)</f>
        <v/>
      </c>
      <c r="U62" s="41" t="n"/>
      <c r="V62" s="57">
        <f>IF(AT62="","-",AT62)</f>
        <v/>
      </c>
      <c r="W62" s="41" t="n"/>
      <c r="X62" s="55">
        <f>AU62</f>
        <v/>
      </c>
      <c r="Y62" s="41" t="n"/>
      <c r="Z62" s="66">
        <f>AV62</f>
        <v/>
      </c>
      <c r="AA62" s="41" t="n"/>
      <c r="AB62" s="41" t="n"/>
      <c r="AC62" s="53">
        <f>AW62</f>
        <v/>
      </c>
      <c r="AD62" s="41" t="n"/>
      <c r="AE62" s="41" t="n"/>
      <c r="AF62" s="15" t="n"/>
      <c r="AI62" s="67" t="n">
        <v>51</v>
      </c>
      <c r="AJ62" s="67" t="n">
        <v>52.5</v>
      </c>
      <c r="AK62" s="68">
        <f>AJ62-AI62</f>
        <v/>
      </c>
      <c r="AL62" s="68">
        <f>(AI62+AJ62)/2</f>
        <v/>
      </c>
      <c r="AM62" s="67" t="inlineStr">
        <is>
          <t>Sand</t>
        </is>
      </c>
      <c r="AN62" s="67" t="n">
        <v>34</v>
      </c>
      <c r="AO62" s="68">
        <f>IF(AL62&gt;$AA$19,$AA$21,$AA$20)</f>
        <v/>
      </c>
      <c r="AP62" s="68">
        <f>AP61+AO62*AK62</f>
        <v/>
      </c>
      <c r="AQ62" s="68">
        <f>AP62-AO62*AK62/2-10*MAX(AL62-$AA$19,0)</f>
        <v/>
      </c>
      <c r="AR62" s="67" t="n"/>
      <c r="AS62" s="67" t="n"/>
      <c r="AT62" s="68">
        <f>IF(AR62="","",AR62-AS62)</f>
        <v/>
      </c>
      <c r="AU62" s="67" t="n">
        <v>0.65</v>
      </c>
      <c r="AV62" s="68">
        <f>IF(AM62="Sand",0,Input!$AA$31*AN62)</f>
        <v/>
      </c>
      <c r="AW62" s="68">
        <f>IF(AM62="Sand",27.1+0.3*MIN(Input!$AA$32*AN62,60)-0.00054*MIN(Input!$AA$32*AN62,60)^2,MIN(MAX(DEGREES(ASIN(0.8-0.094*LN(MAX(IF(AT62="",10,AT62),5)))),20),30))</f>
        <v/>
      </c>
      <c r="AX62" s="68">
        <f>IF(AM62="Sand",Input!$AA$33*Input!$AA$32*AN62,Input!$AA$34*AV62)</f>
        <v/>
      </c>
      <c r="AY62" s="68">
        <f>IF(AM62="Sand",Input!$AA$35,0.5)</f>
        <v/>
      </c>
      <c r="AZ62" s="68">
        <f>Input!$AA$15/2/AL62</f>
        <v/>
      </c>
      <c r="BA62" s="68">
        <f>Input!$AA$16/2/AL62</f>
        <v/>
      </c>
      <c r="BB62" s="68">
        <f>1/(4*PI())*(2*AZ62*BA62*SQRT(AZ62^2+BA62^2+1)/(AZ62^2+BA62^2+1+AZ62^2*BA62^2)*(AZ62^2+BA62^2+2)/(AZ62^2+BA62^2+1)+ATAN2(AZ62^2+BA62^2+1-AZ62^2*BA62^2,2*AZ62*BA62*SQRT(AZ62^2+BA62^2+1)))</f>
        <v/>
      </c>
      <c r="BC62" s="68">
        <f>4*Input!$AA$14*BB62</f>
        <v/>
      </c>
      <c r="BD62" s="68">
        <f>((Input!$AA$16/Input!$AA$15)*LN((1+SQRT((Input!$AA$16/Input!$AA$15)^2+1))*SQRT((Input!$AA$16/Input!$AA$15)^2+(AJ62/(Input!$AA$15/2))^2)/((Input!$AA$16/Input!$AA$15)*(1+SQRT((Input!$AA$16/Input!$AA$15)^2+(AJ62/(Input!$AA$15/2))^2+1))))+LN(((Input!$AA$16/Input!$AA$15)+SQRT((Input!$AA$16/Input!$AA$15)^2+1))*SQRT(1+(AJ62/(Input!$AA$15/2))^2)/((Input!$AA$16/Input!$AA$15)+SQRT((Input!$AA$16/Input!$AA$15)^2+(AJ62/(Input!$AA$15/2))^2+1))))/PI()</f>
        <v/>
      </c>
      <c r="BE62" s="68">
        <f>(AJ62/(Input!$AA$15/2))/(2*PI())*ATAN((Input!$AA$16/Input!$AA$15)/((AJ62/(Input!$AA$15/2))*SQRT((Input!$AA$16/Input!$AA$15)^2+(AJ62/(Input!$AA$15/2))^2+1)))</f>
        <v/>
      </c>
      <c r="BF62" s="68">
        <f>MAX(0,AJ62-MAX(AI62,$AA$22))/AK62*IF(BC62&gt;=Input!$AA$21*AQ62,1,0)</f>
        <v/>
      </c>
      <c r="BG62" s="68">
        <f>4*Input!$AA$14*(Input!$AA$15/2)*(1-AY62^2)/AX62*((BD62-BD61)+(1-2*AY62)/(1-AY62)*(BE62-BE61))*1000*BF62</f>
        <v/>
      </c>
      <c r="BH62" s="68">
        <f>IF(AM62="Sand",0,0.009*(AR62-10))</f>
        <v/>
      </c>
      <c r="BI62" s="68">
        <f>BH62*Input!$AA$36</f>
        <v/>
      </c>
      <c r="BJ62" s="68">
        <f>IF(AM62="Sand",0,MAX(AV62/Input!$AA$37,AQ62))</f>
        <v/>
      </c>
      <c r="BK62" s="68">
        <f>IF(AM62="Sand",0,1000*AK62/(1+AU62)*IF(AQ62+BC62&lt;=BJ62,BI62*LOG10((AQ62+BC62)/AQ62),BI62*LOG10(BJ62/AQ62)+BH62*LOG10((AQ62+BC62)/BJ62)))*BF62</f>
        <v/>
      </c>
      <c r="BL62" s="68">
        <f>IF(AM62="Sand",0,10^(INDEX(Input!$Q$48:$Q$54,MIN(MATCH(MIN(MAX(AR62,30),120),Input!$C$48:$C$54,1),6))+(MIN(MAX(AR62,30),120)-INDEX(Input!$C$48:$C$54,MIN(MATCH(MIN(MAX(AR62,30),120),Input!$C$48:$C$54,1),6)))/(INDEX(Input!$C$48:$C$54,MIN(MATCH(MIN(MAX(AR62,30),120),Input!$C$48:$C$54,1),6)+1)-INDEX(Input!$C$48:$C$54,MIN(MATCH(MIN(MAX(AR62,30),120),Input!$C$48:$C$54,1),6)))*(INDEX(Input!$Q$48:$Q$54,MIN(MATCH(MIN(MAX(AR62,30),120),Input!$C$48:$C$54,1),6)+1)-INDEX(Input!$Q$48:$Q$54,MIN(MATCH(MIN(MAX(AR62,30),120),Input!$C$48:$C$54,1),6)))))</f>
        <v/>
      </c>
      <c r="BM62" s="68">
        <f>IF(OR(AM62="Sand",BF62=0),0,Input!$AA$38*(AK62/2)^2/(BL62*1E-4*31536000))</f>
        <v/>
      </c>
      <c r="BN62" s="68">
        <f>MAX(0,MIN(AJ62,Input!$AA$20)-AI62)</f>
        <v/>
      </c>
      <c r="BO62" s="68">
        <f>MAX(0,MIN(AJ62,Input!$AA$20)-MAX(AI62,$AA$22))</f>
        <v/>
      </c>
      <c r="BP62" s="68">
        <f>MAX(0,MIN(AJ62,$AA$225)-AI62)</f>
        <v/>
      </c>
      <c r="BQ62" s="68" t="inlineStr"/>
    </row>
    <row r="63">
      <c r="B63" s="9" t="n"/>
      <c r="C63" s="57" t="n">
        <v>36</v>
      </c>
      <c r="D63" s="41" t="n"/>
      <c r="E63" s="55">
        <f>AI63</f>
        <v/>
      </c>
      <c r="F63" s="41" t="n"/>
      <c r="G63" s="41" t="n"/>
      <c r="H63" s="55">
        <f>AJ63</f>
        <v/>
      </c>
      <c r="I63" s="41" t="n"/>
      <c r="J63" s="41" t="n"/>
      <c r="K63" s="52">
        <f>AM63</f>
        <v/>
      </c>
      <c r="L63" s="41" t="n"/>
      <c r="M63" s="41" t="n"/>
      <c r="N63" s="57">
        <f>AN63</f>
        <v/>
      </c>
      <c r="O63" s="41" t="n"/>
      <c r="P63" s="41" t="n"/>
      <c r="Q63" s="53">
        <f>AO63</f>
        <v/>
      </c>
      <c r="R63" s="41" t="n"/>
      <c r="S63" s="41" t="n"/>
      <c r="T63" s="57">
        <f>IF(AR63="","-",AR63)</f>
        <v/>
      </c>
      <c r="U63" s="41" t="n"/>
      <c r="V63" s="57">
        <f>IF(AT63="","-",AT63)</f>
        <v/>
      </c>
      <c r="W63" s="41" t="n"/>
      <c r="X63" s="55">
        <f>AU63</f>
        <v/>
      </c>
      <c r="Y63" s="41" t="n"/>
      <c r="Z63" s="66">
        <f>AV63</f>
        <v/>
      </c>
      <c r="AA63" s="41" t="n"/>
      <c r="AB63" s="41" t="n"/>
      <c r="AC63" s="53">
        <f>AW63</f>
        <v/>
      </c>
      <c r="AD63" s="41" t="n"/>
      <c r="AE63" s="41" t="n"/>
      <c r="AF63" s="15" t="n"/>
      <c r="AI63" s="67" t="n">
        <v>52.5</v>
      </c>
      <c r="AJ63" s="67" t="n">
        <v>54</v>
      </c>
      <c r="AK63" s="68">
        <f>AJ63-AI63</f>
        <v/>
      </c>
      <c r="AL63" s="68">
        <f>(AI63+AJ63)/2</f>
        <v/>
      </c>
      <c r="AM63" s="67" t="inlineStr">
        <is>
          <t>Clay</t>
        </is>
      </c>
      <c r="AN63" s="67" t="n">
        <v>31</v>
      </c>
      <c r="AO63" s="68">
        <f>IF(AL63&gt;$AA$19,$AA$21,$AA$20)</f>
        <v/>
      </c>
      <c r="AP63" s="68">
        <f>AP62+AO63*AK63</f>
        <v/>
      </c>
      <c r="AQ63" s="68">
        <f>AP63-AO63*AK63/2-10*MAX(AL63-$AA$19,0)</f>
        <v/>
      </c>
      <c r="AR63" s="67" t="n">
        <v>29.665</v>
      </c>
      <c r="AS63" s="67" t="n">
        <v>19.806</v>
      </c>
      <c r="AT63" s="68">
        <f>IF(AR63="","",AR63-AS63)</f>
        <v/>
      </c>
      <c r="AU63" s="67" t="n">
        <v>0.681</v>
      </c>
      <c r="AV63" s="68">
        <f>IF(AM63="Sand",0,Input!$AA$31*AN63)</f>
        <v/>
      </c>
      <c r="AW63" s="68">
        <f>IF(AM63="Sand",27.1+0.3*MIN(Input!$AA$32*AN63,60)-0.00054*MIN(Input!$AA$32*AN63,60)^2,MIN(MAX(DEGREES(ASIN(0.8-0.094*LN(MAX(IF(AT63="",10,AT63),5)))),20),30))</f>
        <v/>
      </c>
      <c r="AX63" s="68">
        <f>IF(AM63="Sand",Input!$AA$33*Input!$AA$32*AN63,Input!$AA$34*AV63)</f>
        <v/>
      </c>
      <c r="AY63" s="68">
        <f>IF(AM63="Sand",Input!$AA$35,0.5)</f>
        <v/>
      </c>
      <c r="AZ63" s="68">
        <f>Input!$AA$15/2/AL63</f>
        <v/>
      </c>
      <c r="BA63" s="68">
        <f>Input!$AA$16/2/AL63</f>
        <v/>
      </c>
      <c r="BB63" s="68">
        <f>1/(4*PI())*(2*AZ63*BA63*SQRT(AZ63^2+BA63^2+1)/(AZ63^2+BA63^2+1+AZ63^2*BA63^2)*(AZ63^2+BA63^2+2)/(AZ63^2+BA63^2+1)+ATAN2(AZ63^2+BA63^2+1-AZ63^2*BA63^2,2*AZ63*BA63*SQRT(AZ63^2+BA63^2+1)))</f>
        <v/>
      </c>
      <c r="BC63" s="68">
        <f>4*Input!$AA$14*BB63</f>
        <v/>
      </c>
      <c r="BD63" s="68">
        <f>((Input!$AA$16/Input!$AA$15)*LN((1+SQRT((Input!$AA$16/Input!$AA$15)^2+1))*SQRT((Input!$AA$16/Input!$AA$15)^2+(AJ63/(Input!$AA$15/2))^2)/((Input!$AA$16/Input!$AA$15)*(1+SQRT((Input!$AA$16/Input!$AA$15)^2+(AJ63/(Input!$AA$15/2))^2+1))))+LN(((Input!$AA$16/Input!$AA$15)+SQRT((Input!$AA$16/Input!$AA$15)^2+1))*SQRT(1+(AJ63/(Input!$AA$15/2))^2)/((Input!$AA$16/Input!$AA$15)+SQRT((Input!$AA$16/Input!$AA$15)^2+(AJ63/(Input!$AA$15/2))^2+1))))/PI()</f>
        <v/>
      </c>
      <c r="BE63" s="68">
        <f>(AJ63/(Input!$AA$15/2))/(2*PI())*ATAN((Input!$AA$16/Input!$AA$15)/((AJ63/(Input!$AA$15/2))*SQRT((Input!$AA$16/Input!$AA$15)^2+(AJ63/(Input!$AA$15/2))^2+1)))</f>
        <v/>
      </c>
      <c r="BF63" s="68">
        <f>MAX(0,AJ63-MAX(AI63,$AA$22))/AK63*IF(BC63&gt;=Input!$AA$21*AQ63,1,0)</f>
        <v/>
      </c>
      <c r="BG63" s="68">
        <f>4*Input!$AA$14*(Input!$AA$15/2)*(1-AY63^2)/AX63*((BD63-BD62)+(1-2*AY63)/(1-AY63)*(BE63-BE62))*1000*BF63</f>
        <v/>
      </c>
      <c r="BH63" s="68">
        <f>IF(AM63="Sand",0,0.009*(AR63-10))</f>
        <v/>
      </c>
      <c r="BI63" s="68">
        <f>BH63*Input!$AA$36</f>
        <v/>
      </c>
      <c r="BJ63" s="68">
        <f>IF(AM63="Sand",0,MAX(AV63/Input!$AA$37,AQ63))</f>
        <v/>
      </c>
      <c r="BK63" s="68">
        <f>IF(AM63="Sand",0,1000*AK63/(1+AU63)*IF(AQ63+BC63&lt;=BJ63,BI63*LOG10((AQ63+BC63)/AQ63),BI63*LOG10(BJ63/AQ63)+BH63*LOG10((AQ63+BC63)/BJ63)))*BF63</f>
        <v/>
      </c>
      <c r="BL63" s="68">
        <f>IF(AM63="Sand",0,10^(INDEX(Input!$Q$48:$Q$54,MIN(MATCH(MIN(MAX(AR63,30),120),Input!$C$48:$C$54,1),6))+(MIN(MAX(AR63,30),120)-INDEX(Input!$C$48:$C$54,MIN(MATCH(MIN(MAX(AR63,30),120),Input!$C$48:$C$54,1),6)))/(INDEX(Input!$C$48:$C$54,MIN(MATCH(MIN(MAX(AR63,30),120),Input!$C$48:$C$54,1),6)+1)-INDEX(Input!$C$48:$C$54,MIN(MATCH(MIN(MAX(AR63,30),120),Input!$C$48:$C$54,1),6)))*(INDEX(Input!$Q$48:$Q$54,MIN(MATCH(MIN(MAX(AR63,30),120),Input!$C$48:$C$54,1),6)+1)-INDEX(Input!$Q$48:$Q$54,MIN(MATCH(MIN(MAX(AR63,30),120),Input!$C$48:$C$54,1),6)))))</f>
        <v/>
      </c>
      <c r="BM63" s="68">
        <f>IF(OR(AM63="Sand",BF63=0),0,Input!$AA$38*(AK63/2)^2/(BL63*1E-4*31536000))</f>
        <v/>
      </c>
      <c r="BN63" s="68">
        <f>MAX(0,MIN(AJ63,Input!$AA$20)-AI63)</f>
        <v/>
      </c>
      <c r="BO63" s="68">
        <f>MAX(0,MIN(AJ63,Input!$AA$20)-MAX(AI63,$AA$22))</f>
        <v/>
      </c>
      <c r="BP63" s="68">
        <f>MAX(0,MIN(AJ63,$AA$225)-AI63)</f>
        <v/>
      </c>
      <c r="BQ63" s="68" t="inlineStr">
        <is>
          <t>LL/PL/e0 = borehole average</t>
        </is>
      </c>
    </row>
    <row r="64">
      <c r="B64" s="9" t="n"/>
      <c r="C64" s="57" t="n">
        <v>37</v>
      </c>
      <c r="D64" s="41" t="n"/>
      <c r="E64" s="55">
        <f>AI64</f>
        <v/>
      </c>
      <c r="F64" s="41" t="n"/>
      <c r="G64" s="41" t="n"/>
      <c r="H64" s="55">
        <f>AJ64</f>
        <v/>
      </c>
      <c r="I64" s="41" t="n"/>
      <c r="J64" s="41" t="n"/>
      <c r="K64" s="52">
        <f>AM64</f>
        <v/>
      </c>
      <c r="L64" s="41" t="n"/>
      <c r="M64" s="41" t="n"/>
      <c r="N64" s="57">
        <f>AN64</f>
        <v/>
      </c>
      <c r="O64" s="41" t="n"/>
      <c r="P64" s="41" t="n"/>
      <c r="Q64" s="53">
        <f>AO64</f>
        <v/>
      </c>
      <c r="R64" s="41" t="n"/>
      <c r="S64" s="41" t="n"/>
      <c r="T64" s="57">
        <f>IF(AR64="","-",AR64)</f>
        <v/>
      </c>
      <c r="U64" s="41" t="n"/>
      <c r="V64" s="57">
        <f>IF(AT64="","-",AT64)</f>
        <v/>
      </c>
      <c r="W64" s="41" t="n"/>
      <c r="X64" s="55">
        <f>AU64</f>
        <v/>
      </c>
      <c r="Y64" s="41" t="n"/>
      <c r="Z64" s="66">
        <f>AV64</f>
        <v/>
      </c>
      <c r="AA64" s="41" t="n"/>
      <c r="AB64" s="41" t="n"/>
      <c r="AC64" s="53">
        <f>AW64</f>
        <v/>
      </c>
      <c r="AD64" s="41" t="n"/>
      <c r="AE64" s="41" t="n"/>
      <c r="AF64" s="15" t="n"/>
      <c r="AI64" s="67" t="n">
        <v>54</v>
      </c>
      <c r="AJ64" s="67" t="n">
        <v>55.5</v>
      </c>
      <c r="AK64" s="68">
        <f>AJ64-AI64</f>
        <v/>
      </c>
      <c r="AL64" s="68">
        <f>(AI64+AJ64)/2</f>
        <v/>
      </c>
      <c r="AM64" s="67" t="inlineStr">
        <is>
          <t>Sand</t>
        </is>
      </c>
      <c r="AN64" s="67" t="n">
        <v>29</v>
      </c>
      <c r="AO64" s="68">
        <f>IF(AL64&gt;$AA$19,$AA$21,$AA$20)</f>
        <v/>
      </c>
      <c r="AP64" s="68">
        <f>AP63+AO64*AK64</f>
        <v/>
      </c>
      <c r="AQ64" s="68">
        <f>AP64-AO64*AK64/2-10*MAX(AL64-$AA$19,0)</f>
        <v/>
      </c>
      <c r="AR64" s="67" t="n"/>
      <c r="AS64" s="67" t="n"/>
      <c r="AT64" s="68">
        <f>IF(AR64="","",AR64-AS64)</f>
        <v/>
      </c>
      <c r="AU64" s="67" t="n">
        <v>0.65</v>
      </c>
      <c r="AV64" s="68">
        <f>IF(AM64="Sand",0,Input!$AA$31*AN64)</f>
        <v/>
      </c>
      <c r="AW64" s="68">
        <f>IF(AM64="Sand",27.1+0.3*MIN(Input!$AA$32*AN64,60)-0.00054*MIN(Input!$AA$32*AN64,60)^2,MIN(MAX(DEGREES(ASIN(0.8-0.094*LN(MAX(IF(AT64="",10,AT64),5)))),20),30))</f>
        <v/>
      </c>
      <c r="AX64" s="68">
        <f>IF(AM64="Sand",Input!$AA$33*Input!$AA$32*AN64,Input!$AA$34*AV64)</f>
        <v/>
      </c>
      <c r="AY64" s="68">
        <f>IF(AM64="Sand",Input!$AA$35,0.5)</f>
        <v/>
      </c>
      <c r="AZ64" s="68">
        <f>Input!$AA$15/2/AL64</f>
        <v/>
      </c>
      <c r="BA64" s="68">
        <f>Input!$AA$16/2/AL64</f>
        <v/>
      </c>
      <c r="BB64" s="68">
        <f>1/(4*PI())*(2*AZ64*BA64*SQRT(AZ64^2+BA64^2+1)/(AZ64^2+BA64^2+1+AZ64^2*BA64^2)*(AZ64^2+BA64^2+2)/(AZ64^2+BA64^2+1)+ATAN2(AZ64^2+BA64^2+1-AZ64^2*BA64^2,2*AZ64*BA64*SQRT(AZ64^2+BA64^2+1)))</f>
        <v/>
      </c>
      <c r="BC64" s="68">
        <f>4*Input!$AA$14*BB64</f>
        <v/>
      </c>
      <c r="BD64" s="68">
        <f>((Input!$AA$16/Input!$AA$15)*LN((1+SQRT((Input!$AA$16/Input!$AA$15)^2+1))*SQRT((Input!$AA$16/Input!$AA$15)^2+(AJ64/(Input!$AA$15/2))^2)/((Input!$AA$16/Input!$AA$15)*(1+SQRT((Input!$AA$16/Input!$AA$15)^2+(AJ64/(Input!$AA$15/2))^2+1))))+LN(((Input!$AA$16/Input!$AA$15)+SQRT((Input!$AA$16/Input!$AA$15)^2+1))*SQRT(1+(AJ64/(Input!$AA$15/2))^2)/((Input!$AA$16/Input!$AA$15)+SQRT((Input!$AA$16/Input!$AA$15)^2+(AJ64/(Input!$AA$15/2))^2+1))))/PI()</f>
        <v/>
      </c>
      <c r="BE64" s="68">
        <f>(AJ64/(Input!$AA$15/2))/(2*PI())*ATAN((Input!$AA$16/Input!$AA$15)/((AJ64/(Input!$AA$15/2))*SQRT((Input!$AA$16/Input!$AA$15)^2+(AJ64/(Input!$AA$15/2))^2+1)))</f>
        <v/>
      </c>
      <c r="BF64" s="68">
        <f>MAX(0,AJ64-MAX(AI64,$AA$22))/AK64*IF(BC64&gt;=Input!$AA$21*AQ64,1,0)</f>
        <v/>
      </c>
      <c r="BG64" s="68">
        <f>4*Input!$AA$14*(Input!$AA$15/2)*(1-AY64^2)/AX64*((BD64-BD63)+(1-2*AY64)/(1-AY64)*(BE64-BE63))*1000*BF64</f>
        <v/>
      </c>
      <c r="BH64" s="68">
        <f>IF(AM64="Sand",0,0.009*(AR64-10))</f>
        <v/>
      </c>
      <c r="BI64" s="68">
        <f>BH64*Input!$AA$36</f>
        <v/>
      </c>
      <c r="BJ64" s="68">
        <f>IF(AM64="Sand",0,MAX(AV64/Input!$AA$37,AQ64))</f>
        <v/>
      </c>
      <c r="BK64" s="68">
        <f>IF(AM64="Sand",0,1000*AK64/(1+AU64)*IF(AQ64+BC64&lt;=BJ64,BI64*LOG10((AQ64+BC64)/AQ64),BI64*LOG10(BJ64/AQ64)+BH64*LOG10((AQ64+BC64)/BJ64)))*BF64</f>
        <v/>
      </c>
      <c r="BL64" s="68">
        <f>IF(AM64="Sand",0,10^(INDEX(Input!$Q$48:$Q$54,MIN(MATCH(MIN(MAX(AR64,30),120),Input!$C$48:$C$54,1),6))+(MIN(MAX(AR64,30),120)-INDEX(Input!$C$48:$C$54,MIN(MATCH(MIN(MAX(AR64,30),120),Input!$C$48:$C$54,1),6)))/(INDEX(Input!$C$48:$C$54,MIN(MATCH(MIN(MAX(AR64,30),120),Input!$C$48:$C$54,1),6)+1)-INDEX(Input!$C$48:$C$54,MIN(MATCH(MIN(MAX(AR64,30),120),Input!$C$48:$C$54,1),6)))*(INDEX(Input!$Q$48:$Q$54,MIN(MATCH(MIN(MAX(AR64,30),120),Input!$C$48:$C$54,1),6)+1)-INDEX(Input!$Q$48:$Q$54,MIN(MATCH(MIN(MAX(AR64,30),120),Input!$C$48:$C$54,1),6)))))</f>
        <v/>
      </c>
      <c r="BM64" s="68">
        <f>IF(OR(AM64="Sand",BF64=0),0,Input!$AA$38*(AK64/2)^2/(BL64*1E-4*31536000))</f>
        <v/>
      </c>
      <c r="BN64" s="68">
        <f>MAX(0,MIN(AJ64,Input!$AA$20)-AI64)</f>
        <v/>
      </c>
      <c r="BO64" s="68">
        <f>MAX(0,MIN(AJ64,Input!$AA$20)-MAX(AI64,$AA$22))</f>
        <v/>
      </c>
      <c r="BP64" s="68">
        <f>MAX(0,MIN(AJ64,$AA$225)-AI64)</f>
        <v/>
      </c>
      <c r="BQ64" s="68" t="inlineStr"/>
    </row>
    <row r="65">
      <c r="B65" s="9" t="n"/>
      <c r="C65" s="57" t="n">
        <v>38</v>
      </c>
      <c r="D65" s="41" t="n"/>
      <c r="E65" s="55">
        <f>AI65</f>
        <v/>
      </c>
      <c r="F65" s="41" t="n"/>
      <c r="G65" s="41" t="n"/>
      <c r="H65" s="55">
        <f>AJ65</f>
        <v/>
      </c>
      <c r="I65" s="41" t="n"/>
      <c r="J65" s="41" t="n"/>
      <c r="K65" s="52">
        <f>AM65</f>
        <v/>
      </c>
      <c r="L65" s="41" t="n"/>
      <c r="M65" s="41" t="n"/>
      <c r="N65" s="57">
        <f>AN65</f>
        <v/>
      </c>
      <c r="O65" s="41" t="n"/>
      <c r="P65" s="41" t="n"/>
      <c r="Q65" s="53">
        <f>AO65</f>
        <v/>
      </c>
      <c r="R65" s="41" t="n"/>
      <c r="S65" s="41" t="n"/>
      <c r="T65" s="57">
        <f>IF(AR65="","-",AR65)</f>
        <v/>
      </c>
      <c r="U65" s="41" t="n"/>
      <c r="V65" s="57">
        <f>IF(AT65="","-",AT65)</f>
        <v/>
      </c>
      <c r="W65" s="41" t="n"/>
      <c r="X65" s="55">
        <f>AU65</f>
        <v/>
      </c>
      <c r="Y65" s="41" t="n"/>
      <c r="Z65" s="66">
        <f>AV65</f>
        <v/>
      </c>
      <c r="AA65" s="41" t="n"/>
      <c r="AB65" s="41" t="n"/>
      <c r="AC65" s="53">
        <f>AW65</f>
        <v/>
      </c>
      <c r="AD65" s="41" t="n"/>
      <c r="AE65" s="41" t="n"/>
      <c r="AF65" s="15" t="n"/>
      <c r="AI65" s="67" t="n">
        <v>55.5</v>
      </c>
      <c r="AJ65" s="67" t="n">
        <v>57</v>
      </c>
      <c r="AK65" s="68">
        <f>AJ65-AI65</f>
        <v/>
      </c>
      <c r="AL65" s="68">
        <f>(AI65+AJ65)/2</f>
        <v/>
      </c>
      <c r="AM65" s="67" t="inlineStr">
        <is>
          <t>Sand</t>
        </is>
      </c>
      <c r="AN65" s="67" t="n">
        <v>25</v>
      </c>
      <c r="AO65" s="68">
        <f>IF(AL65&gt;$AA$19,$AA$21,$AA$20)</f>
        <v/>
      </c>
      <c r="AP65" s="68">
        <f>AP64+AO65*AK65</f>
        <v/>
      </c>
      <c r="AQ65" s="68">
        <f>AP65-AO65*AK65/2-10*MAX(AL65-$AA$19,0)</f>
        <v/>
      </c>
      <c r="AR65" s="67" t="n"/>
      <c r="AS65" s="67" t="n"/>
      <c r="AT65" s="68">
        <f>IF(AR65="","",AR65-AS65)</f>
        <v/>
      </c>
      <c r="AU65" s="67" t="n">
        <v>0.65</v>
      </c>
      <c r="AV65" s="68">
        <f>IF(AM65="Sand",0,Input!$AA$31*AN65)</f>
        <v/>
      </c>
      <c r="AW65" s="68">
        <f>IF(AM65="Sand",27.1+0.3*MIN(Input!$AA$32*AN65,60)-0.00054*MIN(Input!$AA$32*AN65,60)^2,MIN(MAX(DEGREES(ASIN(0.8-0.094*LN(MAX(IF(AT65="",10,AT65),5)))),20),30))</f>
        <v/>
      </c>
      <c r="AX65" s="68">
        <f>IF(AM65="Sand",Input!$AA$33*Input!$AA$32*AN65,Input!$AA$34*AV65)</f>
        <v/>
      </c>
      <c r="AY65" s="68">
        <f>IF(AM65="Sand",Input!$AA$35,0.5)</f>
        <v/>
      </c>
      <c r="AZ65" s="68">
        <f>Input!$AA$15/2/AL65</f>
        <v/>
      </c>
      <c r="BA65" s="68">
        <f>Input!$AA$16/2/AL65</f>
        <v/>
      </c>
      <c r="BB65" s="68">
        <f>1/(4*PI())*(2*AZ65*BA65*SQRT(AZ65^2+BA65^2+1)/(AZ65^2+BA65^2+1+AZ65^2*BA65^2)*(AZ65^2+BA65^2+2)/(AZ65^2+BA65^2+1)+ATAN2(AZ65^2+BA65^2+1-AZ65^2*BA65^2,2*AZ65*BA65*SQRT(AZ65^2+BA65^2+1)))</f>
        <v/>
      </c>
      <c r="BC65" s="68">
        <f>4*Input!$AA$14*BB65</f>
        <v/>
      </c>
      <c r="BD65" s="68">
        <f>((Input!$AA$16/Input!$AA$15)*LN((1+SQRT((Input!$AA$16/Input!$AA$15)^2+1))*SQRT((Input!$AA$16/Input!$AA$15)^2+(AJ65/(Input!$AA$15/2))^2)/((Input!$AA$16/Input!$AA$15)*(1+SQRT((Input!$AA$16/Input!$AA$15)^2+(AJ65/(Input!$AA$15/2))^2+1))))+LN(((Input!$AA$16/Input!$AA$15)+SQRT((Input!$AA$16/Input!$AA$15)^2+1))*SQRT(1+(AJ65/(Input!$AA$15/2))^2)/((Input!$AA$16/Input!$AA$15)+SQRT((Input!$AA$16/Input!$AA$15)^2+(AJ65/(Input!$AA$15/2))^2+1))))/PI()</f>
        <v/>
      </c>
      <c r="BE65" s="68">
        <f>(AJ65/(Input!$AA$15/2))/(2*PI())*ATAN((Input!$AA$16/Input!$AA$15)/((AJ65/(Input!$AA$15/2))*SQRT((Input!$AA$16/Input!$AA$15)^2+(AJ65/(Input!$AA$15/2))^2+1)))</f>
        <v/>
      </c>
      <c r="BF65" s="68">
        <f>MAX(0,AJ65-MAX(AI65,$AA$22))/AK65*IF(BC65&gt;=Input!$AA$21*AQ65,1,0)</f>
        <v/>
      </c>
      <c r="BG65" s="68">
        <f>4*Input!$AA$14*(Input!$AA$15/2)*(1-AY65^2)/AX65*((BD65-BD64)+(1-2*AY65)/(1-AY65)*(BE65-BE64))*1000*BF65</f>
        <v/>
      </c>
      <c r="BH65" s="68">
        <f>IF(AM65="Sand",0,0.009*(AR65-10))</f>
        <v/>
      </c>
      <c r="BI65" s="68">
        <f>BH65*Input!$AA$36</f>
        <v/>
      </c>
      <c r="BJ65" s="68">
        <f>IF(AM65="Sand",0,MAX(AV65/Input!$AA$37,AQ65))</f>
        <v/>
      </c>
      <c r="BK65" s="68">
        <f>IF(AM65="Sand",0,1000*AK65/(1+AU65)*IF(AQ65+BC65&lt;=BJ65,BI65*LOG10((AQ65+BC65)/AQ65),BI65*LOG10(BJ65/AQ65)+BH65*LOG10((AQ65+BC65)/BJ65)))*BF65</f>
        <v/>
      </c>
      <c r="BL65" s="68">
        <f>IF(AM65="Sand",0,10^(INDEX(Input!$Q$48:$Q$54,MIN(MATCH(MIN(MAX(AR65,30),120),Input!$C$48:$C$54,1),6))+(MIN(MAX(AR65,30),120)-INDEX(Input!$C$48:$C$54,MIN(MATCH(MIN(MAX(AR65,30),120),Input!$C$48:$C$54,1),6)))/(INDEX(Input!$C$48:$C$54,MIN(MATCH(MIN(MAX(AR65,30),120),Input!$C$48:$C$54,1),6)+1)-INDEX(Input!$C$48:$C$54,MIN(MATCH(MIN(MAX(AR65,30),120),Input!$C$48:$C$54,1),6)))*(INDEX(Input!$Q$48:$Q$54,MIN(MATCH(MIN(MAX(AR65,30),120),Input!$C$48:$C$54,1),6)+1)-INDEX(Input!$Q$48:$Q$54,MIN(MATCH(MIN(MAX(AR65,30),120),Input!$C$48:$C$54,1),6)))))</f>
        <v/>
      </c>
      <c r="BM65" s="68">
        <f>IF(OR(AM65="Sand",BF65=0),0,Input!$AA$38*(AK65/2)^2/(BL65*1E-4*31536000))</f>
        <v/>
      </c>
      <c r="BN65" s="68">
        <f>MAX(0,MIN(AJ65,Input!$AA$20)-AI65)</f>
        <v/>
      </c>
      <c r="BO65" s="68">
        <f>MAX(0,MIN(AJ65,Input!$AA$20)-MAX(AI65,$AA$22))</f>
        <v/>
      </c>
      <c r="BP65" s="68">
        <f>MAX(0,MIN(AJ65,$AA$225)-AI65)</f>
        <v/>
      </c>
      <c r="BQ65" s="68" t="inlineStr"/>
    </row>
    <row r="66">
      <c r="B66" s="9" t="n"/>
      <c r="C66" s="57" t="n">
        <v>39</v>
      </c>
      <c r="D66" s="41" t="n"/>
      <c r="E66" s="55">
        <f>AI66</f>
        <v/>
      </c>
      <c r="F66" s="41" t="n"/>
      <c r="G66" s="41" t="n"/>
      <c r="H66" s="55">
        <f>AJ66</f>
        <v/>
      </c>
      <c r="I66" s="41" t="n"/>
      <c r="J66" s="41" t="n"/>
      <c r="K66" s="52">
        <f>AM66</f>
        <v/>
      </c>
      <c r="L66" s="41" t="n"/>
      <c r="M66" s="41" t="n"/>
      <c r="N66" s="57">
        <f>AN66</f>
        <v/>
      </c>
      <c r="O66" s="41" t="n"/>
      <c r="P66" s="41" t="n"/>
      <c r="Q66" s="53">
        <f>AO66</f>
        <v/>
      </c>
      <c r="R66" s="41" t="n"/>
      <c r="S66" s="41" t="n"/>
      <c r="T66" s="57">
        <f>IF(AR66="","-",AR66)</f>
        <v/>
      </c>
      <c r="U66" s="41" t="n"/>
      <c r="V66" s="57">
        <f>IF(AT66="","-",AT66)</f>
        <v/>
      </c>
      <c r="W66" s="41" t="n"/>
      <c r="X66" s="55">
        <f>AU66</f>
        <v/>
      </c>
      <c r="Y66" s="41" t="n"/>
      <c r="Z66" s="66">
        <f>AV66</f>
        <v/>
      </c>
      <c r="AA66" s="41" t="n"/>
      <c r="AB66" s="41" t="n"/>
      <c r="AC66" s="53">
        <f>AW66</f>
        <v/>
      </c>
      <c r="AD66" s="41" t="n"/>
      <c r="AE66" s="41" t="n"/>
      <c r="AF66" s="15" t="n"/>
      <c r="AI66" s="67" t="n">
        <v>57</v>
      </c>
      <c r="AJ66" s="67" t="n">
        <v>58.5</v>
      </c>
      <c r="AK66" s="68">
        <f>AJ66-AI66</f>
        <v/>
      </c>
      <c r="AL66" s="68">
        <f>(AI66+AJ66)/2</f>
        <v/>
      </c>
      <c r="AM66" s="67" t="inlineStr">
        <is>
          <t>Sand</t>
        </is>
      </c>
      <c r="AN66" s="67" t="n">
        <v>35</v>
      </c>
      <c r="AO66" s="68">
        <f>IF(AL66&gt;$AA$19,$AA$21,$AA$20)</f>
        <v/>
      </c>
      <c r="AP66" s="68">
        <f>AP65+AO66*AK66</f>
        <v/>
      </c>
      <c r="AQ66" s="68">
        <f>AP66-AO66*AK66/2-10*MAX(AL66-$AA$19,0)</f>
        <v/>
      </c>
      <c r="AR66" s="67" t="n"/>
      <c r="AS66" s="67" t="n"/>
      <c r="AT66" s="68">
        <f>IF(AR66="","",AR66-AS66)</f>
        <v/>
      </c>
      <c r="AU66" s="67" t="n">
        <v>0.65</v>
      </c>
      <c r="AV66" s="68">
        <f>IF(AM66="Sand",0,Input!$AA$31*AN66)</f>
        <v/>
      </c>
      <c r="AW66" s="68">
        <f>IF(AM66="Sand",27.1+0.3*MIN(Input!$AA$32*AN66,60)-0.00054*MIN(Input!$AA$32*AN66,60)^2,MIN(MAX(DEGREES(ASIN(0.8-0.094*LN(MAX(IF(AT66="",10,AT66),5)))),20),30))</f>
        <v/>
      </c>
      <c r="AX66" s="68">
        <f>IF(AM66="Sand",Input!$AA$33*Input!$AA$32*AN66,Input!$AA$34*AV66)</f>
        <v/>
      </c>
      <c r="AY66" s="68">
        <f>IF(AM66="Sand",Input!$AA$35,0.5)</f>
        <v/>
      </c>
      <c r="AZ66" s="68">
        <f>Input!$AA$15/2/AL66</f>
        <v/>
      </c>
      <c r="BA66" s="68">
        <f>Input!$AA$16/2/AL66</f>
        <v/>
      </c>
      <c r="BB66" s="68">
        <f>1/(4*PI())*(2*AZ66*BA66*SQRT(AZ66^2+BA66^2+1)/(AZ66^2+BA66^2+1+AZ66^2*BA66^2)*(AZ66^2+BA66^2+2)/(AZ66^2+BA66^2+1)+ATAN2(AZ66^2+BA66^2+1-AZ66^2*BA66^2,2*AZ66*BA66*SQRT(AZ66^2+BA66^2+1)))</f>
        <v/>
      </c>
      <c r="BC66" s="68">
        <f>4*Input!$AA$14*BB66</f>
        <v/>
      </c>
      <c r="BD66" s="68">
        <f>((Input!$AA$16/Input!$AA$15)*LN((1+SQRT((Input!$AA$16/Input!$AA$15)^2+1))*SQRT((Input!$AA$16/Input!$AA$15)^2+(AJ66/(Input!$AA$15/2))^2)/((Input!$AA$16/Input!$AA$15)*(1+SQRT((Input!$AA$16/Input!$AA$15)^2+(AJ66/(Input!$AA$15/2))^2+1))))+LN(((Input!$AA$16/Input!$AA$15)+SQRT((Input!$AA$16/Input!$AA$15)^2+1))*SQRT(1+(AJ66/(Input!$AA$15/2))^2)/((Input!$AA$16/Input!$AA$15)+SQRT((Input!$AA$16/Input!$AA$15)^2+(AJ66/(Input!$AA$15/2))^2+1))))/PI()</f>
        <v/>
      </c>
      <c r="BE66" s="68">
        <f>(AJ66/(Input!$AA$15/2))/(2*PI())*ATAN((Input!$AA$16/Input!$AA$15)/((AJ66/(Input!$AA$15/2))*SQRT((Input!$AA$16/Input!$AA$15)^2+(AJ66/(Input!$AA$15/2))^2+1)))</f>
        <v/>
      </c>
      <c r="BF66" s="68">
        <f>MAX(0,AJ66-MAX(AI66,$AA$22))/AK66*IF(BC66&gt;=Input!$AA$21*AQ66,1,0)</f>
        <v/>
      </c>
      <c r="BG66" s="68">
        <f>4*Input!$AA$14*(Input!$AA$15/2)*(1-AY66^2)/AX66*((BD66-BD65)+(1-2*AY66)/(1-AY66)*(BE66-BE65))*1000*BF66</f>
        <v/>
      </c>
      <c r="BH66" s="68">
        <f>IF(AM66="Sand",0,0.009*(AR66-10))</f>
        <v/>
      </c>
      <c r="BI66" s="68">
        <f>BH66*Input!$AA$36</f>
        <v/>
      </c>
      <c r="BJ66" s="68">
        <f>IF(AM66="Sand",0,MAX(AV66/Input!$AA$37,AQ66))</f>
        <v/>
      </c>
      <c r="BK66" s="68">
        <f>IF(AM66="Sand",0,1000*AK66/(1+AU66)*IF(AQ66+BC66&lt;=BJ66,BI66*LOG10((AQ66+BC66)/AQ66),BI66*LOG10(BJ66/AQ66)+BH66*LOG10((AQ66+BC66)/BJ66)))*BF66</f>
        <v/>
      </c>
      <c r="BL66" s="68">
        <f>IF(AM66="Sand",0,10^(INDEX(Input!$Q$48:$Q$54,MIN(MATCH(MIN(MAX(AR66,30),120),Input!$C$48:$C$54,1),6))+(MIN(MAX(AR66,30),120)-INDEX(Input!$C$48:$C$54,MIN(MATCH(MIN(MAX(AR66,30),120),Input!$C$48:$C$54,1),6)))/(INDEX(Input!$C$48:$C$54,MIN(MATCH(MIN(MAX(AR66,30),120),Input!$C$48:$C$54,1),6)+1)-INDEX(Input!$C$48:$C$54,MIN(MATCH(MIN(MAX(AR66,30),120),Input!$C$48:$C$54,1),6)))*(INDEX(Input!$Q$48:$Q$54,MIN(MATCH(MIN(MAX(AR66,30),120),Input!$C$48:$C$54,1),6)+1)-INDEX(Input!$Q$48:$Q$54,MIN(MATCH(MIN(MAX(AR66,30),120),Input!$C$48:$C$54,1),6)))))</f>
        <v/>
      </c>
      <c r="BM66" s="68">
        <f>IF(OR(AM66="Sand",BF66=0),0,Input!$AA$38*(AK66/2)^2/(BL66*1E-4*31536000))</f>
        <v/>
      </c>
      <c r="BN66" s="68">
        <f>MAX(0,MIN(AJ66,Input!$AA$20)-AI66)</f>
        <v/>
      </c>
      <c r="BO66" s="68">
        <f>MAX(0,MIN(AJ66,Input!$AA$20)-MAX(AI66,$AA$22))</f>
        <v/>
      </c>
      <c r="BP66" s="68">
        <f>MAX(0,MIN(AJ66,$AA$225)-AI66)</f>
        <v/>
      </c>
      <c r="BQ66" s="68" t="inlineStr"/>
    </row>
    <row r="67">
      <c r="B67" s="9" t="n"/>
      <c r="C67" s="57" t="n">
        <v>40</v>
      </c>
      <c r="D67" s="41" t="n"/>
      <c r="E67" s="55">
        <f>AI67</f>
        <v/>
      </c>
      <c r="F67" s="41" t="n"/>
      <c r="G67" s="41" t="n"/>
      <c r="H67" s="55">
        <f>AJ67</f>
        <v/>
      </c>
      <c r="I67" s="41" t="n"/>
      <c r="J67" s="41" t="n"/>
      <c r="K67" s="52">
        <f>AM67</f>
        <v/>
      </c>
      <c r="L67" s="41" t="n"/>
      <c r="M67" s="41" t="n"/>
      <c r="N67" s="57">
        <f>AN67</f>
        <v/>
      </c>
      <c r="O67" s="41" t="n"/>
      <c r="P67" s="41" t="n"/>
      <c r="Q67" s="53">
        <f>AO67</f>
        <v/>
      </c>
      <c r="R67" s="41" t="n"/>
      <c r="S67" s="41" t="n"/>
      <c r="T67" s="57">
        <f>IF(AR67="","-",AR67)</f>
        <v/>
      </c>
      <c r="U67" s="41" t="n"/>
      <c r="V67" s="57">
        <f>IF(AT67="","-",AT67)</f>
        <v/>
      </c>
      <c r="W67" s="41" t="n"/>
      <c r="X67" s="55">
        <f>AU67</f>
        <v/>
      </c>
      <c r="Y67" s="41" t="n"/>
      <c r="Z67" s="66">
        <f>AV67</f>
        <v/>
      </c>
      <c r="AA67" s="41" t="n"/>
      <c r="AB67" s="41" t="n"/>
      <c r="AC67" s="53">
        <f>AW67</f>
        <v/>
      </c>
      <c r="AD67" s="41" t="n"/>
      <c r="AE67" s="41" t="n"/>
      <c r="AF67" s="15" t="n"/>
      <c r="AI67" s="67" t="n">
        <v>58.5</v>
      </c>
      <c r="AJ67" s="67" t="n">
        <v>59.5</v>
      </c>
      <c r="AK67" s="68">
        <f>AJ67-AI67</f>
        <v/>
      </c>
      <c r="AL67" s="68">
        <f>(AI67+AJ67)/2</f>
        <v/>
      </c>
      <c r="AM67" s="67" t="inlineStr">
        <is>
          <t>Sand</t>
        </is>
      </c>
      <c r="AN67" s="67" t="n">
        <v>42</v>
      </c>
      <c r="AO67" s="68">
        <f>IF(AL67&gt;$AA$19,$AA$21,$AA$20)</f>
        <v/>
      </c>
      <c r="AP67" s="68">
        <f>AP66+AO67*AK67</f>
        <v/>
      </c>
      <c r="AQ67" s="68">
        <f>AP67-AO67*AK67/2-10*MAX(AL67-$AA$19,0)</f>
        <v/>
      </c>
      <c r="AR67" s="67" t="n"/>
      <c r="AS67" s="67" t="n"/>
      <c r="AT67" s="68">
        <f>IF(AR67="","",AR67-AS67)</f>
        <v/>
      </c>
      <c r="AU67" s="67" t="n">
        <v>0.65</v>
      </c>
      <c r="AV67" s="68">
        <f>IF(AM67="Sand",0,Input!$AA$31*AN67)</f>
        <v/>
      </c>
      <c r="AW67" s="68">
        <f>IF(AM67="Sand",27.1+0.3*MIN(Input!$AA$32*AN67,60)-0.00054*MIN(Input!$AA$32*AN67,60)^2,MIN(MAX(DEGREES(ASIN(0.8-0.094*LN(MAX(IF(AT67="",10,AT67),5)))),20),30))</f>
        <v/>
      </c>
      <c r="AX67" s="68">
        <f>IF(AM67="Sand",Input!$AA$33*Input!$AA$32*AN67,Input!$AA$34*AV67)</f>
        <v/>
      </c>
      <c r="AY67" s="68">
        <f>IF(AM67="Sand",Input!$AA$35,0.5)</f>
        <v/>
      </c>
      <c r="AZ67" s="68">
        <f>Input!$AA$15/2/AL67</f>
        <v/>
      </c>
      <c r="BA67" s="68">
        <f>Input!$AA$16/2/AL67</f>
        <v/>
      </c>
      <c r="BB67" s="68">
        <f>1/(4*PI())*(2*AZ67*BA67*SQRT(AZ67^2+BA67^2+1)/(AZ67^2+BA67^2+1+AZ67^2*BA67^2)*(AZ67^2+BA67^2+2)/(AZ67^2+BA67^2+1)+ATAN2(AZ67^2+BA67^2+1-AZ67^2*BA67^2,2*AZ67*BA67*SQRT(AZ67^2+BA67^2+1)))</f>
        <v/>
      </c>
      <c r="BC67" s="68">
        <f>4*Input!$AA$14*BB67</f>
        <v/>
      </c>
      <c r="BD67" s="68">
        <f>((Input!$AA$16/Input!$AA$15)*LN((1+SQRT((Input!$AA$16/Input!$AA$15)^2+1))*SQRT((Input!$AA$16/Input!$AA$15)^2+(AJ67/(Input!$AA$15/2))^2)/((Input!$AA$16/Input!$AA$15)*(1+SQRT((Input!$AA$16/Input!$AA$15)^2+(AJ67/(Input!$AA$15/2))^2+1))))+LN(((Input!$AA$16/Input!$AA$15)+SQRT((Input!$AA$16/Input!$AA$15)^2+1))*SQRT(1+(AJ67/(Input!$AA$15/2))^2)/((Input!$AA$16/Input!$AA$15)+SQRT((Input!$AA$16/Input!$AA$15)^2+(AJ67/(Input!$AA$15/2))^2+1))))/PI()</f>
        <v/>
      </c>
      <c r="BE67" s="68">
        <f>(AJ67/(Input!$AA$15/2))/(2*PI())*ATAN((Input!$AA$16/Input!$AA$15)/((AJ67/(Input!$AA$15/2))*SQRT((Input!$AA$16/Input!$AA$15)^2+(AJ67/(Input!$AA$15/2))^2+1)))</f>
        <v/>
      </c>
      <c r="BF67" s="68">
        <f>MAX(0,AJ67-MAX(AI67,$AA$22))/AK67*IF(BC67&gt;=Input!$AA$21*AQ67,1,0)</f>
        <v/>
      </c>
      <c r="BG67" s="68">
        <f>4*Input!$AA$14*(Input!$AA$15/2)*(1-AY67^2)/AX67*((BD67-BD66)+(1-2*AY67)/(1-AY67)*(BE67-BE66))*1000*BF67</f>
        <v/>
      </c>
      <c r="BH67" s="68">
        <f>IF(AM67="Sand",0,0.009*(AR67-10))</f>
        <v/>
      </c>
      <c r="BI67" s="68">
        <f>BH67*Input!$AA$36</f>
        <v/>
      </c>
      <c r="BJ67" s="68">
        <f>IF(AM67="Sand",0,MAX(AV67/Input!$AA$37,AQ67))</f>
        <v/>
      </c>
      <c r="BK67" s="68">
        <f>IF(AM67="Sand",0,1000*AK67/(1+AU67)*IF(AQ67+BC67&lt;=BJ67,BI67*LOG10((AQ67+BC67)/AQ67),BI67*LOG10(BJ67/AQ67)+BH67*LOG10((AQ67+BC67)/BJ67)))*BF67</f>
        <v/>
      </c>
      <c r="BL67" s="68">
        <f>IF(AM67="Sand",0,10^(INDEX(Input!$Q$48:$Q$54,MIN(MATCH(MIN(MAX(AR67,30),120),Input!$C$48:$C$54,1),6))+(MIN(MAX(AR67,30),120)-INDEX(Input!$C$48:$C$54,MIN(MATCH(MIN(MAX(AR67,30),120),Input!$C$48:$C$54,1),6)))/(INDEX(Input!$C$48:$C$54,MIN(MATCH(MIN(MAX(AR67,30),120),Input!$C$48:$C$54,1),6)+1)-INDEX(Input!$C$48:$C$54,MIN(MATCH(MIN(MAX(AR67,30),120),Input!$C$48:$C$54,1),6)))*(INDEX(Input!$Q$48:$Q$54,MIN(MATCH(MIN(MAX(AR67,30),120),Input!$C$48:$C$54,1),6)+1)-INDEX(Input!$Q$48:$Q$54,MIN(MATCH(MIN(MAX(AR67,30),120),Input!$C$48:$C$54,1),6)))))</f>
        <v/>
      </c>
      <c r="BM67" s="68">
        <f>IF(OR(AM67="Sand",BF67=0),0,Input!$AA$38*(AK67/2)^2/(BL67*1E-4*31536000))</f>
        <v/>
      </c>
      <c r="BN67" s="68">
        <f>MAX(0,MIN(AJ67,Input!$AA$20)-AI67)</f>
        <v/>
      </c>
      <c r="BO67" s="68">
        <f>MAX(0,MIN(AJ67,Input!$AA$20)-MAX(AI67,$AA$22))</f>
        <v/>
      </c>
      <c r="BP67" s="68">
        <f>MAX(0,MIN(AJ67,$AA$225)-AI67)</f>
        <v/>
      </c>
      <c r="BQ67" s="68" t="inlineStr"/>
    </row>
    <row r="68">
      <c r="B68" s="9" t="n"/>
      <c r="C68" s="69" t="n">
        <v>41</v>
      </c>
      <c r="D68" s="46" t="n"/>
      <c r="E68" s="70">
        <f>AI68</f>
        <v/>
      </c>
      <c r="F68" s="46" t="n"/>
      <c r="G68" s="46" t="n"/>
      <c r="H68" s="70">
        <f>AJ68</f>
        <v/>
      </c>
      <c r="I68" s="46" t="n"/>
      <c r="J68" s="46" t="n"/>
      <c r="K68" s="59">
        <f>AM68</f>
        <v/>
      </c>
      <c r="L68" s="46" t="n"/>
      <c r="M68" s="46" t="n"/>
      <c r="N68" s="69">
        <f>AN68</f>
        <v/>
      </c>
      <c r="O68" s="46" t="n"/>
      <c r="P68" s="46" t="n"/>
      <c r="Q68" s="60">
        <f>AO68</f>
        <v/>
      </c>
      <c r="R68" s="46" t="n"/>
      <c r="S68" s="46" t="n"/>
      <c r="T68" s="69">
        <f>IF(AR68="","-",AR68)</f>
        <v/>
      </c>
      <c r="U68" s="46" t="n"/>
      <c r="V68" s="69">
        <f>IF(AT68="","-",AT68)</f>
        <v/>
      </c>
      <c r="W68" s="46" t="n"/>
      <c r="X68" s="70">
        <f>AU68</f>
        <v/>
      </c>
      <c r="Y68" s="46" t="n"/>
      <c r="Z68" s="71">
        <f>AV68</f>
        <v/>
      </c>
      <c r="AA68" s="46" t="n"/>
      <c r="AB68" s="46" t="n"/>
      <c r="AC68" s="60">
        <f>AW68</f>
        <v/>
      </c>
      <c r="AD68" s="46" t="n"/>
      <c r="AE68" s="46" t="n"/>
      <c r="AF68" s="15" t="n"/>
      <c r="AI68" s="67" t="n">
        <v>59.5</v>
      </c>
      <c r="AJ68" s="67" t="n">
        <v>60</v>
      </c>
      <c r="AK68" s="68">
        <f>AJ68-AI68</f>
        <v/>
      </c>
      <c r="AL68" s="68">
        <f>(AI68+AJ68)/2</f>
        <v/>
      </c>
      <c r="AM68" s="67" t="inlineStr">
        <is>
          <t>Sand</t>
        </is>
      </c>
      <c r="AN68" s="67" t="n">
        <v>46</v>
      </c>
      <c r="AO68" s="68">
        <f>IF(AL68&gt;$AA$19,$AA$21,$AA$20)</f>
        <v/>
      </c>
      <c r="AP68" s="68">
        <f>AP67+AO68*AK68</f>
        <v/>
      </c>
      <c r="AQ68" s="68">
        <f>AP68-AO68*AK68/2-10*MAX(AL68-$AA$19,0)</f>
        <v/>
      </c>
      <c r="AR68" s="67" t="n"/>
      <c r="AS68" s="67" t="n"/>
      <c r="AT68" s="68">
        <f>IF(AR68="","",AR68-AS68)</f>
        <v/>
      </c>
      <c r="AU68" s="67" t="n">
        <v>0.65</v>
      </c>
      <c r="AV68" s="68">
        <f>IF(AM68="Sand",0,Input!$AA$31*AN68)</f>
        <v/>
      </c>
      <c r="AW68" s="68">
        <f>IF(AM68="Sand",27.1+0.3*MIN(Input!$AA$32*AN68,60)-0.00054*MIN(Input!$AA$32*AN68,60)^2,MIN(MAX(DEGREES(ASIN(0.8-0.094*LN(MAX(IF(AT68="",10,AT68),5)))),20),30))</f>
        <v/>
      </c>
      <c r="AX68" s="68">
        <f>IF(AM68="Sand",Input!$AA$33*Input!$AA$32*AN68,Input!$AA$34*AV68)</f>
        <v/>
      </c>
      <c r="AY68" s="68">
        <f>IF(AM68="Sand",Input!$AA$35,0.5)</f>
        <v/>
      </c>
      <c r="AZ68" s="68">
        <f>Input!$AA$15/2/AL68</f>
        <v/>
      </c>
      <c r="BA68" s="68">
        <f>Input!$AA$16/2/AL68</f>
        <v/>
      </c>
      <c r="BB68" s="68">
        <f>1/(4*PI())*(2*AZ68*BA68*SQRT(AZ68^2+BA68^2+1)/(AZ68^2+BA68^2+1+AZ68^2*BA68^2)*(AZ68^2+BA68^2+2)/(AZ68^2+BA68^2+1)+ATAN2(AZ68^2+BA68^2+1-AZ68^2*BA68^2,2*AZ68*BA68*SQRT(AZ68^2+BA68^2+1)))</f>
        <v/>
      </c>
      <c r="BC68" s="68">
        <f>4*Input!$AA$14*BB68</f>
        <v/>
      </c>
      <c r="BD68" s="68">
        <f>((Input!$AA$16/Input!$AA$15)*LN((1+SQRT((Input!$AA$16/Input!$AA$15)^2+1))*SQRT((Input!$AA$16/Input!$AA$15)^2+(AJ68/(Input!$AA$15/2))^2)/((Input!$AA$16/Input!$AA$15)*(1+SQRT((Input!$AA$16/Input!$AA$15)^2+(AJ68/(Input!$AA$15/2))^2+1))))+LN(((Input!$AA$16/Input!$AA$15)+SQRT((Input!$AA$16/Input!$AA$15)^2+1))*SQRT(1+(AJ68/(Input!$AA$15/2))^2)/((Input!$AA$16/Input!$AA$15)+SQRT((Input!$AA$16/Input!$AA$15)^2+(AJ68/(Input!$AA$15/2))^2+1))))/PI()</f>
        <v/>
      </c>
      <c r="BE68" s="68">
        <f>(AJ68/(Input!$AA$15/2))/(2*PI())*ATAN((Input!$AA$16/Input!$AA$15)/((AJ68/(Input!$AA$15/2))*SQRT((Input!$AA$16/Input!$AA$15)^2+(AJ68/(Input!$AA$15/2))^2+1)))</f>
        <v/>
      </c>
      <c r="BF68" s="68">
        <f>MAX(0,AJ68-MAX(AI68,$AA$22))/AK68*IF(BC68&gt;=Input!$AA$21*AQ68,1,0)</f>
        <v/>
      </c>
      <c r="BG68" s="68">
        <f>4*Input!$AA$14*(Input!$AA$15/2)*(1-AY68^2)/AX68*((BD68-BD67)+(1-2*AY68)/(1-AY68)*(BE68-BE67))*1000*BF68</f>
        <v/>
      </c>
      <c r="BH68" s="68">
        <f>IF(AM68="Sand",0,0.009*(AR68-10))</f>
        <v/>
      </c>
      <c r="BI68" s="68">
        <f>BH68*Input!$AA$36</f>
        <v/>
      </c>
      <c r="BJ68" s="68">
        <f>IF(AM68="Sand",0,MAX(AV68/Input!$AA$37,AQ68))</f>
        <v/>
      </c>
      <c r="BK68" s="68">
        <f>IF(AM68="Sand",0,1000*AK68/(1+AU68)*IF(AQ68+BC68&lt;=BJ68,BI68*LOG10((AQ68+BC68)/AQ68),BI68*LOG10(BJ68/AQ68)+BH68*LOG10((AQ68+BC68)/BJ68)))*BF68</f>
        <v/>
      </c>
      <c r="BL68" s="68">
        <f>IF(AM68="Sand",0,10^(INDEX(Input!$Q$48:$Q$54,MIN(MATCH(MIN(MAX(AR68,30),120),Input!$C$48:$C$54,1),6))+(MIN(MAX(AR68,30),120)-INDEX(Input!$C$48:$C$54,MIN(MATCH(MIN(MAX(AR68,30),120),Input!$C$48:$C$54,1),6)))/(INDEX(Input!$C$48:$C$54,MIN(MATCH(MIN(MAX(AR68,30),120),Input!$C$48:$C$54,1),6)+1)-INDEX(Input!$C$48:$C$54,MIN(MATCH(MIN(MAX(AR68,30),120),Input!$C$48:$C$54,1),6)))*(INDEX(Input!$Q$48:$Q$54,MIN(MATCH(MIN(MAX(AR68,30),120),Input!$C$48:$C$54,1),6)+1)-INDEX(Input!$Q$48:$Q$54,MIN(MATCH(MIN(MAX(AR68,30),120),Input!$C$48:$C$54,1),6)))))</f>
        <v/>
      </c>
      <c r="BM68" s="68">
        <f>IF(OR(AM68="Sand",BF68=0),0,Input!$AA$38*(AK68/2)^2/(BL68*1E-4*31536000))</f>
        <v/>
      </c>
      <c r="BN68" s="68">
        <f>MAX(0,MIN(AJ68,Input!$AA$20)-AI68)</f>
        <v/>
      </c>
      <c r="BO68" s="68">
        <f>MAX(0,MIN(AJ68,Input!$AA$20)-MAX(AI68,$AA$22))</f>
        <v/>
      </c>
      <c r="BP68" s="68">
        <f>MAX(0,MIN(AJ68,$AA$225)-AI68)</f>
        <v/>
      </c>
      <c r="BQ68" s="68" t="inlineStr"/>
    </row>
    <row r="69">
      <c r="B69" s="9" t="n"/>
      <c r="C69" s="24" t="inlineStr">
        <is>
          <t>cu = k·N (silt/clay); φ' sand from Wolff (1989), silt/clay from PI; γ from laboratory average above/below GWL.</t>
        </is>
      </c>
      <c r="AF69" s="15" t="n"/>
    </row>
    <row r="70">
      <c r="B70" s="9" t="n"/>
      <c r="AF70" s="15" t="n"/>
    </row>
    <row r="71">
      <c r="B71" s="9" t="n"/>
      <c r="AF71" s="15" t="n"/>
    </row>
    <row r="72">
      <c r="B72" s="9" t="n"/>
      <c r="AF72" s="15" t="n"/>
    </row>
    <row r="73">
      <c r="B73" s="47" t="n"/>
      <c r="C73" s="48" t="n"/>
      <c r="D73" s="48" t="n"/>
      <c r="E73" s="48" t="n"/>
      <c r="F73" s="48" t="n"/>
      <c r="G73" s="48" t="n"/>
      <c r="H73" s="48" t="n"/>
      <c r="I73" s="48" t="n"/>
      <c r="J73" s="48" t="n"/>
      <c r="K73" s="48" t="n"/>
      <c r="L73" s="48" t="n"/>
      <c r="M73" s="48" t="n"/>
      <c r="N73" s="48" t="n"/>
      <c r="O73" s="48" t="n"/>
      <c r="P73" s="48" t="n"/>
      <c r="Q73" s="48" t="n"/>
      <c r="R73" s="48" t="n"/>
      <c r="S73" s="48" t="n"/>
      <c r="T73" s="48" t="n"/>
      <c r="U73" s="48" t="n"/>
      <c r="V73" s="48" t="n"/>
      <c r="W73" s="48" t="n"/>
      <c r="X73" s="49" t="inlineStr">
        <is>
          <t>Sheet :</t>
        </is>
      </c>
      <c r="Y73" s="48" t="n"/>
      <c r="Z73" s="48" t="n"/>
      <c r="AA73" s="48" t="n"/>
      <c r="AB73" s="49" t="n">
        <v>1</v>
      </c>
      <c r="AC73" s="48" t="n"/>
      <c r="AD73" s="48" t="n"/>
      <c r="AE73" s="48" t="n"/>
      <c r="AF73" s="50" t="n"/>
    </row>
    <row r="74">
      <c r="B74" s="1" t="n"/>
      <c r="C74" s="2" t="inlineStr">
        <is>
          <t>PROJECT :</t>
        </is>
      </c>
      <c r="D74" s="3" t="n"/>
      <c r="E74" s="3" t="n"/>
      <c r="F74" s="3" t="n"/>
      <c r="G74" s="3" t="n"/>
      <c r="H74" s="4" t="inlineStr">
        <is>
          <t>GEOTHERMAL WELLPAD PSPE BORA PULU - SIGI, CENTRAL SULAWESI</t>
        </is>
      </c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5" t="inlineStr">
        <is>
          <t>Prepared by :</t>
        </is>
      </c>
      <c r="Y74" s="6" t="n"/>
      <c r="Z74" s="6" t="n"/>
      <c r="AA74" s="6" t="n"/>
      <c r="AB74" s="7" t="inlineStr">
        <is>
          <t>Date</t>
        </is>
      </c>
      <c r="AC74" s="6" t="n"/>
      <c r="AD74" s="6" t="n"/>
      <c r="AE74" s="6" t="n"/>
      <c r="AF74" s="8" t="n"/>
    </row>
    <row r="75">
      <c r="B75" s="9" t="n"/>
      <c r="C75" s="10" t="inlineStr">
        <is>
          <t>CLIENT :</t>
        </is>
      </c>
      <c r="H75" s="11" t="inlineStr">
        <is>
          <t>PT EDC PANAS BUMI INDONESIA</t>
        </is>
      </c>
      <c r="X75" s="12" t="inlineStr">
        <is>
          <t>DF</t>
        </is>
      </c>
      <c r="Y75" s="13" t="n"/>
      <c r="Z75" s="13" t="n"/>
      <c r="AA75" s="13" t="n"/>
      <c r="AB75" s="14" t="n">
        <v>46301</v>
      </c>
      <c r="AC75" s="13" t="n"/>
      <c r="AD75" s="13" t="n"/>
      <c r="AE75" s="13" t="n"/>
      <c r="AF75" s="15" t="n"/>
    </row>
    <row r="76">
      <c r="B76" s="9" t="n"/>
      <c r="C76" s="10" t="inlineStr">
        <is>
          <t>LOCATION :</t>
        </is>
      </c>
      <c r="H76" s="11" t="inlineStr">
        <is>
          <t>BH-01 (Wellpad D)</t>
        </is>
      </c>
      <c r="X76" s="12" t="inlineStr">
        <is>
          <t>Verified by :</t>
        </is>
      </c>
      <c r="Y76" s="13" t="n"/>
      <c r="Z76" s="13" t="n"/>
      <c r="AA76" s="13" t="n"/>
      <c r="AB76" s="14" t="inlineStr">
        <is>
          <t>Date</t>
        </is>
      </c>
      <c r="AC76" s="13" t="n"/>
      <c r="AD76" s="13" t="n"/>
      <c r="AE76" s="13" t="n"/>
      <c r="AF76" s="15" t="n"/>
    </row>
    <row r="77">
      <c r="B77" s="16" t="n"/>
      <c r="C77" s="17" t="inlineStr">
        <is>
          <t>SHEET :</t>
        </is>
      </c>
      <c r="D77" s="18" t="n"/>
      <c r="E77" s="18" t="n"/>
      <c r="F77" s="18" t="n"/>
      <c r="G77" s="18" t="n"/>
      <c r="H77" s="19" t="inlineStr">
        <is>
          <t>BEARING CAPACITY AND SETTLEMENT OF SUBGRADE</t>
        </is>
      </c>
      <c r="I77" s="18" t="n"/>
      <c r="J77" s="18" t="n"/>
      <c r="K77" s="18" t="n"/>
      <c r="L77" s="18" t="n"/>
      <c r="M77" s="18" t="n"/>
      <c r="N77" s="18" t="n"/>
      <c r="O77" s="18" t="n"/>
      <c r="P77" s="18" t="n"/>
      <c r="Q77" s="18" t="n"/>
      <c r="R77" s="18" t="n"/>
      <c r="S77" s="18" t="n"/>
      <c r="T77" s="18" t="n"/>
      <c r="U77" s="18" t="n"/>
      <c r="V77" s="18" t="n"/>
      <c r="W77" s="18" t="n"/>
      <c r="X77" s="20" t="inlineStr">
        <is>
          <t>BC</t>
        </is>
      </c>
      <c r="Y77" s="21" t="n"/>
      <c r="Z77" s="21" t="n"/>
      <c r="AA77" s="21" t="n"/>
      <c r="AB77" s="22" t="n">
        <v>46301</v>
      </c>
      <c r="AC77" s="21" t="n"/>
      <c r="AD77" s="21" t="n"/>
      <c r="AE77" s="21" t="n"/>
      <c r="AF77" s="23" t="n"/>
    </row>
    <row r="78">
      <c r="B78" s="9" t="n"/>
      <c r="AF78" s="15" t="n"/>
    </row>
    <row r="79">
      <c r="B79" s="9" t="n"/>
      <c r="C79" s="11" t="inlineStr">
        <is>
          <t>3. BEARING CAPACITY OF SUBGRADE</t>
        </is>
      </c>
      <c r="AF79" s="15" t="n"/>
    </row>
    <row r="80">
      <c r="B80" s="9" t="n"/>
      <c r="C80" s="25" t="inlineStr">
        <is>
          <t>The bearing capacity is evaluated with the general bearing capacity equation (Terzaghi 1943, Vesic 1975; SNI 8460:2017).</t>
        </is>
      </c>
      <c r="AF80" s="15" t="n"/>
    </row>
    <row r="81">
      <c r="B81" s="9" t="n"/>
      <c r="C81" s="25" t="inlineStr">
        <is>
          <t>Undrained (short-term) condition governs where silt/clay exists within 0 - Hb: qu = cu·Nc·sc.</t>
        </is>
      </c>
      <c r="AF81" s="15" t="n"/>
    </row>
    <row r="82">
      <c r="B82" s="9" t="n"/>
      <c r="C82" s="25" t="inlineStr">
        <is>
          <t>Drained (long-term) condition for granular soil: qu = 0.5·γ'·B·Nγ·sγ·rγ (c' = 0, load at ground surface, q = 0).</t>
        </is>
      </c>
      <c r="AF82" s="15" t="n"/>
    </row>
    <row r="83">
      <c r="B83" s="9" t="n"/>
      <c r="C83" s="25" t="inlineStr">
        <is>
          <t>The governing ultimate capacity is the smaller of the two; qall = qu / SF.</t>
        </is>
      </c>
      <c r="AF83" s="15" t="n"/>
    </row>
    <row r="84">
      <c r="B84" s="9" t="n"/>
      <c r="AF84" s="15" t="n"/>
    </row>
    <row r="85">
      <c r="B85" s="9" t="n"/>
      <c r="C85" s="11" t="inlineStr">
        <is>
          <t>3.1. Without ground improvement</t>
        </is>
      </c>
      <c r="AF85" s="15" t="n"/>
    </row>
    <row r="86">
      <c r="B86" s="9" t="n"/>
      <c r="C86" s="25" t="inlineStr">
        <is>
          <t>Thickness of silt/clay within 0 - Hb</t>
        </is>
      </c>
      <c r="O86" s="26" t="inlineStr">
        <is>
          <t>Σh (fine soil)</t>
        </is>
      </c>
      <c r="X86" s="27" t="inlineStr">
        <is>
          <t>Σh =</t>
        </is>
      </c>
      <c r="Y86" s="13" t="n"/>
      <c r="Z86" s="13" t="n"/>
      <c r="AA86" s="61">
        <f>SUMPRODUCT(--(AM28:AM68&lt;&gt;"Sand"),BN28:BN68)</f>
        <v/>
      </c>
      <c r="AB86" s="13" t="n"/>
      <c r="AC86" s="13" t="n"/>
      <c r="AD86" s="25" t="inlineStr">
        <is>
          <t>m</t>
        </is>
      </c>
      <c r="AF86" s="15" t="n"/>
    </row>
    <row r="87">
      <c r="B87" s="9" t="n"/>
      <c r="C87" s="25" t="inlineStr">
        <is>
          <t>Average undrained shear strength</t>
        </is>
      </c>
      <c r="O87" s="26" t="inlineStr">
        <is>
          <t>weighted by thickness</t>
        </is>
      </c>
      <c r="X87" s="27" t="inlineStr">
        <is>
          <t>cu =</t>
        </is>
      </c>
      <c r="Y87" s="13" t="n"/>
      <c r="Z87" s="13" t="n"/>
      <c r="AA87" s="62">
        <f>IF($AA$86=0,0,SUMPRODUCT(--(AM28:AM68&lt;&gt;"Sand"),BN28:BN68,AV28:AV68)/$AA$86)</f>
        <v/>
      </c>
      <c r="AB87" s="13" t="n"/>
      <c r="AC87" s="13" t="n"/>
      <c r="AD87" s="25" t="inlineStr">
        <is>
          <t>kPa</t>
        </is>
      </c>
      <c r="AF87" s="15" t="n"/>
    </row>
    <row r="88">
      <c r="B88" s="9" t="n"/>
      <c r="C88" s="25" t="inlineStr">
        <is>
          <t>Average effective friction angle</t>
        </is>
      </c>
      <c r="O88" s="26" t="inlineStr">
        <is>
          <t>incl. replacement fill</t>
        </is>
      </c>
      <c r="X88" s="27" t="inlineStr">
        <is>
          <t>φ' =</t>
        </is>
      </c>
      <c r="Y88" s="13" t="n"/>
      <c r="Z88" s="13" t="n"/>
      <c r="AA88" s="62">
        <f>(SUMPRODUCT(BN28:BN68,AW28:AW68)+MIN(0,Input!$AA$20)*Input!$AA$26)/Input!$AA$20</f>
        <v/>
      </c>
      <c r="AB88" s="13" t="n"/>
      <c r="AC88" s="13" t="n"/>
      <c r="AD88" s="25" t="inlineStr">
        <is>
          <t>°</t>
        </is>
      </c>
      <c r="AF88" s="15" t="n"/>
    </row>
    <row r="89">
      <c r="B89" s="9" t="n"/>
      <c r="C89" s="25" t="inlineStr">
        <is>
          <t>Average effective unit weight</t>
        </is>
      </c>
      <c r="O89" s="26" t="inlineStr">
        <is>
          <t>0 - Hb</t>
        </is>
      </c>
      <c r="X89" s="27" t="inlineStr">
        <is>
          <t>γ' =</t>
        </is>
      </c>
      <c r="Y89" s="13" t="n"/>
      <c r="Z89" s="13" t="n"/>
      <c r="AA89" s="62">
        <f>(SUMPRODUCT(BN28:BN68,AO28:AO68)+MIN(0,Input!$AA$20)*Input!$AA$25)/Input!$AA$20-10*MAX(0,Input!$AA$20-$AA$19)/Input!$AA$20</f>
        <v/>
      </c>
      <c r="AB89" s="13" t="n"/>
      <c r="AC89" s="13" t="n"/>
      <c r="AD89" s="25" t="inlineStr">
        <is>
          <t>kN/m³</t>
        </is>
      </c>
      <c r="AF89" s="15" t="n"/>
    </row>
    <row r="90">
      <c r="B90" s="9" t="n"/>
      <c r="C90" s="25" t="inlineStr">
        <is>
          <t>Shape factor (undrained), Nc = 5.14</t>
        </is>
      </c>
      <c r="O90" s="26" t="inlineStr">
        <is>
          <t>sc = 1 + 0.2 B/L</t>
        </is>
      </c>
      <c r="X90" s="27" t="inlineStr">
        <is>
          <t>sc =</t>
        </is>
      </c>
      <c r="Y90" s="13" t="n"/>
      <c r="Z90" s="13" t="n"/>
      <c r="AA90" s="61">
        <f>1+0.2*Input!$AA$15/Input!$AA$16</f>
        <v/>
      </c>
      <c r="AB90" s="13" t="n"/>
      <c r="AC90" s="13" t="n"/>
      <c r="AD90" s="25" t="inlineStr">
        <is>
          <t>-</t>
        </is>
      </c>
      <c r="AF90" s="15" t="n"/>
    </row>
    <row r="91">
      <c r="B91" s="9" t="n"/>
      <c r="C91" s="25" t="inlineStr">
        <is>
          <t>Ultimate capacity, undrained</t>
        </is>
      </c>
      <c r="O91" s="26" t="inlineStr">
        <is>
          <t>qu = cu·Nc·sc</t>
        </is>
      </c>
      <c r="X91" s="27" t="inlineStr">
        <is>
          <t>qu,u =</t>
        </is>
      </c>
      <c r="Y91" s="13" t="n"/>
      <c r="Z91" s="13" t="n"/>
      <c r="AA91" s="62">
        <f>IF($AA$86=0,"n/a",$AA$87*5.14*$AA$90)</f>
        <v/>
      </c>
      <c r="AB91" s="13" t="n"/>
      <c r="AC91" s="13" t="n"/>
      <c r="AD91" s="25" t="inlineStr">
        <is>
          <t>kPa</t>
        </is>
      </c>
      <c r="AF91" s="15" t="n"/>
    </row>
    <row r="92">
      <c r="B92" s="9" t="n"/>
      <c r="C92" s="25" t="inlineStr">
        <is>
          <t>Bearing capacity factor</t>
        </is>
      </c>
      <c r="O92" s="26" t="inlineStr">
        <is>
          <t>Nq = e^(π·tanφ)·tan²(45+φ/2)</t>
        </is>
      </c>
      <c r="X92" s="27" t="inlineStr">
        <is>
          <t>Nq =</t>
        </is>
      </c>
      <c r="Y92" s="13" t="n"/>
      <c r="Z92" s="13" t="n"/>
      <c r="AA92" s="61">
        <f>EXP(PI()*TAN(RADIANS($AA$88)))*TAN(RADIANS(45+$AA$88/2))^2</f>
        <v/>
      </c>
      <c r="AB92" s="13" t="n"/>
      <c r="AC92" s="13" t="n"/>
      <c r="AD92" s="25" t="inlineStr">
        <is>
          <t>-</t>
        </is>
      </c>
      <c r="AF92" s="15" t="n"/>
    </row>
    <row r="93">
      <c r="B93" s="9" t="n"/>
      <c r="C93" s="25" t="inlineStr">
        <is>
          <t>Bearing capacity factor (Vesic)</t>
        </is>
      </c>
      <c r="O93" s="26" t="inlineStr">
        <is>
          <t>Nγ = 2(Nq+1)·tanφ</t>
        </is>
      </c>
      <c r="X93" s="27" t="inlineStr">
        <is>
          <t>Nγ =</t>
        </is>
      </c>
      <c r="Y93" s="13" t="n"/>
      <c r="Z93" s="13" t="n"/>
      <c r="AA93" s="61">
        <f>2*($AA$92+1)*TAN(RADIANS($AA$88))</f>
        <v/>
      </c>
      <c r="AB93" s="13" t="n"/>
      <c r="AC93" s="13" t="n"/>
      <c r="AD93" s="25" t="inlineStr">
        <is>
          <t>-</t>
        </is>
      </c>
      <c r="AF93" s="15" t="n"/>
    </row>
    <row r="94">
      <c r="B94" s="9" t="n"/>
      <c r="C94" s="25" t="inlineStr">
        <is>
          <t>Shape and size factors</t>
        </is>
      </c>
      <c r="O94" s="26" t="inlineStr">
        <is>
          <t>sγ = 1-0.4B/L; rγ = 1-0.25log(B/2)</t>
        </is>
      </c>
      <c r="X94" s="27" t="inlineStr">
        <is>
          <t>sγ·rγ =</t>
        </is>
      </c>
      <c r="Y94" s="13" t="n"/>
      <c r="Z94" s="13" t="n"/>
      <c r="AA94" s="72">
        <f>(1-0.4*Input!$AA$15/Input!$AA$16)*IF(Input!$AA$15&gt;2,1-0.25*LOG10(Input!$AA$15/2),1)</f>
        <v/>
      </c>
      <c r="AB94" s="13" t="n"/>
      <c r="AC94" s="13" t="n"/>
      <c r="AD94" s="25" t="inlineStr">
        <is>
          <t>-</t>
        </is>
      </c>
      <c r="AF94" s="15" t="n"/>
    </row>
    <row r="95">
      <c r="B95" s="9" t="n"/>
      <c r="C95" s="25" t="inlineStr">
        <is>
          <t>Ultimate capacity, drained</t>
        </is>
      </c>
      <c r="O95" s="26" t="inlineStr">
        <is>
          <t>qu = 0.5·γ'·B·Nγ·sγ·rγ</t>
        </is>
      </c>
      <c r="X95" s="27" t="inlineStr">
        <is>
          <t>qu,d =</t>
        </is>
      </c>
      <c r="Y95" s="13" t="n"/>
      <c r="Z95" s="13" t="n"/>
      <c r="AA95" s="62">
        <f>0.5*$AA$89*Input!$AA$15*$AA$93*$AA$94</f>
        <v/>
      </c>
      <c r="AB95" s="13" t="n"/>
      <c r="AC95" s="13" t="n"/>
      <c r="AD95" s="25" t="inlineStr">
        <is>
          <t>kPa</t>
        </is>
      </c>
      <c r="AF95" s="15" t="n"/>
    </row>
    <row r="96">
      <c r="B96" s="9" t="n"/>
      <c r="C96" s="25" t="inlineStr">
        <is>
          <t>Governing ultimate bearing capacity</t>
        </is>
      </c>
      <c r="O96" s="26" t="inlineStr">
        <is>
          <t>min (undrained, drained)</t>
        </is>
      </c>
      <c r="X96" s="27" t="inlineStr">
        <is>
          <t>qu =</t>
        </is>
      </c>
      <c r="Y96" s="13" t="n"/>
      <c r="Z96" s="13" t="n"/>
      <c r="AA96" s="30">
        <f>IF($AA$86=0,$AA$95,MIN($AA$91,$AA$95))</f>
        <v/>
      </c>
      <c r="AB96" s="13" t="n"/>
      <c r="AC96" s="13" t="n"/>
      <c r="AD96" s="25" t="inlineStr">
        <is>
          <t>kPa</t>
        </is>
      </c>
      <c r="AF96" s="15" t="n"/>
    </row>
    <row r="97">
      <c r="B97" s="9" t="n"/>
      <c r="C97" s="25" t="inlineStr">
        <is>
          <t>Allowable bearing capacity</t>
        </is>
      </c>
      <c r="O97" s="26" t="inlineStr">
        <is>
          <t>qall = qu / SF</t>
        </is>
      </c>
      <c r="X97" s="27" t="inlineStr">
        <is>
          <t>qall =</t>
        </is>
      </c>
      <c r="Y97" s="13" t="n"/>
      <c r="Z97" s="13" t="n"/>
      <c r="AA97" s="30">
        <f>$AA$96/Input!$AA$19</f>
        <v/>
      </c>
      <c r="AB97" s="13" t="n"/>
      <c r="AC97" s="13" t="n"/>
      <c r="AD97" s="25" t="inlineStr">
        <is>
          <t>kPa</t>
        </is>
      </c>
      <c r="AF97" s="15" t="n"/>
    </row>
    <row r="98">
      <c r="B98" s="9" t="n"/>
      <c r="C98" s="25" t="inlineStr">
        <is>
          <t>Working pressure</t>
        </is>
      </c>
      <c r="O98" s="26" t="inlineStr">
        <is>
          <t>q = Hf·γf + qs</t>
        </is>
      </c>
      <c r="X98" s="27" t="inlineStr">
        <is>
          <t>q =</t>
        </is>
      </c>
      <c r="Y98" s="13" t="n"/>
      <c r="Z98" s="13" t="n"/>
      <c r="AA98" s="62">
        <f>Input!$AA$14</f>
        <v/>
      </c>
      <c r="AB98" s="13" t="n"/>
      <c r="AC98" s="13" t="n"/>
      <c r="AD98" s="25" t="inlineStr">
        <is>
          <t>kPa</t>
        </is>
      </c>
      <c r="AF98" s="15" t="n"/>
    </row>
    <row r="99">
      <c r="B99" s="9" t="n"/>
      <c r="C99" s="25" t="inlineStr">
        <is>
          <t>Actual factor of safety</t>
        </is>
      </c>
      <c r="O99" s="26" t="inlineStr">
        <is>
          <t>FS = qu / q</t>
        </is>
      </c>
      <c r="X99" s="27" t="inlineStr">
        <is>
          <t>FS =</t>
        </is>
      </c>
      <c r="Y99" s="13" t="n"/>
      <c r="Z99" s="13" t="n"/>
      <c r="AA99" s="61">
        <f>$AA$96/Input!$AA$14</f>
        <v/>
      </c>
      <c r="AB99" s="13" t="n"/>
      <c r="AC99" s="13" t="n"/>
      <c r="AD99" s="25" t="inlineStr">
        <is>
          <t>-</t>
        </is>
      </c>
      <c r="AF99" s="15" t="n"/>
    </row>
    <row r="100">
      <c r="B100" s="9" t="n"/>
      <c r="C100" s="25" t="inlineStr">
        <is>
          <t>Allowable fill height with surcharge</t>
        </is>
      </c>
      <c r="O100" s="26" t="inlineStr">
        <is>
          <t>Hall = (qall - qs) / γf</t>
        </is>
      </c>
      <c r="X100" s="27" t="inlineStr">
        <is>
          <t>Hall =</t>
        </is>
      </c>
      <c r="Y100" s="13" t="n"/>
      <c r="Z100" s="13" t="n"/>
      <c r="AA100" s="61">
        <f>MAX(0,($AA$97-Input!$AA$13)/Input!$AA$12)</f>
        <v/>
      </c>
      <c r="AB100" s="13" t="n"/>
      <c r="AC100" s="13" t="n"/>
      <c r="AD100" s="25" t="inlineStr">
        <is>
          <t>m</t>
        </is>
      </c>
      <c r="AF100" s="15" t="n"/>
    </row>
    <row r="101">
      <c r="B101" s="9" t="n"/>
      <c r="C101" s="11" t="inlineStr">
        <is>
          <t>Bearing capacity check</t>
        </is>
      </c>
      <c r="X101" s="73">
        <f>IF($AA$97&gt;=Input!$AA$14,"qall ≥ q …. OK!!","qall &lt; q …. NG!!")</f>
        <v/>
      </c>
      <c r="Y101" s="13" t="n"/>
      <c r="Z101" s="13" t="n"/>
      <c r="AA101" s="13" t="n"/>
      <c r="AB101" s="13" t="n"/>
      <c r="AC101" s="13" t="n"/>
      <c r="AD101" s="13" t="n"/>
      <c r="AE101" s="13" t="n"/>
      <c r="AF101" s="15" t="n"/>
    </row>
    <row r="102">
      <c r="B102" s="9" t="n"/>
      <c r="AF102" s="15" t="n"/>
    </row>
    <row r="103">
      <c r="B103" s="9" t="n"/>
      <c r="C103" s="11" t="inlineStr">
        <is>
          <t>3.2. With replacement of soil 0 - Dr (design condition)</t>
        </is>
      </c>
      <c r="AF103" s="15" t="n"/>
    </row>
    <row r="104">
      <c r="B104" s="9" t="n"/>
      <c r="C104" s="25" t="inlineStr">
        <is>
          <t>Thickness of silt/clay within 0 - Hb</t>
        </is>
      </c>
      <c r="O104" s="26" t="inlineStr">
        <is>
          <t>Σh (fine soil)</t>
        </is>
      </c>
      <c r="X104" s="27" t="inlineStr">
        <is>
          <t>Σh =</t>
        </is>
      </c>
      <c r="Y104" s="13" t="n"/>
      <c r="Z104" s="13" t="n"/>
      <c r="AA104" s="61">
        <f>SUMPRODUCT(--(AM28:AM68&lt;&gt;"Sand"),BO28:BO68)</f>
        <v/>
      </c>
      <c r="AB104" s="13" t="n"/>
      <c r="AC104" s="13" t="n"/>
      <c r="AD104" s="25" t="inlineStr">
        <is>
          <t>m</t>
        </is>
      </c>
      <c r="AF104" s="15" t="n"/>
    </row>
    <row r="105">
      <c r="B105" s="9" t="n"/>
      <c r="C105" s="25" t="inlineStr">
        <is>
          <t>Average undrained shear strength</t>
        </is>
      </c>
      <c r="O105" s="26" t="inlineStr">
        <is>
          <t>weighted by thickness</t>
        </is>
      </c>
      <c r="X105" s="27" t="inlineStr">
        <is>
          <t>cu =</t>
        </is>
      </c>
      <c r="Y105" s="13" t="n"/>
      <c r="Z105" s="13" t="n"/>
      <c r="AA105" s="62">
        <f>IF($AA$104=0,0,SUMPRODUCT(--(AM28:AM68&lt;&gt;"Sand"),BO28:BO68,AV28:AV68)/$AA$104)</f>
        <v/>
      </c>
      <c r="AB105" s="13" t="n"/>
      <c r="AC105" s="13" t="n"/>
      <c r="AD105" s="25" t="inlineStr">
        <is>
          <t>kPa</t>
        </is>
      </c>
      <c r="AF105" s="15" t="n"/>
    </row>
    <row r="106">
      <c r="B106" s="9" t="n"/>
      <c r="C106" s="25" t="inlineStr">
        <is>
          <t>Average effective friction angle</t>
        </is>
      </c>
      <c r="O106" s="26" t="inlineStr">
        <is>
          <t>incl. replacement fill</t>
        </is>
      </c>
      <c r="X106" s="27" t="inlineStr">
        <is>
          <t>φ' =</t>
        </is>
      </c>
      <c r="Y106" s="13" t="n"/>
      <c r="Z106" s="13" t="n"/>
      <c r="AA106" s="62">
        <f>(SUMPRODUCT(BO28:BO68,AW28:AW68)+MIN($AA$22,Input!$AA$20)*Input!$AA$26)/Input!$AA$20</f>
        <v/>
      </c>
      <c r="AB106" s="13" t="n"/>
      <c r="AC106" s="13" t="n"/>
      <c r="AD106" s="25" t="inlineStr">
        <is>
          <t>°</t>
        </is>
      </c>
      <c r="AF106" s="15" t="n"/>
    </row>
    <row r="107">
      <c r="B107" s="9" t="n"/>
      <c r="C107" s="25" t="inlineStr">
        <is>
          <t>Average effective unit weight</t>
        </is>
      </c>
      <c r="O107" s="26" t="inlineStr">
        <is>
          <t>0 - Hb</t>
        </is>
      </c>
      <c r="X107" s="27" t="inlineStr">
        <is>
          <t>γ' =</t>
        </is>
      </c>
      <c r="Y107" s="13" t="n"/>
      <c r="Z107" s="13" t="n"/>
      <c r="AA107" s="62">
        <f>(SUMPRODUCT(BO28:BO68,AO28:AO68)+MIN($AA$22,Input!$AA$20)*Input!$AA$25)/Input!$AA$20-10*MAX(0,Input!$AA$20-$AA$19)/Input!$AA$20</f>
        <v/>
      </c>
      <c r="AB107" s="13" t="n"/>
      <c r="AC107" s="13" t="n"/>
      <c r="AD107" s="25" t="inlineStr">
        <is>
          <t>kN/m³</t>
        </is>
      </c>
      <c r="AF107" s="15" t="n"/>
    </row>
    <row r="108">
      <c r="B108" s="9" t="n"/>
      <c r="C108" s="25" t="inlineStr">
        <is>
          <t>Shape factor (undrained), Nc = 5.14</t>
        </is>
      </c>
      <c r="O108" s="26" t="inlineStr">
        <is>
          <t>sc = 1 + 0.2 B/L</t>
        </is>
      </c>
      <c r="X108" s="27" t="inlineStr">
        <is>
          <t>sc =</t>
        </is>
      </c>
      <c r="Y108" s="13" t="n"/>
      <c r="Z108" s="13" t="n"/>
      <c r="AA108" s="61">
        <f>1+0.2*Input!$AA$15/Input!$AA$16</f>
        <v/>
      </c>
      <c r="AB108" s="13" t="n"/>
      <c r="AC108" s="13" t="n"/>
      <c r="AD108" s="25" t="inlineStr">
        <is>
          <t>-</t>
        </is>
      </c>
      <c r="AF108" s="15" t="n"/>
    </row>
    <row r="109">
      <c r="B109" s="9" t="n"/>
      <c r="C109" s="25" t="inlineStr">
        <is>
          <t>Ultimate capacity, undrained</t>
        </is>
      </c>
      <c r="O109" s="26" t="inlineStr">
        <is>
          <t>qu = cu·Nc·sc</t>
        </is>
      </c>
      <c r="X109" s="27" t="inlineStr">
        <is>
          <t>qu,u =</t>
        </is>
      </c>
      <c r="Y109" s="13" t="n"/>
      <c r="Z109" s="13" t="n"/>
      <c r="AA109" s="62">
        <f>IF($AA$104=0,"n/a",$AA$105*5.14*$AA$108)</f>
        <v/>
      </c>
      <c r="AB109" s="13" t="n"/>
      <c r="AC109" s="13" t="n"/>
      <c r="AD109" s="25" t="inlineStr">
        <is>
          <t>kPa</t>
        </is>
      </c>
      <c r="AF109" s="15" t="n"/>
    </row>
    <row r="110">
      <c r="B110" s="9" t="n"/>
      <c r="C110" s="25" t="inlineStr">
        <is>
          <t>Bearing capacity factor</t>
        </is>
      </c>
      <c r="O110" s="26" t="inlineStr">
        <is>
          <t>Nq = e^(π·tanφ)·tan²(45+φ/2)</t>
        </is>
      </c>
      <c r="X110" s="27" t="inlineStr">
        <is>
          <t>Nq =</t>
        </is>
      </c>
      <c r="Y110" s="13" t="n"/>
      <c r="Z110" s="13" t="n"/>
      <c r="AA110" s="61">
        <f>EXP(PI()*TAN(RADIANS($AA$106)))*TAN(RADIANS(45+$AA$106/2))^2</f>
        <v/>
      </c>
      <c r="AB110" s="13" t="n"/>
      <c r="AC110" s="13" t="n"/>
      <c r="AD110" s="25" t="inlineStr">
        <is>
          <t>-</t>
        </is>
      </c>
      <c r="AF110" s="15" t="n"/>
    </row>
    <row r="111">
      <c r="B111" s="9" t="n"/>
      <c r="C111" s="25" t="inlineStr">
        <is>
          <t>Bearing capacity factor (Vesic)</t>
        </is>
      </c>
      <c r="O111" s="26" t="inlineStr">
        <is>
          <t>Nγ = 2(Nq+1)·tanφ</t>
        </is>
      </c>
      <c r="X111" s="27" t="inlineStr">
        <is>
          <t>Nγ =</t>
        </is>
      </c>
      <c r="Y111" s="13" t="n"/>
      <c r="Z111" s="13" t="n"/>
      <c r="AA111" s="61">
        <f>2*($AA$110+1)*TAN(RADIANS($AA$106))</f>
        <v/>
      </c>
      <c r="AB111" s="13" t="n"/>
      <c r="AC111" s="13" t="n"/>
      <c r="AD111" s="25" t="inlineStr">
        <is>
          <t>-</t>
        </is>
      </c>
      <c r="AF111" s="15" t="n"/>
    </row>
    <row r="112">
      <c r="B112" s="9" t="n"/>
      <c r="C112" s="25" t="inlineStr">
        <is>
          <t>Shape and size factors</t>
        </is>
      </c>
      <c r="O112" s="26" t="inlineStr">
        <is>
          <t>sγ = 1-0.4B/L; rγ = 1-0.25log(B/2)</t>
        </is>
      </c>
      <c r="X112" s="27" t="inlineStr">
        <is>
          <t>sγ·rγ =</t>
        </is>
      </c>
      <c r="Y112" s="13" t="n"/>
      <c r="Z112" s="13" t="n"/>
      <c r="AA112" s="72">
        <f>(1-0.4*Input!$AA$15/Input!$AA$16)*IF(Input!$AA$15&gt;2,1-0.25*LOG10(Input!$AA$15/2),1)</f>
        <v/>
      </c>
      <c r="AB112" s="13" t="n"/>
      <c r="AC112" s="13" t="n"/>
      <c r="AD112" s="25" t="inlineStr">
        <is>
          <t>-</t>
        </is>
      </c>
      <c r="AF112" s="15" t="n"/>
    </row>
    <row r="113">
      <c r="B113" s="9" t="n"/>
      <c r="C113" s="25" t="inlineStr">
        <is>
          <t>Ultimate capacity, drained</t>
        </is>
      </c>
      <c r="O113" s="26" t="inlineStr">
        <is>
          <t>qu = 0.5·γ'·B·Nγ·sγ·rγ</t>
        </is>
      </c>
      <c r="X113" s="27" t="inlineStr">
        <is>
          <t>qu,d =</t>
        </is>
      </c>
      <c r="Y113" s="13" t="n"/>
      <c r="Z113" s="13" t="n"/>
      <c r="AA113" s="62">
        <f>0.5*$AA$107*Input!$AA$15*$AA$111*$AA$112</f>
        <v/>
      </c>
      <c r="AB113" s="13" t="n"/>
      <c r="AC113" s="13" t="n"/>
      <c r="AD113" s="25" t="inlineStr">
        <is>
          <t>kPa</t>
        </is>
      </c>
      <c r="AF113" s="15" t="n"/>
    </row>
    <row r="114">
      <c r="B114" s="9" t="n"/>
      <c r="C114" s="25" t="inlineStr">
        <is>
          <t>Governing ultimate bearing capacity</t>
        </is>
      </c>
      <c r="O114" s="26" t="inlineStr">
        <is>
          <t>min (undrained, drained)</t>
        </is>
      </c>
      <c r="X114" s="27" t="inlineStr">
        <is>
          <t>qu =</t>
        </is>
      </c>
      <c r="Y114" s="13" t="n"/>
      <c r="Z114" s="13" t="n"/>
      <c r="AA114" s="30">
        <f>IF($AA$104=0,$AA$113,MIN($AA$109,$AA$113))</f>
        <v/>
      </c>
      <c r="AB114" s="13" t="n"/>
      <c r="AC114" s="13" t="n"/>
      <c r="AD114" s="25" t="inlineStr">
        <is>
          <t>kPa</t>
        </is>
      </c>
      <c r="AF114" s="15" t="n"/>
    </row>
    <row r="115">
      <c r="B115" s="9" t="n"/>
      <c r="C115" s="25" t="inlineStr">
        <is>
          <t>Allowable bearing capacity</t>
        </is>
      </c>
      <c r="O115" s="26" t="inlineStr">
        <is>
          <t>qall = qu / SF</t>
        </is>
      </c>
      <c r="X115" s="27" t="inlineStr">
        <is>
          <t>qall =</t>
        </is>
      </c>
      <c r="Y115" s="13" t="n"/>
      <c r="Z115" s="13" t="n"/>
      <c r="AA115" s="30">
        <f>$AA$114/Input!$AA$19</f>
        <v/>
      </c>
      <c r="AB115" s="13" t="n"/>
      <c r="AC115" s="13" t="n"/>
      <c r="AD115" s="25" t="inlineStr">
        <is>
          <t>kPa</t>
        </is>
      </c>
      <c r="AF115" s="15" t="n"/>
    </row>
    <row r="116">
      <c r="B116" s="9" t="n"/>
      <c r="C116" s="25" t="inlineStr">
        <is>
          <t>Working pressure</t>
        </is>
      </c>
      <c r="O116" s="26" t="inlineStr">
        <is>
          <t>q = Hf·γf + qs</t>
        </is>
      </c>
      <c r="X116" s="27" t="inlineStr">
        <is>
          <t>q =</t>
        </is>
      </c>
      <c r="Y116" s="13" t="n"/>
      <c r="Z116" s="13" t="n"/>
      <c r="AA116" s="62">
        <f>Input!$AA$14</f>
        <v/>
      </c>
      <c r="AB116" s="13" t="n"/>
      <c r="AC116" s="13" t="n"/>
      <c r="AD116" s="25" t="inlineStr">
        <is>
          <t>kPa</t>
        </is>
      </c>
      <c r="AF116" s="15" t="n"/>
    </row>
    <row r="117">
      <c r="B117" s="9" t="n"/>
      <c r="C117" s="25" t="inlineStr">
        <is>
          <t>Actual factor of safety</t>
        </is>
      </c>
      <c r="O117" s="26" t="inlineStr">
        <is>
          <t>FS = qu / q</t>
        </is>
      </c>
      <c r="X117" s="27" t="inlineStr">
        <is>
          <t>FS =</t>
        </is>
      </c>
      <c r="Y117" s="13" t="n"/>
      <c r="Z117" s="13" t="n"/>
      <c r="AA117" s="61">
        <f>$AA$114/Input!$AA$14</f>
        <v/>
      </c>
      <c r="AB117" s="13" t="n"/>
      <c r="AC117" s="13" t="n"/>
      <c r="AD117" s="25" t="inlineStr">
        <is>
          <t>-</t>
        </is>
      </c>
      <c r="AF117" s="15" t="n"/>
    </row>
    <row r="118">
      <c r="B118" s="9" t="n"/>
      <c r="C118" s="25" t="inlineStr">
        <is>
          <t>Allowable fill height with surcharge</t>
        </is>
      </c>
      <c r="O118" s="26" t="inlineStr">
        <is>
          <t>Hall = (qall - qs) / γf</t>
        </is>
      </c>
      <c r="X118" s="27" t="inlineStr">
        <is>
          <t>Hall =</t>
        </is>
      </c>
      <c r="Y118" s="13" t="n"/>
      <c r="Z118" s="13" t="n"/>
      <c r="AA118" s="61">
        <f>MAX(0,($AA$115-Input!$AA$13)/Input!$AA$12)</f>
        <v/>
      </c>
      <c r="AB118" s="13" t="n"/>
      <c r="AC118" s="13" t="n"/>
      <c r="AD118" s="25" t="inlineStr">
        <is>
          <t>m</t>
        </is>
      </c>
      <c r="AF118" s="15" t="n"/>
    </row>
    <row r="119">
      <c r="B119" s="9" t="n"/>
      <c r="C119" s="11" t="inlineStr">
        <is>
          <t>Bearing capacity check</t>
        </is>
      </c>
      <c r="X119" s="73">
        <f>IF($AA$115&gt;=Input!$AA$14,"qall ≥ q …. OK!!","qall &lt; q …. NG!!")</f>
        <v/>
      </c>
      <c r="Y119" s="13" t="n"/>
      <c r="Z119" s="13" t="n"/>
      <c r="AA119" s="13" t="n"/>
      <c r="AB119" s="13" t="n"/>
      <c r="AC119" s="13" t="n"/>
      <c r="AD119" s="13" t="n"/>
      <c r="AE119" s="13" t="n"/>
      <c r="AF119" s="15" t="n"/>
    </row>
    <row r="120">
      <c r="B120" s="9" t="n"/>
      <c r="AF120" s="15" t="n"/>
    </row>
    <row r="121">
      <c r="B121" s="9" t="n"/>
      <c r="C121" s="11" t="inlineStr">
        <is>
          <t>3.3. Granular soil - allowable pressure for 25 mm settlement (Meyerhof 1965, Bowles 1996)</t>
        </is>
      </c>
      <c r="AF121" s="15" t="n"/>
    </row>
    <row r="122">
      <c r="B122" s="9" t="n"/>
      <c r="C122" s="25" t="inlineStr">
        <is>
          <t>Average N60 of sand layers within 0 - Hb</t>
        </is>
      </c>
      <c r="O122" s="26" t="inlineStr"/>
      <c r="X122" s="27" t="inlineStr">
        <is>
          <t>N60 =</t>
        </is>
      </c>
      <c r="Y122" s="13" t="n"/>
      <c r="Z122" s="13" t="n"/>
      <c r="AA122" s="62">
        <f>IFERROR(SUMPRODUCT(--(AM28:AM68="Sand"),BN28:BN68,AN28:AN68)/SUMPRODUCT(--(AM28:AM68="Sand"),BN28:BN68)*Input!$AA$32,"n/a")</f>
        <v/>
      </c>
      <c r="AB122" s="13" t="n"/>
      <c r="AC122" s="13" t="n"/>
      <c r="AD122" s="25" t="inlineStr">
        <is>
          <t>-</t>
        </is>
      </c>
      <c r="AF122" s="15" t="n"/>
    </row>
    <row r="123">
      <c r="B123" s="9" t="n"/>
      <c r="C123" s="25" t="inlineStr">
        <is>
          <t>Allowable pressure (S = 25 mm, Kd = 1)</t>
        </is>
      </c>
      <c r="O123" s="26" t="inlineStr">
        <is>
          <t>qa = (N55/0.08)·((B+0.3)/B)²</t>
        </is>
      </c>
      <c r="X123" s="27" t="inlineStr">
        <is>
          <t>qa =</t>
        </is>
      </c>
      <c r="Y123" s="13" t="n"/>
      <c r="Z123" s="13" t="n"/>
      <c r="AA123" s="62">
        <f>IFERROR(($AA$122*60/55)/0.08*((Input!$AA$15+0.3)/Input!$AA$15)^2,"n/a")</f>
        <v/>
      </c>
      <c r="AB123" s="13" t="n"/>
      <c r="AC123" s="13" t="n"/>
      <c r="AD123" s="25" t="inlineStr">
        <is>
          <t>kPa</t>
        </is>
      </c>
      <c r="AF123" s="15" t="n"/>
    </row>
    <row r="124">
      <c r="B124" s="9" t="n"/>
      <c r="C124" s="24" t="inlineStr">
        <is>
          <t>For granular soil the shear capacity is normally far above the applied load; settlement governs the design (Section 4).</t>
        </is>
      </c>
      <c r="AF124" s="15" t="n"/>
    </row>
    <row r="125">
      <c r="B125" s="9" t="n"/>
      <c r="AF125" s="15" t="n"/>
    </row>
    <row r="126">
      <c r="B126" s="9" t="n"/>
      <c r="AF126" s="15" t="n"/>
    </row>
    <row r="127">
      <c r="B127" s="9" t="n"/>
      <c r="AF127" s="15" t="n"/>
    </row>
    <row r="128">
      <c r="B128" s="9" t="n"/>
      <c r="AF128" s="15" t="n"/>
    </row>
    <row r="129">
      <c r="B129" s="9" t="n"/>
      <c r="AF129" s="15" t="n"/>
    </row>
    <row r="130">
      <c r="B130" s="9" t="n"/>
      <c r="AF130" s="15" t="n"/>
    </row>
    <row r="131">
      <c r="B131" s="9" t="n"/>
      <c r="AF131" s="15" t="n"/>
    </row>
    <row r="132">
      <c r="B132" s="9" t="n"/>
      <c r="AF132" s="15" t="n"/>
    </row>
    <row r="133">
      <c r="B133" s="9" t="n"/>
      <c r="AF133" s="15" t="n"/>
    </row>
    <row r="134">
      <c r="B134" s="9" t="n"/>
      <c r="AF134" s="15" t="n"/>
    </row>
    <row r="135">
      <c r="B135" s="9" t="n"/>
      <c r="AF135" s="15" t="n"/>
    </row>
    <row r="136">
      <c r="B136" s="9" t="n"/>
      <c r="AF136" s="15" t="n"/>
    </row>
    <row r="137">
      <c r="B137" s="9" t="n"/>
      <c r="AF137" s="15" t="n"/>
    </row>
    <row r="138">
      <c r="B138" s="9" t="n"/>
      <c r="AF138" s="15" t="n"/>
    </row>
    <row r="139">
      <c r="B139" s="9" t="n"/>
      <c r="AF139" s="15" t="n"/>
    </row>
    <row r="140">
      <c r="B140" s="9" t="n"/>
      <c r="AF140" s="15" t="n"/>
    </row>
    <row r="141">
      <c r="B141" s="9" t="n"/>
      <c r="AF141" s="15" t="n"/>
    </row>
    <row r="142">
      <c r="B142" s="9" t="n"/>
      <c r="AF142" s="15" t="n"/>
    </row>
    <row r="143">
      <c r="B143" s="9" t="n"/>
      <c r="AF143" s="15" t="n"/>
    </row>
    <row r="144">
      <c r="B144" s="9" t="n"/>
      <c r="AF144" s="15" t="n"/>
    </row>
    <row r="145">
      <c r="B145" s="47" t="n"/>
      <c r="C145" s="48" t="n"/>
      <c r="D145" s="48" t="n"/>
      <c r="E145" s="48" t="n"/>
      <c r="F145" s="48" t="n"/>
      <c r="G145" s="48" t="n"/>
      <c r="H145" s="48" t="n"/>
      <c r="I145" s="48" t="n"/>
      <c r="J145" s="48" t="n"/>
      <c r="K145" s="48" t="n"/>
      <c r="L145" s="48" t="n"/>
      <c r="M145" s="48" t="n"/>
      <c r="N145" s="48" t="n"/>
      <c r="O145" s="48" t="n"/>
      <c r="P145" s="48" t="n"/>
      <c r="Q145" s="48" t="n"/>
      <c r="R145" s="48" t="n"/>
      <c r="S145" s="48" t="n"/>
      <c r="T145" s="48" t="n"/>
      <c r="U145" s="48" t="n"/>
      <c r="V145" s="48" t="n"/>
      <c r="W145" s="48" t="n"/>
      <c r="X145" s="49" t="inlineStr">
        <is>
          <t>Sheet :</t>
        </is>
      </c>
      <c r="Y145" s="48" t="n"/>
      <c r="Z145" s="48" t="n"/>
      <c r="AA145" s="48" t="n"/>
      <c r="AB145" s="49" t="n">
        <v>2</v>
      </c>
      <c r="AC145" s="48" t="n"/>
      <c r="AD145" s="48" t="n"/>
      <c r="AE145" s="48" t="n"/>
      <c r="AF145" s="50" t="n"/>
    </row>
    <row r="146">
      <c r="B146" s="1" t="n"/>
      <c r="C146" s="2" t="inlineStr">
        <is>
          <t>PROJECT :</t>
        </is>
      </c>
      <c r="D146" s="3" t="n"/>
      <c r="E146" s="3" t="n"/>
      <c r="F146" s="3" t="n"/>
      <c r="G146" s="3" t="n"/>
      <c r="H146" s="4" t="inlineStr">
        <is>
          <t>GEOTHERMAL WELLPAD PSPE BORA PULU - SIGI, CENTRAL SULAWESI</t>
        </is>
      </c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5" t="inlineStr">
        <is>
          <t>Prepared by :</t>
        </is>
      </c>
      <c r="Y146" s="6" t="n"/>
      <c r="Z146" s="6" t="n"/>
      <c r="AA146" s="6" t="n"/>
      <c r="AB146" s="7" t="inlineStr">
        <is>
          <t>Date</t>
        </is>
      </c>
      <c r="AC146" s="6" t="n"/>
      <c r="AD146" s="6" t="n"/>
      <c r="AE146" s="6" t="n"/>
      <c r="AF146" s="8" t="n"/>
    </row>
    <row r="147">
      <c r="B147" s="9" t="n"/>
      <c r="C147" s="10" t="inlineStr">
        <is>
          <t>CLIENT :</t>
        </is>
      </c>
      <c r="H147" s="11" t="inlineStr">
        <is>
          <t>PT EDC PANAS BUMI INDONESIA</t>
        </is>
      </c>
      <c r="X147" s="12" t="inlineStr">
        <is>
          <t>DF</t>
        </is>
      </c>
      <c r="Y147" s="13" t="n"/>
      <c r="Z147" s="13" t="n"/>
      <c r="AA147" s="13" t="n"/>
      <c r="AB147" s="14" t="n">
        <v>46301</v>
      </c>
      <c r="AC147" s="13" t="n"/>
      <c r="AD147" s="13" t="n"/>
      <c r="AE147" s="13" t="n"/>
      <c r="AF147" s="15" t="n"/>
    </row>
    <row r="148">
      <c r="B148" s="9" t="n"/>
      <c r="C148" s="10" t="inlineStr">
        <is>
          <t>LOCATION :</t>
        </is>
      </c>
      <c r="H148" s="11" t="inlineStr">
        <is>
          <t>BH-01 (Wellpad D)</t>
        </is>
      </c>
      <c r="X148" s="12" t="inlineStr">
        <is>
          <t>Verified by :</t>
        </is>
      </c>
      <c r="Y148" s="13" t="n"/>
      <c r="Z148" s="13" t="n"/>
      <c r="AA148" s="13" t="n"/>
      <c r="AB148" s="14" t="inlineStr">
        <is>
          <t>Date</t>
        </is>
      </c>
      <c r="AC148" s="13" t="n"/>
      <c r="AD148" s="13" t="n"/>
      <c r="AE148" s="13" t="n"/>
      <c r="AF148" s="15" t="n"/>
    </row>
    <row r="149">
      <c r="B149" s="16" t="n"/>
      <c r="C149" s="17" t="inlineStr">
        <is>
          <t>SHEET :</t>
        </is>
      </c>
      <c r="D149" s="18" t="n"/>
      <c r="E149" s="18" t="n"/>
      <c r="F149" s="18" t="n"/>
      <c r="G149" s="18" t="n"/>
      <c r="H149" s="19" t="inlineStr">
        <is>
          <t>BEARING CAPACITY AND SETTLEMENT OF SUBGRADE</t>
        </is>
      </c>
      <c r="I149" s="18" t="n"/>
      <c r="J149" s="18" t="n"/>
      <c r="K149" s="18" t="n"/>
      <c r="L149" s="18" t="n"/>
      <c r="M149" s="18" t="n"/>
      <c r="N149" s="18" t="n"/>
      <c r="O149" s="18" t="n"/>
      <c r="P149" s="18" t="n"/>
      <c r="Q149" s="18" t="n"/>
      <c r="R149" s="18" t="n"/>
      <c r="S149" s="18" t="n"/>
      <c r="T149" s="18" t="n"/>
      <c r="U149" s="18" t="n"/>
      <c r="V149" s="18" t="n"/>
      <c r="W149" s="18" t="n"/>
      <c r="X149" s="20" t="inlineStr">
        <is>
          <t>BC</t>
        </is>
      </c>
      <c r="Y149" s="21" t="n"/>
      <c r="Z149" s="21" t="n"/>
      <c r="AA149" s="21" t="n"/>
      <c r="AB149" s="22" t="n">
        <v>46301</v>
      </c>
      <c r="AC149" s="21" t="n"/>
      <c r="AD149" s="21" t="n"/>
      <c r="AE149" s="21" t="n"/>
      <c r="AF149" s="23" t="n"/>
    </row>
    <row r="150">
      <c r="B150" s="9" t="n"/>
      <c r="AF150" s="15" t="n"/>
    </row>
    <row r="151">
      <c r="B151" s="9" t="n"/>
      <c r="C151" s="11" t="inlineStr">
        <is>
          <t>4. IMMEDIATE SETTLEMENT (design condition)</t>
        </is>
      </c>
      <c r="AF151" s="15" t="n"/>
    </row>
    <row r="152">
      <c r="B152" s="9" t="n"/>
      <c r="C152" s="25" t="inlineStr">
        <is>
          <t>Layered elastic method (Steinbrenner 1934; Bowles 1996) at the centre of a flexible B × L area:</t>
        </is>
      </c>
      <c r="AF152" s="15" t="n"/>
    </row>
    <row r="153">
      <c r="B153" s="9" t="n"/>
      <c r="C153" s="25" t="inlineStr">
        <is>
          <t xml:space="preserve">      Si = 4·q·(B/2)·(1 - ν²)/E · [ΔF1 + (1 - 2ν)/(1 - ν)·ΔF2]   for each sub-layer.</t>
        </is>
      </c>
      <c r="AF153" s="15" t="n"/>
    </row>
    <row r="154">
      <c r="B154" s="9" t="n"/>
      <c r="C154" s="25" t="inlineStr">
        <is>
          <t>Sand: drained modulus E = k·N60 and ν of sand; silt/clay: undrained modulus Eu = k·cu and ν = 0.5.</t>
        </is>
      </c>
      <c r="AF154" s="15" t="n"/>
    </row>
    <row r="155">
      <c r="B155" s="9" t="n"/>
      <c r="C155" s="25" t="inlineStr">
        <is>
          <t>Layers with Δσz &lt; 10 % σ'v0 (below the influence depth) and soil replaced to depth Dr are excluded.</t>
        </is>
      </c>
      <c r="AF155" s="15" t="n"/>
    </row>
    <row r="156">
      <c r="B156" s="9" t="n"/>
      <c r="C156" s="25" t="inlineStr">
        <is>
          <t>Table 2. Immediate settlement of BH-01</t>
        </is>
      </c>
      <c r="AF156" s="15" t="n"/>
    </row>
    <row r="157" ht="27" customHeight="1">
      <c r="B157" s="9" t="n"/>
      <c r="C157" s="33" t="inlineStr">
        <is>
          <t>No</t>
        </is>
      </c>
      <c r="D157" s="34" t="n"/>
      <c r="E157" s="33" t="inlineStr">
        <is>
          <t>Top</t>
        </is>
      </c>
      <c r="F157" s="34" t="n"/>
      <c r="G157" s="34" t="n"/>
      <c r="H157" s="33" t="inlineStr">
        <is>
          <t>Bottom</t>
        </is>
      </c>
      <c r="I157" s="34" t="n"/>
      <c r="J157" s="34" t="n"/>
      <c r="K157" s="33" t="inlineStr">
        <is>
          <t>Soil</t>
        </is>
      </c>
      <c r="L157" s="34" t="n"/>
      <c r="M157" s="34" t="n"/>
      <c r="N157" s="33" t="inlineStr">
        <is>
          <t>E</t>
        </is>
      </c>
      <c r="O157" s="34" t="n"/>
      <c r="P157" s="34" t="n"/>
      <c r="Q157" s="33" t="inlineStr">
        <is>
          <t>ν</t>
        </is>
      </c>
      <c r="R157" s="34" t="n"/>
      <c r="S157" s="33" t="inlineStr">
        <is>
          <t>σ'v0</t>
        </is>
      </c>
      <c r="T157" s="34" t="n"/>
      <c r="U157" s="34" t="n"/>
      <c r="V157" s="33" t="inlineStr">
        <is>
          <t>Δσz</t>
        </is>
      </c>
      <c r="W157" s="34" t="n"/>
      <c r="X157" s="34" t="n"/>
      <c r="Y157" s="33" t="inlineStr">
        <is>
          <t>F1</t>
        </is>
      </c>
      <c r="Z157" s="34" t="n"/>
      <c r="AA157" s="33" t="inlineStr">
        <is>
          <t>F2</t>
        </is>
      </c>
      <c r="AB157" s="34" t="n"/>
      <c r="AC157" s="33" t="inlineStr">
        <is>
          <t>Si</t>
        </is>
      </c>
      <c r="AD157" s="34" t="n"/>
      <c r="AE157" s="34" t="n"/>
      <c r="AF157" s="15" t="n"/>
    </row>
    <row r="158">
      <c r="B158" s="9" t="n"/>
      <c r="C158" s="35" t="inlineStr"/>
      <c r="D158" s="36" t="n"/>
      <c r="E158" s="35" t="inlineStr">
        <is>
          <t>m</t>
        </is>
      </c>
      <c r="F158" s="36" t="n"/>
      <c r="G158" s="36" t="n"/>
      <c r="H158" s="35" t="inlineStr">
        <is>
          <t>m</t>
        </is>
      </c>
      <c r="I158" s="36" t="n"/>
      <c r="J158" s="36" t="n"/>
      <c r="K158" s="35" t="inlineStr"/>
      <c r="L158" s="36" t="n"/>
      <c r="M158" s="36" t="n"/>
      <c r="N158" s="35" t="inlineStr">
        <is>
          <t>kPa</t>
        </is>
      </c>
      <c r="O158" s="36" t="n"/>
      <c r="P158" s="36" t="n"/>
      <c r="Q158" s="35" t="inlineStr">
        <is>
          <t>-</t>
        </is>
      </c>
      <c r="R158" s="36" t="n"/>
      <c r="S158" s="35" t="inlineStr">
        <is>
          <t>kPa</t>
        </is>
      </c>
      <c r="T158" s="36" t="n"/>
      <c r="U158" s="36" t="n"/>
      <c r="V158" s="35" t="inlineStr">
        <is>
          <t>kPa</t>
        </is>
      </c>
      <c r="W158" s="36" t="n"/>
      <c r="X158" s="36" t="n"/>
      <c r="Y158" s="35" t="inlineStr">
        <is>
          <t>-</t>
        </is>
      </c>
      <c r="Z158" s="36" t="n"/>
      <c r="AA158" s="35" t="inlineStr">
        <is>
          <t>-</t>
        </is>
      </c>
      <c r="AB158" s="36" t="n"/>
      <c r="AC158" s="35" t="inlineStr">
        <is>
          <t>mm</t>
        </is>
      </c>
      <c r="AD158" s="36" t="n"/>
      <c r="AE158" s="36" t="n"/>
      <c r="AF158" s="15" t="n"/>
    </row>
    <row r="159">
      <c r="B159" s="9" t="n"/>
      <c r="C159" s="57" t="n">
        <v>1</v>
      </c>
      <c r="D159" s="41" t="n"/>
      <c r="E159" s="55">
        <f>AI28</f>
        <v/>
      </c>
      <c r="F159" s="41" t="n"/>
      <c r="G159" s="41" t="n"/>
      <c r="H159" s="55">
        <f>AJ28</f>
        <v/>
      </c>
      <c r="I159" s="41" t="n"/>
      <c r="J159" s="41" t="n"/>
      <c r="K159" s="52">
        <f>AM28</f>
        <v/>
      </c>
      <c r="L159" s="41" t="n"/>
      <c r="M159" s="41" t="n"/>
      <c r="N159" s="54">
        <f>AX28</f>
        <v/>
      </c>
      <c r="O159" s="41" t="n"/>
      <c r="P159" s="41" t="n"/>
      <c r="Q159" s="53">
        <f>AY28</f>
        <v/>
      </c>
      <c r="R159" s="41" t="n"/>
      <c r="S159" s="53">
        <f>AQ28</f>
        <v/>
      </c>
      <c r="T159" s="41" t="n"/>
      <c r="U159" s="41" t="n"/>
      <c r="V159" s="53">
        <f>BC28</f>
        <v/>
      </c>
      <c r="W159" s="41" t="n"/>
      <c r="X159" s="41" t="n"/>
      <c r="Y159" s="40">
        <f>BD28</f>
        <v/>
      </c>
      <c r="Z159" s="41" t="n"/>
      <c r="AA159" s="40">
        <f>BE28</f>
        <v/>
      </c>
      <c r="AB159" s="41" t="n"/>
      <c r="AC159" s="53">
        <f>BG28</f>
        <v/>
      </c>
      <c r="AD159" s="41" t="n"/>
      <c r="AE159" s="41" t="n"/>
      <c r="AF159" s="15" t="n"/>
    </row>
    <row r="160">
      <c r="B160" s="9" t="n"/>
      <c r="C160" s="57" t="n">
        <v>2</v>
      </c>
      <c r="D160" s="41" t="n"/>
      <c r="E160" s="55">
        <f>AI29</f>
        <v/>
      </c>
      <c r="F160" s="41" t="n"/>
      <c r="G160" s="41" t="n"/>
      <c r="H160" s="55">
        <f>AJ29</f>
        <v/>
      </c>
      <c r="I160" s="41" t="n"/>
      <c r="J160" s="41" t="n"/>
      <c r="K160" s="52">
        <f>AM29</f>
        <v/>
      </c>
      <c r="L160" s="41" t="n"/>
      <c r="M160" s="41" t="n"/>
      <c r="N160" s="54">
        <f>AX29</f>
        <v/>
      </c>
      <c r="O160" s="41" t="n"/>
      <c r="P160" s="41" t="n"/>
      <c r="Q160" s="53">
        <f>AY29</f>
        <v/>
      </c>
      <c r="R160" s="41" t="n"/>
      <c r="S160" s="53">
        <f>AQ29</f>
        <v/>
      </c>
      <c r="T160" s="41" t="n"/>
      <c r="U160" s="41" t="n"/>
      <c r="V160" s="53">
        <f>BC29</f>
        <v/>
      </c>
      <c r="W160" s="41" t="n"/>
      <c r="X160" s="41" t="n"/>
      <c r="Y160" s="40">
        <f>BD29</f>
        <v/>
      </c>
      <c r="Z160" s="41" t="n"/>
      <c r="AA160" s="40">
        <f>BE29</f>
        <v/>
      </c>
      <c r="AB160" s="41" t="n"/>
      <c r="AC160" s="53">
        <f>BG29</f>
        <v/>
      </c>
      <c r="AD160" s="41" t="n"/>
      <c r="AE160" s="41" t="n"/>
      <c r="AF160" s="15" t="n"/>
    </row>
    <row r="161">
      <c r="B161" s="9" t="n"/>
      <c r="C161" s="57" t="n">
        <v>3</v>
      </c>
      <c r="D161" s="41" t="n"/>
      <c r="E161" s="55">
        <f>AI30</f>
        <v/>
      </c>
      <c r="F161" s="41" t="n"/>
      <c r="G161" s="41" t="n"/>
      <c r="H161" s="55">
        <f>AJ30</f>
        <v/>
      </c>
      <c r="I161" s="41" t="n"/>
      <c r="J161" s="41" t="n"/>
      <c r="K161" s="52">
        <f>AM30</f>
        <v/>
      </c>
      <c r="L161" s="41" t="n"/>
      <c r="M161" s="41" t="n"/>
      <c r="N161" s="54">
        <f>AX30</f>
        <v/>
      </c>
      <c r="O161" s="41" t="n"/>
      <c r="P161" s="41" t="n"/>
      <c r="Q161" s="53">
        <f>AY30</f>
        <v/>
      </c>
      <c r="R161" s="41" t="n"/>
      <c r="S161" s="53">
        <f>AQ30</f>
        <v/>
      </c>
      <c r="T161" s="41" t="n"/>
      <c r="U161" s="41" t="n"/>
      <c r="V161" s="53">
        <f>BC30</f>
        <v/>
      </c>
      <c r="W161" s="41" t="n"/>
      <c r="X161" s="41" t="n"/>
      <c r="Y161" s="40">
        <f>BD30</f>
        <v/>
      </c>
      <c r="Z161" s="41" t="n"/>
      <c r="AA161" s="40">
        <f>BE30</f>
        <v/>
      </c>
      <c r="AB161" s="41" t="n"/>
      <c r="AC161" s="53">
        <f>BG30</f>
        <v/>
      </c>
      <c r="AD161" s="41" t="n"/>
      <c r="AE161" s="41" t="n"/>
      <c r="AF161" s="15" t="n"/>
    </row>
    <row r="162">
      <c r="B162" s="9" t="n"/>
      <c r="C162" s="57" t="n">
        <v>4</v>
      </c>
      <c r="D162" s="41" t="n"/>
      <c r="E162" s="55">
        <f>AI31</f>
        <v/>
      </c>
      <c r="F162" s="41" t="n"/>
      <c r="G162" s="41" t="n"/>
      <c r="H162" s="55">
        <f>AJ31</f>
        <v/>
      </c>
      <c r="I162" s="41" t="n"/>
      <c r="J162" s="41" t="n"/>
      <c r="K162" s="52">
        <f>AM31</f>
        <v/>
      </c>
      <c r="L162" s="41" t="n"/>
      <c r="M162" s="41" t="n"/>
      <c r="N162" s="54">
        <f>AX31</f>
        <v/>
      </c>
      <c r="O162" s="41" t="n"/>
      <c r="P162" s="41" t="n"/>
      <c r="Q162" s="53">
        <f>AY31</f>
        <v/>
      </c>
      <c r="R162" s="41" t="n"/>
      <c r="S162" s="53">
        <f>AQ31</f>
        <v/>
      </c>
      <c r="T162" s="41" t="n"/>
      <c r="U162" s="41" t="n"/>
      <c r="V162" s="53">
        <f>BC31</f>
        <v/>
      </c>
      <c r="W162" s="41" t="n"/>
      <c r="X162" s="41" t="n"/>
      <c r="Y162" s="40">
        <f>BD31</f>
        <v/>
      </c>
      <c r="Z162" s="41" t="n"/>
      <c r="AA162" s="40">
        <f>BE31</f>
        <v/>
      </c>
      <c r="AB162" s="41" t="n"/>
      <c r="AC162" s="53">
        <f>BG31</f>
        <v/>
      </c>
      <c r="AD162" s="41" t="n"/>
      <c r="AE162" s="41" t="n"/>
      <c r="AF162" s="15" t="n"/>
    </row>
    <row r="163">
      <c r="B163" s="9" t="n"/>
      <c r="C163" s="57" t="n">
        <v>5</v>
      </c>
      <c r="D163" s="41" t="n"/>
      <c r="E163" s="55">
        <f>AI32</f>
        <v/>
      </c>
      <c r="F163" s="41" t="n"/>
      <c r="G163" s="41" t="n"/>
      <c r="H163" s="55">
        <f>AJ32</f>
        <v/>
      </c>
      <c r="I163" s="41" t="n"/>
      <c r="J163" s="41" t="n"/>
      <c r="K163" s="52">
        <f>AM32</f>
        <v/>
      </c>
      <c r="L163" s="41" t="n"/>
      <c r="M163" s="41" t="n"/>
      <c r="N163" s="54">
        <f>AX32</f>
        <v/>
      </c>
      <c r="O163" s="41" t="n"/>
      <c r="P163" s="41" t="n"/>
      <c r="Q163" s="53">
        <f>AY32</f>
        <v/>
      </c>
      <c r="R163" s="41" t="n"/>
      <c r="S163" s="53">
        <f>AQ32</f>
        <v/>
      </c>
      <c r="T163" s="41" t="n"/>
      <c r="U163" s="41" t="n"/>
      <c r="V163" s="53">
        <f>BC32</f>
        <v/>
      </c>
      <c r="W163" s="41" t="n"/>
      <c r="X163" s="41" t="n"/>
      <c r="Y163" s="40">
        <f>BD32</f>
        <v/>
      </c>
      <c r="Z163" s="41" t="n"/>
      <c r="AA163" s="40">
        <f>BE32</f>
        <v/>
      </c>
      <c r="AB163" s="41" t="n"/>
      <c r="AC163" s="53">
        <f>BG32</f>
        <v/>
      </c>
      <c r="AD163" s="41" t="n"/>
      <c r="AE163" s="41" t="n"/>
      <c r="AF163" s="15" t="n"/>
    </row>
    <row r="164">
      <c r="B164" s="9" t="n"/>
      <c r="C164" s="57" t="n">
        <v>6</v>
      </c>
      <c r="D164" s="41" t="n"/>
      <c r="E164" s="55">
        <f>AI33</f>
        <v/>
      </c>
      <c r="F164" s="41" t="n"/>
      <c r="G164" s="41" t="n"/>
      <c r="H164" s="55">
        <f>AJ33</f>
        <v/>
      </c>
      <c r="I164" s="41" t="n"/>
      <c r="J164" s="41" t="n"/>
      <c r="K164" s="52">
        <f>AM33</f>
        <v/>
      </c>
      <c r="L164" s="41" t="n"/>
      <c r="M164" s="41" t="n"/>
      <c r="N164" s="54">
        <f>AX33</f>
        <v/>
      </c>
      <c r="O164" s="41" t="n"/>
      <c r="P164" s="41" t="n"/>
      <c r="Q164" s="53">
        <f>AY33</f>
        <v/>
      </c>
      <c r="R164" s="41" t="n"/>
      <c r="S164" s="53">
        <f>AQ33</f>
        <v/>
      </c>
      <c r="T164" s="41" t="n"/>
      <c r="U164" s="41" t="n"/>
      <c r="V164" s="53">
        <f>BC33</f>
        <v/>
      </c>
      <c r="W164" s="41" t="n"/>
      <c r="X164" s="41" t="n"/>
      <c r="Y164" s="40">
        <f>BD33</f>
        <v/>
      </c>
      <c r="Z164" s="41" t="n"/>
      <c r="AA164" s="40">
        <f>BE33</f>
        <v/>
      </c>
      <c r="AB164" s="41" t="n"/>
      <c r="AC164" s="53">
        <f>BG33</f>
        <v/>
      </c>
      <c r="AD164" s="41" t="n"/>
      <c r="AE164" s="41" t="n"/>
      <c r="AF164" s="15" t="n"/>
    </row>
    <row r="165">
      <c r="B165" s="9" t="n"/>
      <c r="C165" s="57" t="n">
        <v>7</v>
      </c>
      <c r="D165" s="41" t="n"/>
      <c r="E165" s="55">
        <f>AI34</f>
        <v/>
      </c>
      <c r="F165" s="41" t="n"/>
      <c r="G165" s="41" t="n"/>
      <c r="H165" s="55">
        <f>AJ34</f>
        <v/>
      </c>
      <c r="I165" s="41" t="n"/>
      <c r="J165" s="41" t="n"/>
      <c r="K165" s="52">
        <f>AM34</f>
        <v/>
      </c>
      <c r="L165" s="41" t="n"/>
      <c r="M165" s="41" t="n"/>
      <c r="N165" s="54">
        <f>AX34</f>
        <v/>
      </c>
      <c r="O165" s="41" t="n"/>
      <c r="P165" s="41" t="n"/>
      <c r="Q165" s="53">
        <f>AY34</f>
        <v/>
      </c>
      <c r="R165" s="41" t="n"/>
      <c r="S165" s="53">
        <f>AQ34</f>
        <v/>
      </c>
      <c r="T165" s="41" t="n"/>
      <c r="U165" s="41" t="n"/>
      <c r="V165" s="53">
        <f>BC34</f>
        <v/>
      </c>
      <c r="W165" s="41" t="n"/>
      <c r="X165" s="41" t="n"/>
      <c r="Y165" s="40">
        <f>BD34</f>
        <v/>
      </c>
      <c r="Z165" s="41" t="n"/>
      <c r="AA165" s="40">
        <f>BE34</f>
        <v/>
      </c>
      <c r="AB165" s="41" t="n"/>
      <c r="AC165" s="53">
        <f>BG34</f>
        <v/>
      </c>
      <c r="AD165" s="41" t="n"/>
      <c r="AE165" s="41" t="n"/>
      <c r="AF165" s="15" t="n"/>
    </row>
    <row r="166">
      <c r="B166" s="9" t="n"/>
      <c r="C166" s="57" t="n">
        <v>8</v>
      </c>
      <c r="D166" s="41" t="n"/>
      <c r="E166" s="55">
        <f>AI35</f>
        <v/>
      </c>
      <c r="F166" s="41" t="n"/>
      <c r="G166" s="41" t="n"/>
      <c r="H166" s="55">
        <f>AJ35</f>
        <v/>
      </c>
      <c r="I166" s="41" t="n"/>
      <c r="J166" s="41" t="n"/>
      <c r="K166" s="52">
        <f>AM35</f>
        <v/>
      </c>
      <c r="L166" s="41" t="n"/>
      <c r="M166" s="41" t="n"/>
      <c r="N166" s="54">
        <f>AX35</f>
        <v/>
      </c>
      <c r="O166" s="41" t="n"/>
      <c r="P166" s="41" t="n"/>
      <c r="Q166" s="53">
        <f>AY35</f>
        <v/>
      </c>
      <c r="R166" s="41" t="n"/>
      <c r="S166" s="53">
        <f>AQ35</f>
        <v/>
      </c>
      <c r="T166" s="41" t="n"/>
      <c r="U166" s="41" t="n"/>
      <c r="V166" s="53">
        <f>BC35</f>
        <v/>
      </c>
      <c r="W166" s="41" t="n"/>
      <c r="X166" s="41" t="n"/>
      <c r="Y166" s="40">
        <f>BD35</f>
        <v/>
      </c>
      <c r="Z166" s="41" t="n"/>
      <c r="AA166" s="40">
        <f>BE35</f>
        <v/>
      </c>
      <c r="AB166" s="41" t="n"/>
      <c r="AC166" s="53">
        <f>BG35</f>
        <v/>
      </c>
      <c r="AD166" s="41" t="n"/>
      <c r="AE166" s="41" t="n"/>
      <c r="AF166" s="15" t="n"/>
    </row>
    <row r="167">
      <c r="B167" s="9" t="n"/>
      <c r="C167" s="57" t="n">
        <v>9</v>
      </c>
      <c r="D167" s="41" t="n"/>
      <c r="E167" s="55">
        <f>AI36</f>
        <v/>
      </c>
      <c r="F167" s="41" t="n"/>
      <c r="G167" s="41" t="n"/>
      <c r="H167" s="55">
        <f>AJ36</f>
        <v/>
      </c>
      <c r="I167" s="41" t="n"/>
      <c r="J167" s="41" t="n"/>
      <c r="K167" s="52">
        <f>AM36</f>
        <v/>
      </c>
      <c r="L167" s="41" t="n"/>
      <c r="M167" s="41" t="n"/>
      <c r="N167" s="54">
        <f>AX36</f>
        <v/>
      </c>
      <c r="O167" s="41" t="n"/>
      <c r="P167" s="41" t="n"/>
      <c r="Q167" s="53">
        <f>AY36</f>
        <v/>
      </c>
      <c r="R167" s="41" t="n"/>
      <c r="S167" s="53">
        <f>AQ36</f>
        <v/>
      </c>
      <c r="T167" s="41" t="n"/>
      <c r="U167" s="41" t="n"/>
      <c r="V167" s="53">
        <f>BC36</f>
        <v/>
      </c>
      <c r="W167" s="41" t="n"/>
      <c r="X167" s="41" t="n"/>
      <c r="Y167" s="40">
        <f>BD36</f>
        <v/>
      </c>
      <c r="Z167" s="41" t="n"/>
      <c r="AA167" s="40">
        <f>BE36</f>
        <v/>
      </c>
      <c r="AB167" s="41" t="n"/>
      <c r="AC167" s="53">
        <f>BG36</f>
        <v/>
      </c>
      <c r="AD167" s="41" t="n"/>
      <c r="AE167" s="41" t="n"/>
      <c r="AF167" s="15" t="n"/>
    </row>
    <row r="168">
      <c r="B168" s="9" t="n"/>
      <c r="C168" s="57" t="n">
        <v>10</v>
      </c>
      <c r="D168" s="41" t="n"/>
      <c r="E168" s="55">
        <f>AI37</f>
        <v/>
      </c>
      <c r="F168" s="41" t="n"/>
      <c r="G168" s="41" t="n"/>
      <c r="H168" s="55">
        <f>AJ37</f>
        <v/>
      </c>
      <c r="I168" s="41" t="n"/>
      <c r="J168" s="41" t="n"/>
      <c r="K168" s="52">
        <f>AM37</f>
        <v/>
      </c>
      <c r="L168" s="41" t="n"/>
      <c r="M168" s="41" t="n"/>
      <c r="N168" s="54">
        <f>AX37</f>
        <v/>
      </c>
      <c r="O168" s="41" t="n"/>
      <c r="P168" s="41" t="n"/>
      <c r="Q168" s="53">
        <f>AY37</f>
        <v/>
      </c>
      <c r="R168" s="41" t="n"/>
      <c r="S168" s="53">
        <f>AQ37</f>
        <v/>
      </c>
      <c r="T168" s="41" t="n"/>
      <c r="U168" s="41" t="n"/>
      <c r="V168" s="53">
        <f>BC37</f>
        <v/>
      </c>
      <c r="W168" s="41" t="n"/>
      <c r="X168" s="41" t="n"/>
      <c r="Y168" s="40">
        <f>BD37</f>
        <v/>
      </c>
      <c r="Z168" s="41" t="n"/>
      <c r="AA168" s="40">
        <f>BE37</f>
        <v/>
      </c>
      <c r="AB168" s="41" t="n"/>
      <c r="AC168" s="53">
        <f>BG37</f>
        <v/>
      </c>
      <c r="AD168" s="41" t="n"/>
      <c r="AE168" s="41" t="n"/>
      <c r="AF168" s="15" t="n"/>
    </row>
    <row r="169">
      <c r="B169" s="9" t="n"/>
      <c r="C169" s="57" t="n">
        <v>11</v>
      </c>
      <c r="D169" s="41" t="n"/>
      <c r="E169" s="55">
        <f>AI38</f>
        <v/>
      </c>
      <c r="F169" s="41" t="n"/>
      <c r="G169" s="41" t="n"/>
      <c r="H169" s="55">
        <f>AJ38</f>
        <v/>
      </c>
      <c r="I169" s="41" t="n"/>
      <c r="J169" s="41" t="n"/>
      <c r="K169" s="52">
        <f>AM38</f>
        <v/>
      </c>
      <c r="L169" s="41" t="n"/>
      <c r="M169" s="41" t="n"/>
      <c r="N169" s="54">
        <f>AX38</f>
        <v/>
      </c>
      <c r="O169" s="41" t="n"/>
      <c r="P169" s="41" t="n"/>
      <c r="Q169" s="53">
        <f>AY38</f>
        <v/>
      </c>
      <c r="R169" s="41" t="n"/>
      <c r="S169" s="53">
        <f>AQ38</f>
        <v/>
      </c>
      <c r="T169" s="41" t="n"/>
      <c r="U169" s="41" t="n"/>
      <c r="V169" s="53">
        <f>BC38</f>
        <v/>
      </c>
      <c r="W169" s="41" t="n"/>
      <c r="X169" s="41" t="n"/>
      <c r="Y169" s="40">
        <f>BD38</f>
        <v/>
      </c>
      <c r="Z169" s="41" t="n"/>
      <c r="AA169" s="40">
        <f>BE38</f>
        <v/>
      </c>
      <c r="AB169" s="41" t="n"/>
      <c r="AC169" s="53">
        <f>BG38</f>
        <v/>
      </c>
      <c r="AD169" s="41" t="n"/>
      <c r="AE169" s="41" t="n"/>
      <c r="AF169" s="15" t="n"/>
    </row>
    <row r="170">
      <c r="B170" s="9" t="n"/>
      <c r="C170" s="57" t="n">
        <v>12</v>
      </c>
      <c r="D170" s="41" t="n"/>
      <c r="E170" s="55">
        <f>AI39</f>
        <v/>
      </c>
      <c r="F170" s="41" t="n"/>
      <c r="G170" s="41" t="n"/>
      <c r="H170" s="55">
        <f>AJ39</f>
        <v/>
      </c>
      <c r="I170" s="41" t="n"/>
      <c r="J170" s="41" t="n"/>
      <c r="K170" s="52">
        <f>AM39</f>
        <v/>
      </c>
      <c r="L170" s="41" t="n"/>
      <c r="M170" s="41" t="n"/>
      <c r="N170" s="54">
        <f>AX39</f>
        <v/>
      </c>
      <c r="O170" s="41" t="n"/>
      <c r="P170" s="41" t="n"/>
      <c r="Q170" s="53">
        <f>AY39</f>
        <v/>
      </c>
      <c r="R170" s="41" t="n"/>
      <c r="S170" s="53">
        <f>AQ39</f>
        <v/>
      </c>
      <c r="T170" s="41" t="n"/>
      <c r="U170" s="41" t="n"/>
      <c r="V170" s="53">
        <f>BC39</f>
        <v/>
      </c>
      <c r="W170" s="41" t="n"/>
      <c r="X170" s="41" t="n"/>
      <c r="Y170" s="40">
        <f>BD39</f>
        <v/>
      </c>
      <c r="Z170" s="41" t="n"/>
      <c r="AA170" s="40">
        <f>BE39</f>
        <v/>
      </c>
      <c r="AB170" s="41" t="n"/>
      <c r="AC170" s="53">
        <f>BG39</f>
        <v/>
      </c>
      <c r="AD170" s="41" t="n"/>
      <c r="AE170" s="41" t="n"/>
      <c r="AF170" s="15" t="n"/>
    </row>
    <row r="171">
      <c r="B171" s="9" t="n"/>
      <c r="C171" s="57" t="n">
        <v>13</v>
      </c>
      <c r="D171" s="41" t="n"/>
      <c r="E171" s="55">
        <f>AI40</f>
        <v/>
      </c>
      <c r="F171" s="41" t="n"/>
      <c r="G171" s="41" t="n"/>
      <c r="H171" s="55">
        <f>AJ40</f>
        <v/>
      </c>
      <c r="I171" s="41" t="n"/>
      <c r="J171" s="41" t="n"/>
      <c r="K171" s="52">
        <f>AM40</f>
        <v/>
      </c>
      <c r="L171" s="41" t="n"/>
      <c r="M171" s="41" t="n"/>
      <c r="N171" s="54">
        <f>AX40</f>
        <v/>
      </c>
      <c r="O171" s="41" t="n"/>
      <c r="P171" s="41" t="n"/>
      <c r="Q171" s="53">
        <f>AY40</f>
        <v/>
      </c>
      <c r="R171" s="41" t="n"/>
      <c r="S171" s="53">
        <f>AQ40</f>
        <v/>
      </c>
      <c r="T171" s="41" t="n"/>
      <c r="U171" s="41" t="n"/>
      <c r="V171" s="53">
        <f>BC40</f>
        <v/>
      </c>
      <c r="W171" s="41" t="n"/>
      <c r="X171" s="41" t="n"/>
      <c r="Y171" s="40">
        <f>BD40</f>
        <v/>
      </c>
      <c r="Z171" s="41" t="n"/>
      <c r="AA171" s="40">
        <f>BE40</f>
        <v/>
      </c>
      <c r="AB171" s="41" t="n"/>
      <c r="AC171" s="53">
        <f>BG40</f>
        <v/>
      </c>
      <c r="AD171" s="41" t="n"/>
      <c r="AE171" s="41" t="n"/>
      <c r="AF171" s="15" t="n"/>
    </row>
    <row r="172">
      <c r="B172" s="9" t="n"/>
      <c r="C172" s="57" t="n">
        <v>14</v>
      </c>
      <c r="D172" s="41" t="n"/>
      <c r="E172" s="55">
        <f>AI41</f>
        <v/>
      </c>
      <c r="F172" s="41" t="n"/>
      <c r="G172" s="41" t="n"/>
      <c r="H172" s="55">
        <f>AJ41</f>
        <v/>
      </c>
      <c r="I172" s="41" t="n"/>
      <c r="J172" s="41" t="n"/>
      <c r="K172" s="52">
        <f>AM41</f>
        <v/>
      </c>
      <c r="L172" s="41" t="n"/>
      <c r="M172" s="41" t="n"/>
      <c r="N172" s="54">
        <f>AX41</f>
        <v/>
      </c>
      <c r="O172" s="41" t="n"/>
      <c r="P172" s="41" t="n"/>
      <c r="Q172" s="53">
        <f>AY41</f>
        <v/>
      </c>
      <c r="R172" s="41" t="n"/>
      <c r="S172" s="53">
        <f>AQ41</f>
        <v/>
      </c>
      <c r="T172" s="41" t="n"/>
      <c r="U172" s="41" t="n"/>
      <c r="V172" s="53">
        <f>BC41</f>
        <v/>
      </c>
      <c r="W172" s="41" t="n"/>
      <c r="X172" s="41" t="n"/>
      <c r="Y172" s="40">
        <f>BD41</f>
        <v/>
      </c>
      <c r="Z172" s="41" t="n"/>
      <c r="AA172" s="40">
        <f>BE41</f>
        <v/>
      </c>
      <c r="AB172" s="41" t="n"/>
      <c r="AC172" s="53">
        <f>BG41</f>
        <v/>
      </c>
      <c r="AD172" s="41" t="n"/>
      <c r="AE172" s="41" t="n"/>
      <c r="AF172" s="15" t="n"/>
    </row>
    <row r="173">
      <c r="B173" s="9" t="n"/>
      <c r="C173" s="57" t="n">
        <v>15</v>
      </c>
      <c r="D173" s="41" t="n"/>
      <c r="E173" s="55">
        <f>AI42</f>
        <v/>
      </c>
      <c r="F173" s="41" t="n"/>
      <c r="G173" s="41" t="n"/>
      <c r="H173" s="55">
        <f>AJ42</f>
        <v/>
      </c>
      <c r="I173" s="41" t="n"/>
      <c r="J173" s="41" t="n"/>
      <c r="K173" s="52">
        <f>AM42</f>
        <v/>
      </c>
      <c r="L173" s="41" t="n"/>
      <c r="M173" s="41" t="n"/>
      <c r="N173" s="54">
        <f>AX42</f>
        <v/>
      </c>
      <c r="O173" s="41" t="n"/>
      <c r="P173" s="41" t="n"/>
      <c r="Q173" s="53">
        <f>AY42</f>
        <v/>
      </c>
      <c r="R173" s="41" t="n"/>
      <c r="S173" s="53">
        <f>AQ42</f>
        <v/>
      </c>
      <c r="T173" s="41" t="n"/>
      <c r="U173" s="41" t="n"/>
      <c r="V173" s="53">
        <f>BC42</f>
        <v/>
      </c>
      <c r="W173" s="41" t="n"/>
      <c r="X173" s="41" t="n"/>
      <c r="Y173" s="40">
        <f>BD42</f>
        <v/>
      </c>
      <c r="Z173" s="41" t="n"/>
      <c r="AA173" s="40">
        <f>BE42</f>
        <v/>
      </c>
      <c r="AB173" s="41" t="n"/>
      <c r="AC173" s="53">
        <f>BG42</f>
        <v/>
      </c>
      <c r="AD173" s="41" t="n"/>
      <c r="AE173" s="41" t="n"/>
      <c r="AF173" s="15" t="n"/>
    </row>
    <row r="174">
      <c r="B174" s="9" t="n"/>
      <c r="C174" s="57" t="n">
        <v>16</v>
      </c>
      <c r="D174" s="41" t="n"/>
      <c r="E174" s="55">
        <f>AI43</f>
        <v/>
      </c>
      <c r="F174" s="41" t="n"/>
      <c r="G174" s="41" t="n"/>
      <c r="H174" s="55">
        <f>AJ43</f>
        <v/>
      </c>
      <c r="I174" s="41" t="n"/>
      <c r="J174" s="41" t="n"/>
      <c r="K174" s="52">
        <f>AM43</f>
        <v/>
      </c>
      <c r="L174" s="41" t="n"/>
      <c r="M174" s="41" t="n"/>
      <c r="N174" s="54">
        <f>AX43</f>
        <v/>
      </c>
      <c r="O174" s="41" t="n"/>
      <c r="P174" s="41" t="n"/>
      <c r="Q174" s="53">
        <f>AY43</f>
        <v/>
      </c>
      <c r="R174" s="41" t="n"/>
      <c r="S174" s="53">
        <f>AQ43</f>
        <v/>
      </c>
      <c r="T174" s="41" t="n"/>
      <c r="U174" s="41" t="n"/>
      <c r="V174" s="53">
        <f>BC43</f>
        <v/>
      </c>
      <c r="W174" s="41" t="n"/>
      <c r="X174" s="41" t="n"/>
      <c r="Y174" s="40">
        <f>BD43</f>
        <v/>
      </c>
      <c r="Z174" s="41" t="n"/>
      <c r="AA174" s="40">
        <f>BE43</f>
        <v/>
      </c>
      <c r="AB174" s="41" t="n"/>
      <c r="AC174" s="53">
        <f>BG43</f>
        <v/>
      </c>
      <c r="AD174" s="41" t="n"/>
      <c r="AE174" s="41" t="n"/>
      <c r="AF174" s="15" t="n"/>
    </row>
    <row r="175">
      <c r="B175" s="9" t="n"/>
      <c r="C175" s="57" t="n">
        <v>17</v>
      </c>
      <c r="D175" s="41" t="n"/>
      <c r="E175" s="55">
        <f>AI44</f>
        <v/>
      </c>
      <c r="F175" s="41" t="n"/>
      <c r="G175" s="41" t="n"/>
      <c r="H175" s="55">
        <f>AJ44</f>
        <v/>
      </c>
      <c r="I175" s="41" t="n"/>
      <c r="J175" s="41" t="n"/>
      <c r="K175" s="52">
        <f>AM44</f>
        <v/>
      </c>
      <c r="L175" s="41" t="n"/>
      <c r="M175" s="41" t="n"/>
      <c r="N175" s="54">
        <f>AX44</f>
        <v/>
      </c>
      <c r="O175" s="41" t="n"/>
      <c r="P175" s="41" t="n"/>
      <c r="Q175" s="53">
        <f>AY44</f>
        <v/>
      </c>
      <c r="R175" s="41" t="n"/>
      <c r="S175" s="53">
        <f>AQ44</f>
        <v/>
      </c>
      <c r="T175" s="41" t="n"/>
      <c r="U175" s="41" t="n"/>
      <c r="V175" s="53">
        <f>BC44</f>
        <v/>
      </c>
      <c r="W175" s="41" t="n"/>
      <c r="X175" s="41" t="n"/>
      <c r="Y175" s="40">
        <f>BD44</f>
        <v/>
      </c>
      <c r="Z175" s="41" t="n"/>
      <c r="AA175" s="40">
        <f>BE44</f>
        <v/>
      </c>
      <c r="AB175" s="41" t="n"/>
      <c r="AC175" s="53">
        <f>BG44</f>
        <v/>
      </c>
      <c r="AD175" s="41" t="n"/>
      <c r="AE175" s="41" t="n"/>
      <c r="AF175" s="15" t="n"/>
    </row>
    <row r="176">
      <c r="B176" s="9" t="n"/>
      <c r="C176" s="57" t="n">
        <v>18</v>
      </c>
      <c r="D176" s="41" t="n"/>
      <c r="E176" s="55">
        <f>AI45</f>
        <v/>
      </c>
      <c r="F176" s="41" t="n"/>
      <c r="G176" s="41" t="n"/>
      <c r="H176" s="55">
        <f>AJ45</f>
        <v/>
      </c>
      <c r="I176" s="41" t="n"/>
      <c r="J176" s="41" t="n"/>
      <c r="K176" s="52">
        <f>AM45</f>
        <v/>
      </c>
      <c r="L176" s="41" t="n"/>
      <c r="M176" s="41" t="n"/>
      <c r="N176" s="54">
        <f>AX45</f>
        <v/>
      </c>
      <c r="O176" s="41" t="n"/>
      <c r="P176" s="41" t="n"/>
      <c r="Q176" s="53">
        <f>AY45</f>
        <v/>
      </c>
      <c r="R176" s="41" t="n"/>
      <c r="S176" s="53">
        <f>AQ45</f>
        <v/>
      </c>
      <c r="T176" s="41" t="n"/>
      <c r="U176" s="41" t="n"/>
      <c r="V176" s="53">
        <f>BC45</f>
        <v/>
      </c>
      <c r="W176" s="41" t="n"/>
      <c r="X176" s="41" t="n"/>
      <c r="Y176" s="40">
        <f>BD45</f>
        <v/>
      </c>
      <c r="Z176" s="41" t="n"/>
      <c r="AA176" s="40">
        <f>BE45</f>
        <v/>
      </c>
      <c r="AB176" s="41" t="n"/>
      <c r="AC176" s="53">
        <f>BG45</f>
        <v/>
      </c>
      <c r="AD176" s="41" t="n"/>
      <c r="AE176" s="41" t="n"/>
      <c r="AF176" s="15" t="n"/>
    </row>
    <row r="177">
      <c r="B177" s="9" t="n"/>
      <c r="C177" s="57" t="n">
        <v>19</v>
      </c>
      <c r="D177" s="41" t="n"/>
      <c r="E177" s="55">
        <f>AI46</f>
        <v/>
      </c>
      <c r="F177" s="41" t="n"/>
      <c r="G177" s="41" t="n"/>
      <c r="H177" s="55">
        <f>AJ46</f>
        <v/>
      </c>
      <c r="I177" s="41" t="n"/>
      <c r="J177" s="41" t="n"/>
      <c r="K177" s="52">
        <f>AM46</f>
        <v/>
      </c>
      <c r="L177" s="41" t="n"/>
      <c r="M177" s="41" t="n"/>
      <c r="N177" s="54">
        <f>AX46</f>
        <v/>
      </c>
      <c r="O177" s="41" t="n"/>
      <c r="P177" s="41" t="n"/>
      <c r="Q177" s="53">
        <f>AY46</f>
        <v/>
      </c>
      <c r="R177" s="41" t="n"/>
      <c r="S177" s="53">
        <f>AQ46</f>
        <v/>
      </c>
      <c r="T177" s="41" t="n"/>
      <c r="U177" s="41" t="n"/>
      <c r="V177" s="53">
        <f>BC46</f>
        <v/>
      </c>
      <c r="W177" s="41" t="n"/>
      <c r="X177" s="41" t="n"/>
      <c r="Y177" s="40">
        <f>BD46</f>
        <v/>
      </c>
      <c r="Z177" s="41" t="n"/>
      <c r="AA177" s="40">
        <f>BE46</f>
        <v/>
      </c>
      <c r="AB177" s="41" t="n"/>
      <c r="AC177" s="53">
        <f>BG46</f>
        <v/>
      </c>
      <c r="AD177" s="41" t="n"/>
      <c r="AE177" s="41" t="n"/>
      <c r="AF177" s="15" t="n"/>
    </row>
    <row r="178">
      <c r="B178" s="9" t="n"/>
      <c r="C178" s="57" t="n">
        <v>20</v>
      </c>
      <c r="D178" s="41" t="n"/>
      <c r="E178" s="55">
        <f>AI47</f>
        <v/>
      </c>
      <c r="F178" s="41" t="n"/>
      <c r="G178" s="41" t="n"/>
      <c r="H178" s="55">
        <f>AJ47</f>
        <v/>
      </c>
      <c r="I178" s="41" t="n"/>
      <c r="J178" s="41" t="n"/>
      <c r="K178" s="52">
        <f>AM47</f>
        <v/>
      </c>
      <c r="L178" s="41" t="n"/>
      <c r="M178" s="41" t="n"/>
      <c r="N178" s="54">
        <f>AX47</f>
        <v/>
      </c>
      <c r="O178" s="41" t="n"/>
      <c r="P178" s="41" t="n"/>
      <c r="Q178" s="53">
        <f>AY47</f>
        <v/>
      </c>
      <c r="R178" s="41" t="n"/>
      <c r="S178" s="53">
        <f>AQ47</f>
        <v/>
      </c>
      <c r="T178" s="41" t="n"/>
      <c r="U178" s="41" t="n"/>
      <c r="V178" s="53">
        <f>BC47</f>
        <v/>
      </c>
      <c r="W178" s="41" t="n"/>
      <c r="X178" s="41" t="n"/>
      <c r="Y178" s="40">
        <f>BD47</f>
        <v/>
      </c>
      <c r="Z178" s="41" t="n"/>
      <c r="AA178" s="40">
        <f>BE47</f>
        <v/>
      </c>
      <c r="AB178" s="41" t="n"/>
      <c r="AC178" s="53">
        <f>BG47</f>
        <v/>
      </c>
      <c r="AD178" s="41" t="n"/>
      <c r="AE178" s="41" t="n"/>
      <c r="AF178" s="15" t="n"/>
    </row>
    <row r="179">
      <c r="B179" s="9" t="n"/>
      <c r="C179" s="57" t="n">
        <v>21</v>
      </c>
      <c r="D179" s="41" t="n"/>
      <c r="E179" s="55">
        <f>AI48</f>
        <v/>
      </c>
      <c r="F179" s="41" t="n"/>
      <c r="G179" s="41" t="n"/>
      <c r="H179" s="55">
        <f>AJ48</f>
        <v/>
      </c>
      <c r="I179" s="41" t="n"/>
      <c r="J179" s="41" t="n"/>
      <c r="K179" s="52">
        <f>AM48</f>
        <v/>
      </c>
      <c r="L179" s="41" t="n"/>
      <c r="M179" s="41" t="n"/>
      <c r="N179" s="54">
        <f>AX48</f>
        <v/>
      </c>
      <c r="O179" s="41" t="n"/>
      <c r="P179" s="41" t="n"/>
      <c r="Q179" s="53">
        <f>AY48</f>
        <v/>
      </c>
      <c r="R179" s="41" t="n"/>
      <c r="S179" s="53">
        <f>AQ48</f>
        <v/>
      </c>
      <c r="T179" s="41" t="n"/>
      <c r="U179" s="41" t="n"/>
      <c r="V179" s="53">
        <f>BC48</f>
        <v/>
      </c>
      <c r="W179" s="41" t="n"/>
      <c r="X179" s="41" t="n"/>
      <c r="Y179" s="40">
        <f>BD48</f>
        <v/>
      </c>
      <c r="Z179" s="41" t="n"/>
      <c r="AA179" s="40">
        <f>BE48</f>
        <v/>
      </c>
      <c r="AB179" s="41" t="n"/>
      <c r="AC179" s="53">
        <f>BG48</f>
        <v/>
      </c>
      <c r="AD179" s="41" t="n"/>
      <c r="AE179" s="41" t="n"/>
      <c r="AF179" s="15" t="n"/>
    </row>
    <row r="180">
      <c r="B180" s="9" t="n"/>
      <c r="C180" s="57" t="n">
        <v>22</v>
      </c>
      <c r="D180" s="41" t="n"/>
      <c r="E180" s="55">
        <f>AI49</f>
        <v/>
      </c>
      <c r="F180" s="41" t="n"/>
      <c r="G180" s="41" t="n"/>
      <c r="H180" s="55">
        <f>AJ49</f>
        <v/>
      </c>
      <c r="I180" s="41" t="n"/>
      <c r="J180" s="41" t="n"/>
      <c r="K180" s="52">
        <f>AM49</f>
        <v/>
      </c>
      <c r="L180" s="41" t="n"/>
      <c r="M180" s="41" t="n"/>
      <c r="N180" s="54">
        <f>AX49</f>
        <v/>
      </c>
      <c r="O180" s="41" t="n"/>
      <c r="P180" s="41" t="n"/>
      <c r="Q180" s="53">
        <f>AY49</f>
        <v/>
      </c>
      <c r="R180" s="41" t="n"/>
      <c r="S180" s="53">
        <f>AQ49</f>
        <v/>
      </c>
      <c r="T180" s="41" t="n"/>
      <c r="U180" s="41" t="n"/>
      <c r="V180" s="53">
        <f>BC49</f>
        <v/>
      </c>
      <c r="W180" s="41" t="n"/>
      <c r="X180" s="41" t="n"/>
      <c r="Y180" s="40">
        <f>BD49</f>
        <v/>
      </c>
      <c r="Z180" s="41" t="n"/>
      <c r="AA180" s="40">
        <f>BE49</f>
        <v/>
      </c>
      <c r="AB180" s="41" t="n"/>
      <c r="AC180" s="53">
        <f>BG49</f>
        <v/>
      </c>
      <c r="AD180" s="41" t="n"/>
      <c r="AE180" s="41" t="n"/>
      <c r="AF180" s="15" t="n"/>
    </row>
    <row r="181">
      <c r="B181" s="9" t="n"/>
      <c r="C181" s="57" t="n">
        <v>23</v>
      </c>
      <c r="D181" s="41" t="n"/>
      <c r="E181" s="55">
        <f>AI50</f>
        <v/>
      </c>
      <c r="F181" s="41" t="n"/>
      <c r="G181" s="41" t="n"/>
      <c r="H181" s="55">
        <f>AJ50</f>
        <v/>
      </c>
      <c r="I181" s="41" t="n"/>
      <c r="J181" s="41" t="n"/>
      <c r="K181" s="52">
        <f>AM50</f>
        <v/>
      </c>
      <c r="L181" s="41" t="n"/>
      <c r="M181" s="41" t="n"/>
      <c r="N181" s="54">
        <f>AX50</f>
        <v/>
      </c>
      <c r="O181" s="41" t="n"/>
      <c r="P181" s="41" t="n"/>
      <c r="Q181" s="53">
        <f>AY50</f>
        <v/>
      </c>
      <c r="R181" s="41" t="n"/>
      <c r="S181" s="53">
        <f>AQ50</f>
        <v/>
      </c>
      <c r="T181" s="41" t="n"/>
      <c r="U181" s="41" t="n"/>
      <c r="V181" s="53">
        <f>BC50</f>
        <v/>
      </c>
      <c r="W181" s="41" t="n"/>
      <c r="X181" s="41" t="n"/>
      <c r="Y181" s="40">
        <f>BD50</f>
        <v/>
      </c>
      <c r="Z181" s="41" t="n"/>
      <c r="AA181" s="40">
        <f>BE50</f>
        <v/>
      </c>
      <c r="AB181" s="41" t="n"/>
      <c r="AC181" s="53">
        <f>BG50</f>
        <v/>
      </c>
      <c r="AD181" s="41" t="n"/>
      <c r="AE181" s="41" t="n"/>
      <c r="AF181" s="15" t="n"/>
    </row>
    <row r="182">
      <c r="B182" s="9" t="n"/>
      <c r="C182" s="57" t="n">
        <v>24</v>
      </c>
      <c r="D182" s="41" t="n"/>
      <c r="E182" s="55">
        <f>AI51</f>
        <v/>
      </c>
      <c r="F182" s="41" t="n"/>
      <c r="G182" s="41" t="n"/>
      <c r="H182" s="55">
        <f>AJ51</f>
        <v/>
      </c>
      <c r="I182" s="41" t="n"/>
      <c r="J182" s="41" t="n"/>
      <c r="K182" s="52">
        <f>AM51</f>
        <v/>
      </c>
      <c r="L182" s="41" t="n"/>
      <c r="M182" s="41" t="n"/>
      <c r="N182" s="54">
        <f>AX51</f>
        <v/>
      </c>
      <c r="O182" s="41" t="n"/>
      <c r="P182" s="41" t="n"/>
      <c r="Q182" s="53">
        <f>AY51</f>
        <v/>
      </c>
      <c r="R182" s="41" t="n"/>
      <c r="S182" s="53">
        <f>AQ51</f>
        <v/>
      </c>
      <c r="T182" s="41" t="n"/>
      <c r="U182" s="41" t="n"/>
      <c r="V182" s="53">
        <f>BC51</f>
        <v/>
      </c>
      <c r="W182" s="41" t="n"/>
      <c r="X182" s="41" t="n"/>
      <c r="Y182" s="40">
        <f>BD51</f>
        <v/>
      </c>
      <c r="Z182" s="41" t="n"/>
      <c r="AA182" s="40">
        <f>BE51</f>
        <v/>
      </c>
      <c r="AB182" s="41" t="n"/>
      <c r="AC182" s="53">
        <f>BG51</f>
        <v/>
      </c>
      <c r="AD182" s="41" t="n"/>
      <c r="AE182" s="41" t="n"/>
      <c r="AF182" s="15" t="n"/>
    </row>
    <row r="183">
      <c r="B183" s="9" t="n"/>
      <c r="C183" s="57" t="n">
        <v>25</v>
      </c>
      <c r="D183" s="41" t="n"/>
      <c r="E183" s="55">
        <f>AI52</f>
        <v/>
      </c>
      <c r="F183" s="41" t="n"/>
      <c r="G183" s="41" t="n"/>
      <c r="H183" s="55">
        <f>AJ52</f>
        <v/>
      </c>
      <c r="I183" s="41" t="n"/>
      <c r="J183" s="41" t="n"/>
      <c r="K183" s="52">
        <f>AM52</f>
        <v/>
      </c>
      <c r="L183" s="41" t="n"/>
      <c r="M183" s="41" t="n"/>
      <c r="N183" s="54">
        <f>AX52</f>
        <v/>
      </c>
      <c r="O183" s="41" t="n"/>
      <c r="P183" s="41" t="n"/>
      <c r="Q183" s="53">
        <f>AY52</f>
        <v/>
      </c>
      <c r="R183" s="41" t="n"/>
      <c r="S183" s="53">
        <f>AQ52</f>
        <v/>
      </c>
      <c r="T183" s="41" t="n"/>
      <c r="U183" s="41" t="n"/>
      <c r="V183" s="53">
        <f>BC52</f>
        <v/>
      </c>
      <c r="W183" s="41" t="n"/>
      <c r="X183" s="41" t="n"/>
      <c r="Y183" s="40">
        <f>BD52</f>
        <v/>
      </c>
      <c r="Z183" s="41" t="n"/>
      <c r="AA183" s="40">
        <f>BE52</f>
        <v/>
      </c>
      <c r="AB183" s="41" t="n"/>
      <c r="AC183" s="53">
        <f>BG52</f>
        <v/>
      </c>
      <c r="AD183" s="41" t="n"/>
      <c r="AE183" s="41" t="n"/>
      <c r="AF183" s="15" t="n"/>
    </row>
    <row r="184">
      <c r="B184" s="9" t="n"/>
      <c r="C184" s="57" t="n">
        <v>26</v>
      </c>
      <c r="D184" s="41" t="n"/>
      <c r="E184" s="55">
        <f>AI53</f>
        <v/>
      </c>
      <c r="F184" s="41" t="n"/>
      <c r="G184" s="41" t="n"/>
      <c r="H184" s="55">
        <f>AJ53</f>
        <v/>
      </c>
      <c r="I184" s="41" t="n"/>
      <c r="J184" s="41" t="n"/>
      <c r="K184" s="52">
        <f>AM53</f>
        <v/>
      </c>
      <c r="L184" s="41" t="n"/>
      <c r="M184" s="41" t="n"/>
      <c r="N184" s="54">
        <f>AX53</f>
        <v/>
      </c>
      <c r="O184" s="41" t="n"/>
      <c r="P184" s="41" t="n"/>
      <c r="Q184" s="53">
        <f>AY53</f>
        <v/>
      </c>
      <c r="R184" s="41" t="n"/>
      <c r="S184" s="53">
        <f>AQ53</f>
        <v/>
      </c>
      <c r="T184" s="41" t="n"/>
      <c r="U184" s="41" t="n"/>
      <c r="V184" s="53">
        <f>BC53</f>
        <v/>
      </c>
      <c r="W184" s="41" t="n"/>
      <c r="X184" s="41" t="n"/>
      <c r="Y184" s="40">
        <f>BD53</f>
        <v/>
      </c>
      <c r="Z184" s="41" t="n"/>
      <c r="AA184" s="40">
        <f>BE53</f>
        <v/>
      </c>
      <c r="AB184" s="41" t="n"/>
      <c r="AC184" s="53">
        <f>BG53</f>
        <v/>
      </c>
      <c r="AD184" s="41" t="n"/>
      <c r="AE184" s="41" t="n"/>
      <c r="AF184" s="15" t="n"/>
    </row>
    <row r="185">
      <c r="B185" s="9" t="n"/>
      <c r="C185" s="57" t="n">
        <v>27</v>
      </c>
      <c r="D185" s="41" t="n"/>
      <c r="E185" s="55">
        <f>AI54</f>
        <v/>
      </c>
      <c r="F185" s="41" t="n"/>
      <c r="G185" s="41" t="n"/>
      <c r="H185" s="55">
        <f>AJ54</f>
        <v/>
      </c>
      <c r="I185" s="41" t="n"/>
      <c r="J185" s="41" t="n"/>
      <c r="K185" s="52">
        <f>AM54</f>
        <v/>
      </c>
      <c r="L185" s="41" t="n"/>
      <c r="M185" s="41" t="n"/>
      <c r="N185" s="54">
        <f>AX54</f>
        <v/>
      </c>
      <c r="O185" s="41" t="n"/>
      <c r="P185" s="41" t="n"/>
      <c r="Q185" s="53">
        <f>AY54</f>
        <v/>
      </c>
      <c r="R185" s="41" t="n"/>
      <c r="S185" s="53">
        <f>AQ54</f>
        <v/>
      </c>
      <c r="T185" s="41" t="n"/>
      <c r="U185" s="41" t="n"/>
      <c r="V185" s="53">
        <f>BC54</f>
        <v/>
      </c>
      <c r="W185" s="41" t="n"/>
      <c r="X185" s="41" t="n"/>
      <c r="Y185" s="40">
        <f>BD54</f>
        <v/>
      </c>
      <c r="Z185" s="41" t="n"/>
      <c r="AA185" s="40">
        <f>BE54</f>
        <v/>
      </c>
      <c r="AB185" s="41" t="n"/>
      <c r="AC185" s="53">
        <f>BG54</f>
        <v/>
      </c>
      <c r="AD185" s="41" t="n"/>
      <c r="AE185" s="41" t="n"/>
      <c r="AF185" s="15" t="n"/>
    </row>
    <row r="186">
      <c r="B186" s="9" t="n"/>
      <c r="C186" s="57" t="n">
        <v>28</v>
      </c>
      <c r="D186" s="41" t="n"/>
      <c r="E186" s="55">
        <f>AI55</f>
        <v/>
      </c>
      <c r="F186" s="41" t="n"/>
      <c r="G186" s="41" t="n"/>
      <c r="H186" s="55">
        <f>AJ55</f>
        <v/>
      </c>
      <c r="I186" s="41" t="n"/>
      <c r="J186" s="41" t="n"/>
      <c r="K186" s="52">
        <f>AM55</f>
        <v/>
      </c>
      <c r="L186" s="41" t="n"/>
      <c r="M186" s="41" t="n"/>
      <c r="N186" s="54">
        <f>AX55</f>
        <v/>
      </c>
      <c r="O186" s="41" t="n"/>
      <c r="P186" s="41" t="n"/>
      <c r="Q186" s="53">
        <f>AY55</f>
        <v/>
      </c>
      <c r="R186" s="41" t="n"/>
      <c r="S186" s="53">
        <f>AQ55</f>
        <v/>
      </c>
      <c r="T186" s="41" t="n"/>
      <c r="U186" s="41" t="n"/>
      <c r="V186" s="53">
        <f>BC55</f>
        <v/>
      </c>
      <c r="W186" s="41" t="n"/>
      <c r="X186" s="41" t="n"/>
      <c r="Y186" s="40">
        <f>BD55</f>
        <v/>
      </c>
      <c r="Z186" s="41" t="n"/>
      <c r="AA186" s="40">
        <f>BE55</f>
        <v/>
      </c>
      <c r="AB186" s="41" t="n"/>
      <c r="AC186" s="53">
        <f>BG55</f>
        <v/>
      </c>
      <c r="AD186" s="41" t="n"/>
      <c r="AE186" s="41" t="n"/>
      <c r="AF186" s="15" t="n"/>
    </row>
    <row r="187">
      <c r="B187" s="9" t="n"/>
      <c r="C187" s="57" t="n">
        <v>29</v>
      </c>
      <c r="D187" s="41" t="n"/>
      <c r="E187" s="55">
        <f>AI56</f>
        <v/>
      </c>
      <c r="F187" s="41" t="n"/>
      <c r="G187" s="41" t="n"/>
      <c r="H187" s="55">
        <f>AJ56</f>
        <v/>
      </c>
      <c r="I187" s="41" t="n"/>
      <c r="J187" s="41" t="n"/>
      <c r="K187" s="52">
        <f>AM56</f>
        <v/>
      </c>
      <c r="L187" s="41" t="n"/>
      <c r="M187" s="41" t="n"/>
      <c r="N187" s="54">
        <f>AX56</f>
        <v/>
      </c>
      <c r="O187" s="41" t="n"/>
      <c r="P187" s="41" t="n"/>
      <c r="Q187" s="53">
        <f>AY56</f>
        <v/>
      </c>
      <c r="R187" s="41" t="n"/>
      <c r="S187" s="53">
        <f>AQ56</f>
        <v/>
      </c>
      <c r="T187" s="41" t="n"/>
      <c r="U187" s="41" t="n"/>
      <c r="V187" s="53">
        <f>BC56</f>
        <v/>
      </c>
      <c r="W187" s="41" t="n"/>
      <c r="X187" s="41" t="n"/>
      <c r="Y187" s="40">
        <f>BD56</f>
        <v/>
      </c>
      <c r="Z187" s="41" t="n"/>
      <c r="AA187" s="40">
        <f>BE56</f>
        <v/>
      </c>
      <c r="AB187" s="41" t="n"/>
      <c r="AC187" s="53">
        <f>BG56</f>
        <v/>
      </c>
      <c r="AD187" s="41" t="n"/>
      <c r="AE187" s="41" t="n"/>
      <c r="AF187" s="15" t="n"/>
    </row>
    <row r="188">
      <c r="B188" s="9" t="n"/>
      <c r="C188" s="57" t="n">
        <v>30</v>
      </c>
      <c r="D188" s="41" t="n"/>
      <c r="E188" s="55">
        <f>AI57</f>
        <v/>
      </c>
      <c r="F188" s="41" t="n"/>
      <c r="G188" s="41" t="n"/>
      <c r="H188" s="55">
        <f>AJ57</f>
        <v/>
      </c>
      <c r="I188" s="41" t="n"/>
      <c r="J188" s="41" t="n"/>
      <c r="K188" s="52">
        <f>AM57</f>
        <v/>
      </c>
      <c r="L188" s="41" t="n"/>
      <c r="M188" s="41" t="n"/>
      <c r="N188" s="54">
        <f>AX57</f>
        <v/>
      </c>
      <c r="O188" s="41" t="n"/>
      <c r="P188" s="41" t="n"/>
      <c r="Q188" s="53">
        <f>AY57</f>
        <v/>
      </c>
      <c r="R188" s="41" t="n"/>
      <c r="S188" s="53">
        <f>AQ57</f>
        <v/>
      </c>
      <c r="T188" s="41" t="n"/>
      <c r="U188" s="41" t="n"/>
      <c r="V188" s="53">
        <f>BC57</f>
        <v/>
      </c>
      <c r="W188" s="41" t="n"/>
      <c r="X188" s="41" t="n"/>
      <c r="Y188" s="40">
        <f>BD57</f>
        <v/>
      </c>
      <c r="Z188" s="41" t="n"/>
      <c r="AA188" s="40">
        <f>BE57</f>
        <v/>
      </c>
      <c r="AB188" s="41" t="n"/>
      <c r="AC188" s="53">
        <f>BG57</f>
        <v/>
      </c>
      <c r="AD188" s="41" t="n"/>
      <c r="AE188" s="41" t="n"/>
      <c r="AF188" s="15" t="n"/>
    </row>
    <row r="189">
      <c r="B189" s="9" t="n"/>
      <c r="C189" s="57" t="n">
        <v>31</v>
      </c>
      <c r="D189" s="41" t="n"/>
      <c r="E189" s="55">
        <f>AI58</f>
        <v/>
      </c>
      <c r="F189" s="41" t="n"/>
      <c r="G189" s="41" t="n"/>
      <c r="H189" s="55">
        <f>AJ58</f>
        <v/>
      </c>
      <c r="I189" s="41" t="n"/>
      <c r="J189" s="41" t="n"/>
      <c r="K189" s="52">
        <f>AM58</f>
        <v/>
      </c>
      <c r="L189" s="41" t="n"/>
      <c r="M189" s="41" t="n"/>
      <c r="N189" s="54">
        <f>AX58</f>
        <v/>
      </c>
      <c r="O189" s="41" t="n"/>
      <c r="P189" s="41" t="n"/>
      <c r="Q189" s="53">
        <f>AY58</f>
        <v/>
      </c>
      <c r="R189" s="41" t="n"/>
      <c r="S189" s="53">
        <f>AQ58</f>
        <v/>
      </c>
      <c r="T189" s="41" t="n"/>
      <c r="U189" s="41" t="n"/>
      <c r="V189" s="53">
        <f>BC58</f>
        <v/>
      </c>
      <c r="W189" s="41" t="n"/>
      <c r="X189" s="41" t="n"/>
      <c r="Y189" s="40">
        <f>BD58</f>
        <v/>
      </c>
      <c r="Z189" s="41" t="n"/>
      <c r="AA189" s="40">
        <f>BE58</f>
        <v/>
      </c>
      <c r="AB189" s="41" t="n"/>
      <c r="AC189" s="53">
        <f>BG58</f>
        <v/>
      </c>
      <c r="AD189" s="41" t="n"/>
      <c r="AE189" s="41" t="n"/>
      <c r="AF189" s="15" t="n"/>
    </row>
    <row r="190">
      <c r="B190" s="9" t="n"/>
      <c r="C190" s="57" t="n">
        <v>32</v>
      </c>
      <c r="D190" s="41" t="n"/>
      <c r="E190" s="55">
        <f>AI59</f>
        <v/>
      </c>
      <c r="F190" s="41" t="n"/>
      <c r="G190" s="41" t="n"/>
      <c r="H190" s="55">
        <f>AJ59</f>
        <v/>
      </c>
      <c r="I190" s="41" t="n"/>
      <c r="J190" s="41" t="n"/>
      <c r="K190" s="52">
        <f>AM59</f>
        <v/>
      </c>
      <c r="L190" s="41" t="n"/>
      <c r="M190" s="41" t="n"/>
      <c r="N190" s="54">
        <f>AX59</f>
        <v/>
      </c>
      <c r="O190" s="41" t="n"/>
      <c r="P190" s="41" t="n"/>
      <c r="Q190" s="53">
        <f>AY59</f>
        <v/>
      </c>
      <c r="R190" s="41" t="n"/>
      <c r="S190" s="53">
        <f>AQ59</f>
        <v/>
      </c>
      <c r="T190" s="41" t="n"/>
      <c r="U190" s="41" t="n"/>
      <c r="V190" s="53">
        <f>BC59</f>
        <v/>
      </c>
      <c r="W190" s="41" t="n"/>
      <c r="X190" s="41" t="n"/>
      <c r="Y190" s="40">
        <f>BD59</f>
        <v/>
      </c>
      <c r="Z190" s="41" t="n"/>
      <c r="AA190" s="40">
        <f>BE59</f>
        <v/>
      </c>
      <c r="AB190" s="41" t="n"/>
      <c r="AC190" s="53">
        <f>BG59</f>
        <v/>
      </c>
      <c r="AD190" s="41" t="n"/>
      <c r="AE190" s="41" t="n"/>
      <c r="AF190" s="15" t="n"/>
    </row>
    <row r="191">
      <c r="B191" s="9" t="n"/>
      <c r="C191" s="57" t="n">
        <v>33</v>
      </c>
      <c r="D191" s="41" t="n"/>
      <c r="E191" s="55">
        <f>AI60</f>
        <v/>
      </c>
      <c r="F191" s="41" t="n"/>
      <c r="G191" s="41" t="n"/>
      <c r="H191" s="55">
        <f>AJ60</f>
        <v/>
      </c>
      <c r="I191" s="41" t="n"/>
      <c r="J191" s="41" t="n"/>
      <c r="K191" s="52">
        <f>AM60</f>
        <v/>
      </c>
      <c r="L191" s="41" t="n"/>
      <c r="M191" s="41" t="n"/>
      <c r="N191" s="54">
        <f>AX60</f>
        <v/>
      </c>
      <c r="O191" s="41" t="n"/>
      <c r="P191" s="41" t="n"/>
      <c r="Q191" s="53">
        <f>AY60</f>
        <v/>
      </c>
      <c r="R191" s="41" t="n"/>
      <c r="S191" s="53">
        <f>AQ60</f>
        <v/>
      </c>
      <c r="T191" s="41" t="n"/>
      <c r="U191" s="41" t="n"/>
      <c r="V191" s="53">
        <f>BC60</f>
        <v/>
      </c>
      <c r="W191" s="41" t="n"/>
      <c r="X191" s="41" t="n"/>
      <c r="Y191" s="40">
        <f>BD60</f>
        <v/>
      </c>
      <c r="Z191" s="41" t="n"/>
      <c r="AA191" s="40">
        <f>BE60</f>
        <v/>
      </c>
      <c r="AB191" s="41" t="n"/>
      <c r="AC191" s="53">
        <f>BG60</f>
        <v/>
      </c>
      <c r="AD191" s="41" t="n"/>
      <c r="AE191" s="41" t="n"/>
      <c r="AF191" s="15" t="n"/>
    </row>
    <row r="192">
      <c r="B192" s="9" t="n"/>
      <c r="C192" s="57" t="n">
        <v>34</v>
      </c>
      <c r="D192" s="41" t="n"/>
      <c r="E192" s="55">
        <f>AI61</f>
        <v/>
      </c>
      <c r="F192" s="41" t="n"/>
      <c r="G192" s="41" t="n"/>
      <c r="H192" s="55">
        <f>AJ61</f>
        <v/>
      </c>
      <c r="I192" s="41" t="n"/>
      <c r="J192" s="41" t="n"/>
      <c r="K192" s="52">
        <f>AM61</f>
        <v/>
      </c>
      <c r="L192" s="41" t="n"/>
      <c r="M192" s="41" t="n"/>
      <c r="N192" s="54">
        <f>AX61</f>
        <v/>
      </c>
      <c r="O192" s="41" t="n"/>
      <c r="P192" s="41" t="n"/>
      <c r="Q192" s="53">
        <f>AY61</f>
        <v/>
      </c>
      <c r="R192" s="41" t="n"/>
      <c r="S192" s="53">
        <f>AQ61</f>
        <v/>
      </c>
      <c r="T192" s="41" t="n"/>
      <c r="U192" s="41" t="n"/>
      <c r="V192" s="53">
        <f>BC61</f>
        <v/>
      </c>
      <c r="W192" s="41" t="n"/>
      <c r="X192" s="41" t="n"/>
      <c r="Y192" s="40">
        <f>BD61</f>
        <v/>
      </c>
      <c r="Z192" s="41" t="n"/>
      <c r="AA192" s="40">
        <f>BE61</f>
        <v/>
      </c>
      <c r="AB192" s="41" t="n"/>
      <c r="AC192" s="53">
        <f>BG61</f>
        <v/>
      </c>
      <c r="AD192" s="41" t="n"/>
      <c r="AE192" s="41" t="n"/>
      <c r="AF192" s="15" t="n"/>
    </row>
    <row r="193">
      <c r="B193" s="9" t="n"/>
      <c r="C193" s="57" t="n">
        <v>35</v>
      </c>
      <c r="D193" s="41" t="n"/>
      <c r="E193" s="55">
        <f>AI62</f>
        <v/>
      </c>
      <c r="F193" s="41" t="n"/>
      <c r="G193" s="41" t="n"/>
      <c r="H193" s="55">
        <f>AJ62</f>
        <v/>
      </c>
      <c r="I193" s="41" t="n"/>
      <c r="J193" s="41" t="n"/>
      <c r="K193" s="52">
        <f>AM62</f>
        <v/>
      </c>
      <c r="L193" s="41" t="n"/>
      <c r="M193" s="41" t="n"/>
      <c r="N193" s="54">
        <f>AX62</f>
        <v/>
      </c>
      <c r="O193" s="41" t="n"/>
      <c r="P193" s="41" t="n"/>
      <c r="Q193" s="53">
        <f>AY62</f>
        <v/>
      </c>
      <c r="R193" s="41" t="n"/>
      <c r="S193" s="53">
        <f>AQ62</f>
        <v/>
      </c>
      <c r="T193" s="41" t="n"/>
      <c r="U193" s="41" t="n"/>
      <c r="V193" s="53">
        <f>BC62</f>
        <v/>
      </c>
      <c r="W193" s="41" t="n"/>
      <c r="X193" s="41" t="n"/>
      <c r="Y193" s="40">
        <f>BD62</f>
        <v/>
      </c>
      <c r="Z193" s="41" t="n"/>
      <c r="AA193" s="40">
        <f>BE62</f>
        <v/>
      </c>
      <c r="AB193" s="41" t="n"/>
      <c r="AC193" s="53">
        <f>BG62</f>
        <v/>
      </c>
      <c r="AD193" s="41" t="n"/>
      <c r="AE193" s="41" t="n"/>
      <c r="AF193" s="15" t="n"/>
    </row>
    <row r="194">
      <c r="B194" s="9" t="n"/>
      <c r="C194" s="57" t="n">
        <v>36</v>
      </c>
      <c r="D194" s="41" t="n"/>
      <c r="E194" s="55">
        <f>AI63</f>
        <v/>
      </c>
      <c r="F194" s="41" t="n"/>
      <c r="G194" s="41" t="n"/>
      <c r="H194" s="55">
        <f>AJ63</f>
        <v/>
      </c>
      <c r="I194" s="41" t="n"/>
      <c r="J194" s="41" t="n"/>
      <c r="K194" s="52">
        <f>AM63</f>
        <v/>
      </c>
      <c r="L194" s="41" t="n"/>
      <c r="M194" s="41" t="n"/>
      <c r="N194" s="54">
        <f>AX63</f>
        <v/>
      </c>
      <c r="O194" s="41" t="n"/>
      <c r="P194" s="41" t="n"/>
      <c r="Q194" s="53">
        <f>AY63</f>
        <v/>
      </c>
      <c r="R194" s="41" t="n"/>
      <c r="S194" s="53">
        <f>AQ63</f>
        <v/>
      </c>
      <c r="T194" s="41" t="n"/>
      <c r="U194" s="41" t="n"/>
      <c r="V194" s="53">
        <f>BC63</f>
        <v/>
      </c>
      <c r="W194" s="41" t="n"/>
      <c r="X194" s="41" t="n"/>
      <c r="Y194" s="40">
        <f>BD63</f>
        <v/>
      </c>
      <c r="Z194" s="41" t="n"/>
      <c r="AA194" s="40">
        <f>BE63</f>
        <v/>
      </c>
      <c r="AB194" s="41" t="n"/>
      <c r="AC194" s="53">
        <f>BG63</f>
        <v/>
      </c>
      <c r="AD194" s="41" t="n"/>
      <c r="AE194" s="41" t="n"/>
      <c r="AF194" s="15" t="n"/>
    </row>
    <row r="195">
      <c r="B195" s="9" t="n"/>
      <c r="C195" s="57" t="n">
        <v>37</v>
      </c>
      <c r="D195" s="41" t="n"/>
      <c r="E195" s="55">
        <f>AI64</f>
        <v/>
      </c>
      <c r="F195" s="41" t="n"/>
      <c r="G195" s="41" t="n"/>
      <c r="H195" s="55">
        <f>AJ64</f>
        <v/>
      </c>
      <c r="I195" s="41" t="n"/>
      <c r="J195" s="41" t="n"/>
      <c r="K195" s="52">
        <f>AM64</f>
        <v/>
      </c>
      <c r="L195" s="41" t="n"/>
      <c r="M195" s="41" t="n"/>
      <c r="N195" s="54">
        <f>AX64</f>
        <v/>
      </c>
      <c r="O195" s="41" t="n"/>
      <c r="P195" s="41" t="n"/>
      <c r="Q195" s="53">
        <f>AY64</f>
        <v/>
      </c>
      <c r="R195" s="41" t="n"/>
      <c r="S195" s="53">
        <f>AQ64</f>
        <v/>
      </c>
      <c r="T195" s="41" t="n"/>
      <c r="U195" s="41" t="n"/>
      <c r="V195" s="53">
        <f>BC64</f>
        <v/>
      </c>
      <c r="W195" s="41" t="n"/>
      <c r="X195" s="41" t="n"/>
      <c r="Y195" s="40">
        <f>BD64</f>
        <v/>
      </c>
      <c r="Z195" s="41" t="n"/>
      <c r="AA195" s="40">
        <f>BE64</f>
        <v/>
      </c>
      <c r="AB195" s="41" t="n"/>
      <c r="AC195" s="53">
        <f>BG64</f>
        <v/>
      </c>
      <c r="AD195" s="41" t="n"/>
      <c r="AE195" s="41" t="n"/>
      <c r="AF195" s="15" t="n"/>
    </row>
    <row r="196">
      <c r="B196" s="9" t="n"/>
      <c r="C196" s="57" t="n">
        <v>38</v>
      </c>
      <c r="D196" s="41" t="n"/>
      <c r="E196" s="55">
        <f>AI65</f>
        <v/>
      </c>
      <c r="F196" s="41" t="n"/>
      <c r="G196" s="41" t="n"/>
      <c r="H196" s="55">
        <f>AJ65</f>
        <v/>
      </c>
      <c r="I196" s="41" t="n"/>
      <c r="J196" s="41" t="n"/>
      <c r="K196" s="52">
        <f>AM65</f>
        <v/>
      </c>
      <c r="L196" s="41" t="n"/>
      <c r="M196" s="41" t="n"/>
      <c r="N196" s="54">
        <f>AX65</f>
        <v/>
      </c>
      <c r="O196" s="41" t="n"/>
      <c r="P196" s="41" t="n"/>
      <c r="Q196" s="53">
        <f>AY65</f>
        <v/>
      </c>
      <c r="R196" s="41" t="n"/>
      <c r="S196" s="53">
        <f>AQ65</f>
        <v/>
      </c>
      <c r="T196" s="41" t="n"/>
      <c r="U196" s="41" t="n"/>
      <c r="V196" s="53">
        <f>BC65</f>
        <v/>
      </c>
      <c r="W196" s="41" t="n"/>
      <c r="X196" s="41" t="n"/>
      <c r="Y196" s="40">
        <f>BD65</f>
        <v/>
      </c>
      <c r="Z196" s="41" t="n"/>
      <c r="AA196" s="40">
        <f>BE65</f>
        <v/>
      </c>
      <c r="AB196" s="41" t="n"/>
      <c r="AC196" s="53">
        <f>BG65</f>
        <v/>
      </c>
      <c r="AD196" s="41" t="n"/>
      <c r="AE196" s="41" t="n"/>
      <c r="AF196" s="15" t="n"/>
    </row>
    <row r="197">
      <c r="B197" s="9" t="n"/>
      <c r="C197" s="57" t="n">
        <v>39</v>
      </c>
      <c r="D197" s="41" t="n"/>
      <c r="E197" s="55">
        <f>AI66</f>
        <v/>
      </c>
      <c r="F197" s="41" t="n"/>
      <c r="G197" s="41" t="n"/>
      <c r="H197" s="55">
        <f>AJ66</f>
        <v/>
      </c>
      <c r="I197" s="41" t="n"/>
      <c r="J197" s="41" t="n"/>
      <c r="K197" s="52">
        <f>AM66</f>
        <v/>
      </c>
      <c r="L197" s="41" t="n"/>
      <c r="M197" s="41" t="n"/>
      <c r="N197" s="54">
        <f>AX66</f>
        <v/>
      </c>
      <c r="O197" s="41" t="n"/>
      <c r="P197" s="41" t="n"/>
      <c r="Q197" s="53">
        <f>AY66</f>
        <v/>
      </c>
      <c r="R197" s="41" t="n"/>
      <c r="S197" s="53">
        <f>AQ66</f>
        <v/>
      </c>
      <c r="T197" s="41" t="n"/>
      <c r="U197" s="41" t="n"/>
      <c r="V197" s="53">
        <f>BC66</f>
        <v/>
      </c>
      <c r="W197" s="41" t="n"/>
      <c r="X197" s="41" t="n"/>
      <c r="Y197" s="40">
        <f>BD66</f>
        <v/>
      </c>
      <c r="Z197" s="41" t="n"/>
      <c r="AA197" s="40">
        <f>BE66</f>
        <v/>
      </c>
      <c r="AB197" s="41" t="n"/>
      <c r="AC197" s="53">
        <f>BG66</f>
        <v/>
      </c>
      <c r="AD197" s="41" t="n"/>
      <c r="AE197" s="41" t="n"/>
      <c r="AF197" s="15" t="n"/>
    </row>
    <row r="198">
      <c r="B198" s="9" t="n"/>
      <c r="C198" s="57" t="n">
        <v>40</v>
      </c>
      <c r="D198" s="41" t="n"/>
      <c r="E198" s="55">
        <f>AI67</f>
        <v/>
      </c>
      <c r="F198" s="41" t="n"/>
      <c r="G198" s="41" t="n"/>
      <c r="H198" s="55">
        <f>AJ67</f>
        <v/>
      </c>
      <c r="I198" s="41" t="n"/>
      <c r="J198" s="41" t="n"/>
      <c r="K198" s="52">
        <f>AM67</f>
        <v/>
      </c>
      <c r="L198" s="41" t="n"/>
      <c r="M198" s="41" t="n"/>
      <c r="N198" s="54">
        <f>AX67</f>
        <v/>
      </c>
      <c r="O198" s="41" t="n"/>
      <c r="P198" s="41" t="n"/>
      <c r="Q198" s="53">
        <f>AY67</f>
        <v/>
      </c>
      <c r="R198" s="41" t="n"/>
      <c r="S198" s="53">
        <f>AQ67</f>
        <v/>
      </c>
      <c r="T198" s="41" t="n"/>
      <c r="U198" s="41" t="n"/>
      <c r="V198" s="53">
        <f>BC67</f>
        <v/>
      </c>
      <c r="W198" s="41" t="n"/>
      <c r="X198" s="41" t="n"/>
      <c r="Y198" s="40">
        <f>BD67</f>
        <v/>
      </c>
      <c r="Z198" s="41" t="n"/>
      <c r="AA198" s="40">
        <f>BE67</f>
        <v/>
      </c>
      <c r="AB198" s="41" t="n"/>
      <c r="AC198" s="53">
        <f>BG67</f>
        <v/>
      </c>
      <c r="AD198" s="41" t="n"/>
      <c r="AE198" s="41" t="n"/>
      <c r="AF198" s="15" t="n"/>
    </row>
    <row r="199">
      <c r="B199" s="9" t="n"/>
      <c r="C199" s="69" t="n">
        <v>41</v>
      </c>
      <c r="D199" s="46" t="n"/>
      <c r="E199" s="70">
        <f>AI68</f>
        <v/>
      </c>
      <c r="F199" s="46" t="n"/>
      <c r="G199" s="46" t="n"/>
      <c r="H199" s="70">
        <f>AJ68</f>
        <v/>
      </c>
      <c r="I199" s="46" t="n"/>
      <c r="J199" s="46" t="n"/>
      <c r="K199" s="59">
        <f>AM68</f>
        <v/>
      </c>
      <c r="L199" s="46" t="n"/>
      <c r="M199" s="46" t="n"/>
      <c r="N199" s="74">
        <f>AX68</f>
        <v/>
      </c>
      <c r="O199" s="46" t="n"/>
      <c r="P199" s="46" t="n"/>
      <c r="Q199" s="60">
        <f>AY68</f>
        <v/>
      </c>
      <c r="R199" s="46" t="n"/>
      <c r="S199" s="60">
        <f>AQ68</f>
        <v/>
      </c>
      <c r="T199" s="46" t="n"/>
      <c r="U199" s="46" t="n"/>
      <c r="V199" s="60">
        <f>BC68</f>
        <v/>
      </c>
      <c r="W199" s="46" t="n"/>
      <c r="X199" s="46" t="n"/>
      <c r="Y199" s="45">
        <f>BD68</f>
        <v/>
      </c>
      <c r="Z199" s="46" t="n"/>
      <c r="AA199" s="45">
        <f>BE68</f>
        <v/>
      </c>
      <c r="AB199" s="46" t="n"/>
      <c r="AC199" s="60">
        <f>BG68</f>
        <v/>
      </c>
      <c r="AD199" s="46" t="n"/>
      <c r="AE199" s="46" t="n"/>
      <c r="AF199" s="15" t="n"/>
    </row>
    <row r="200">
      <c r="B200" s="9" t="n"/>
      <c r="AF200" s="15" t="n"/>
    </row>
    <row r="201">
      <c r="B201" s="9" t="n"/>
      <c r="C201" s="25" t="inlineStr">
        <is>
          <t>Total immediate settlement</t>
        </is>
      </c>
      <c r="O201" s="26" t="inlineStr">
        <is>
          <t>Si = Σ Si</t>
        </is>
      </c>
      <c r="X201" s="27" t="inlineStr">
        <is>
          <t>Si =</t>
        </is>
      </c>
      <c r="Y201" s="13" t="n"/>
      <c r="Z201" s="13" t="n"/>
      <c r="AA201" s="30">
        <f>SUM(BG28:BG68)</f>
        <v/>
      </c>
      <c r="AB201" s="13" t="n"/>
      <c r="AC201" s="13" t="n"/>
      <c r="AD201" s="25" t="inlineStr">
        <is>
          <t>mm</t>
        </is>
      </c>
      <c r="AF201" s="15" t="n"/>
    </row>
    <row r="202">
      <c r="B202" s="9" t="n"/>
      <c r="C202" s="25" t="inlineStr">
        <is>
          <t xml:space="preserve">   - contribution of sand layers</t>
        </is>
      </c>
      <c r="O202" s="26" t="inlineStr"/>
      <c r="X202" s="27" t="inlineStr"/>
      <c r="Y202" s="13" t="n"/>
      <c r="Z202" s="13" t="n"/>
      <c r="AA202" s="62">
        <f>SUMPRODUCT(--(AM28:AM68="Sand"),BG28:BG68)</f>
        <v/>
      </c>
      <c r="AB202" s="13" t="n"/>
      <c r="AC202" s="13" t="n"/>
      <c r="AD202" s="25" t="inlineStr">
        <is>
          <t>mm</t>
        </is>
      </c>
      <c r="AF202" s="15" t="n"/>
    </row>
    <row r="203">
      <c r="B203" s="9" t="n"/>
      <c r="C203" s="25" t="inlineStr">
        <is>
          <t xml:space="preserve">   - contribution of silt/clay layers</t>
        </is>
      </c>
      <c r="O203" s="26" t="inlineStr"/>
      <c r="X203" s="27" t="inlineStr"/>
      <c r="Y203" s="13" t="n"/>
      <c r="Z203" s="13" t="n"/>
      <c r="AA203" s="62">
        <f>$AA$201-$AA$202</f>
        <v/>
      </c>
      <c r="AB203" s="13" t="n"/>
      <c r="AC203" s="13" t="n"/>
      <c r="AD203" s="25" t="inlineStr">
        <is>
          <t>mm</t>
        </is>
      </c>
      <c r="AF203" s="15" t="n"/>
    </row>
    <row r="204">
      <c r="B204" s="9" t="n"/>
      <c r="AF204" s="15" t="n"/>
    </row>
    <row r="205">
      <c r="B205" s="9" t="n"/>
      <c r="AF205" s="15" t="n"/>
    </row>
    <row r="206">
      <c r="B206" s="9" t="n"/>
      <c r="AF206" s="15" t="n"/>
    </row>
    <row r="207">
      <c r="B207" s="9" t="n"/>
      <c r="AF207" s="15" t="n"/>
    </row>
    <row r="208">
      <c r="B208" s="9" t="n"/>
      <c r="AF208" s="15" t="n"/>
    </row>
    <row r="209">
      <c r="B209" s="9" t="n"/>
      <c r="AF209" s="15" t="n"/>
    </row>
    <row r="210">
      <c r="B210" s="9" t="n"/>
      <c r="AF210" s="15" t="n"/>
    </row>
    <row r="211">
      <c r="B211" s="9" t="n"/>
      <c r="AF211" s="15" t="n"/>
    </row>
    <row r="212">
      <c r="B212" s="9" t="n"/>
      <c r="AF212" s="15" t="n"/>
    </row>
    <row r="213">
      <c r="B213" s="9" t="n"/>
      <c r="AF213" s="15" t="n"/>
    </row>
    <row r="214">
      <c r="B214" s="9" t="n"/>
      <c r="AF214" s="15" t="n"/>
    </row>
    <row r="215">
      <c r="B215" s="9" t="n"/>
      <c r="AF215" s="15" t="n"/>
    </row>
    <row r="216">
      <c r="B216" s="9" t="n"/>
      <c r="AF216" s="15" t="n"/>
    </row>
    <row r="217">
      <c r="B217" s="47" t="n"/>
      <c r="C217" s="48" t="n"/>
      <c r="D217" s="48" t="n"/>
      <c r="E217" s="48" t="n"/>
      <c r="F217" s="48" t="n"/>
      <c r="G217" s="48" t="n"/>
      <c r="H217" s="48" t="n"/>
      <c r="I217" s="48" t="n"/>
      <c r="J217" s="48" t="n"/>
      <c r="K217" s="48" t="n"/>
      <c r="L217" s="48" t="n"/>
      <c r="M217" s="48" t="n"/>
      <c r="N217" s="48" t="n"/>
      <c r="O217" s="48" t="n"/>
      <c r="P217" s="48" t="n"/>
      <c r="Q217" s="48" t="n"/>
      <c r="R217" s="48" t="n"/>
      <c r="S217" s="48" t="n"/>
      <c r="T217" s="48" t="n"/>
      <c r="U217" s="48" t="n"/>
      <c r="V217" s="48" t="n"/>
      <c r="W217" s="48" t="n"/>
      <c r="X217" s="49" t="inlineStr">
        <is>
          <t>Sheet :</t>
        </is>
      </c>
      <c r="Y217" s="48" t="n"/>
      <c r="Z217" s="48" t="n"/>
      <c r="AA217" s="48" t="n"/>
      <c r="AB217" s="49" t="n">
        <v>3</v>
      </c>
      <c r="AC217" s="48" t="n"/>
      <c r="AD217" s="48" t="n"/>
      <c r="AE217" s="48" t="n"/>
      <c r="AF217" s="50" t="n"/>
    </row>
    <row r="218">
      <c r="B218" s="1" t="n"/>
      <c r="C218" s="2" t="inlineStr">
        <is>
          <t>PROJECT :</t>
        </is>
      </c>
      <c r="D218" s="3" t="n"/>
      <c r="E218" s="3" t="n"/>
      <c r="F218" s="3" t="n"/>
      <c r="G218" s="3" t="n"/>
      <c r="H218" s="4" t="inlineStr">
        <is>
          <t>GEOTHERMAL WELLPAD PSPE BORA PULU - SIGI, CENTRAL SULAWESI</t>
        </is>
      </c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5" t="inlineStr">
        <is>
          <t>Prepared by :</t>
        </is>
      </c>
      <c r="Y218" s="6" t="n"/>
      <c r="Z218" s="6" t="n"/>
      <c r="AA218" s="6" t="n"/>
      <c r="AB218" s="7" t="inlineStr">
        <is>
          <t>Date</t>
        </is>
      </c>
      <c r="AC218" s="6" t="n"/>
      <c r="AD218" s="6" t="n"/>
      <c r="AE218" s="6" t="n"/>
      <c r="AF218" s="8" t="n"/>
    </row>
    <row r="219">
      <c r="B219" s="9" t="n"/>
      <c r="C219" s="10" t="inlineStr">
        <is>
          <t>CLIENT :</t>
        </is>
      </c>
      <c r="H219" s="11" t="inlineStr">
        <is>
          <t>PT EDC PANAS BUMI INDONESIA</t>
        </is>
      </c>
      <c r="X219" s="12" t="inlineStr">
        <is>
          <t>DF</t>
        </is>
      </c>
      <c r="Y219" s="13" t="n"/>
      <c r="Z219" s="13" t="n"/>
      <c r="AA219" s="13" t="n"/>
      <c r="AB219" s="14" t="n">
        <v>46301</v>
      </c>
      <c r="AC219" s="13" t="n"/>
      <c r="AD219" s="13" t="n"/>
      <c r="AE219" s="13" t="n"/>
      <c r="AF219" s="15" t="n"/>
    </row>
    <row r="220">
      <c r="B220" s="9" t="n"/>
      <c r="C220" s="10" t="inlineStr">
        <is>
          <t>LOCATION :</t>
        </is>
      </c>
      <c r="H220" s="11" t="inlineStr">
        <is>
          <t>BH-01 (Wellpad D)</t>
        </is>
      </c>
      <c r="X220" s="12" t="inlineStr">
        <is>
          <t>Verified by :</t>
        </is>
      </c>
      <c r="Y220" s="13" t="n"/>
      <c r="Z220" s="13" t="n"/>
      <c r="AA220" s="13" t="n"/>
      <c r="AB220" s="14" t="inlineStr">
        <is>
          <t>Date</t>
        </is>
      </c>
      <c r="AC220" s="13" t="n"/>
      <c r="AD220" s="13" t="n"/>
      <c r="AE220" s="13" t="n"/>
      <c r="AF220" s="15" t="n"/>
    </row>
    <row r="221">
      <c r="B221" s="16" t="n"/>
      <c r="C221" s="17" t="inlineStr">
        <is>
          <t>SHEET :</t>
        </is>
      </c>
      <c r="D221" s="18" t="n"/>
      <c r="E221" s="18" t="n"/>
      <c r="F221" s="18" t="n"/>
      <c r="G221" s="18" t="n"/>
      <c r="H221" s="19" t="inlineStr">
        <is>
          <t>BEARING CAPACITY AND SETTLEMENT OF SUBGRADE</t>
        </is>
      </c>
      <c r="I221" s="18" t="n"/>
      <c r="J221" s="18" t="n"/>
      <c r="K221" s="18" t="n"/>
      <c r="L221" s="18" t="n"/>
      <c r="M221" s="18" t="n"/>
      <c r="N221" s="18" t="n"/>
      <c r="O221" s="18" t="n"/>
      <c r="P221" s="18" t="n"/>
      <c r="Q221" s="18" t="n"/>
      <c r="R221" s="18" t="n"/>
      <c r="S221" s="18" t="n"/>
      <c r="T221" s="18" t="n"/>
      <c r="U221" s="18" t="n"/>
      <c r="V221" s="18" t="n"/>
      <c r="W221" s="18" t="n"/>
      <c r="X221" s="20" t="inlineStr">
        <is>
          <t>BC</t>
        </is>
      </c>
      <c r="Y221" s="21" t="n"/>
      <c r="Z221" s="21" t="n"/>
      <c r="AA221" s="21" t="n"/>
      <c r="AB221" s="22" t="n">
        <v>46301</v>
      </c>
      <c r="AC221" s="21" t="n"/>
      <c r="AD221" s="21" t="n"/>
      <c r="AE221" s="21" t="n"/>
      <c r="AF221" s="23" t="n"/>
    </row>
    <row r="222">
      <c r="B222" s="9" t="n"/>
      <c r="AF222" s="15" t="n"/>
    </row>
    <row r="223">
      <c r="B223" s="9" t="n"/>
      <c r="C223" s="11" t="inlineStr">
        <is>
          <t>4.1. Check for granular soil - Burland &amp; Burbidge (1985), normally consolidated sand</t>
        </is>
      </c>
      <c r="AF223" s="15" t="n"/>
    </row>
    <row r="224">
      <c r="B224" s="9" t="n"/>
      <c r="C224" s="26" t="inlineStr">
        <is>
          <t xml:space="preserve">      S = fs · fl · q · B^0.7 · Ic ,   Ic = 1.71 / N̄^1.4 ,   zI = B^0.763</t>
        </is>
      </c>
      <c r="AF224" s="15" t="n"/>
    </row>
    <row r="225">
      <c r="B225" s="9" t="n"/>
      <c r="C225" s="25" t="inlineStr">
        <is>
          <t>Depth of influence</t>
        </is>
      </c>
      <c r="O225" s="26" t="inlineStr">
        <is>
          <t>zI = B^0.763</t>
        </is>
      </c>
      <c r="X225" s="27" t="inlineStr">
        <is>
          <t>zI =</t>
        </is>
      </c>
      <c r="Y225" s="13" t="n"/>
      <c r="Z225" s="13" t="n"/>
      <c r="AA225" s="61">
        <f>MIN(Input!$AA$15^0.763,AJ68)</f>
        <v/>
      </c>
      <c r="AB225" s="13" t="n"/>
      <c r="AC225" s="13" t="n"/>
      <c r="AD225" s="25" t="inlineStr">
        <is>
          <t>m</t>
        </is>
      </c>
      <c r="AF225" s="15" t="n"/>
    </row>
    <row r="226">
      <c r="B226" s="9" t="n"/>
      <c r="C226" s="25" t="inlineStr">
        <is>
          <t>Average measured N within zI</t>
        </is>
      </c>
      <c r="O226" s="26" t="inlineStr"/>
      <c r="X226" s="27" t="inlineStr">
        <is>
          <t>N̄ =</t>
        </is>
      </c>
      <c r="Y226" s="13" t="n"/>
      <c r="Z226" s="13" t="n"/>
      <c r="AA226" s="62">
        <f>SUMPRODUCT(BP28:BP68,AN28:AN68)/$AA$225</f>
        <v/>
      </c>
      <c r="AB226" s="13" t="n"/>
      <c r="AC226" s="13" t="n"/>
      <c r="AD226" s="25" t="inlineStr">
        <is>
          <t>-</t>
        </is>
      </c>
      <c r="AF226" s="15" t="n"/>
    </row>
    <row r="227">
      <c r="B227" s="9" t="n"/>
      <c r="C227" s="25" t="inlineStr">
        <is>
          <t>Compressibility index</t>
        </is>
      </c>
      <c r="O227" s="26" t="inlineStr">
        <is>
          <t>Ic = 1.71 / N̄^1.4</t>
        </is>
      </c>
      <c r="X227" s="27" t="inlineStr">
        <is>
          <t>Ic =</t>
        </is>
      </c>
      <c r="Y227" s="13" t="n"/>
      <c r="Z227" s="13" t="n"/>
      <c r="AA227" s="75">
        <f>1.71/$AA$226^1.4</f>
        <v/>
      </c>
      <c r="AB227" s="13" t="n"/>
      <c r="AC227" s="13" t="n"/>
      <c r="AD227" s="25" t="inlineStr">
        <is>
          <t>-</t>
        </is>
      </c>
      <c r="AF227" s="15" t="n"/>
    </row>
    <row r="228">
      <c r="B228" s="9" t="n"/>
      <c r="C228" s="25" t="inlineStr">
        <is>
          <t>Shape factor</t>
        </is>
      </c>
      <c r="O228" s="26" t="inlineStr">
        <is>
          <t>fs = [1.25(L/B)/(L/B+0.25)]²</t>
        </is>
      </c>
      <c r="X228" s="27" t="inlineStr">
        <is>
          <t>fs =</t>
        </is>
      </c>
      <c r="Y228" s="13" t="n"/>
      <c r="Z228" s="13" t="n"/>
      <c r="AA228" s="61">
        <f>(1.25*Input!$AA$16/Input!$AA$15/(Input!$AA$16/Input!$AA$15+0.25))^2</f>
        <v/>
      </c>
      <c r="AB228" s="13" t="n"/>
      <c r="AC228" s="13" t="n"/>
      <c r="AD228" s="25" t="inlineStr">
        <is>
          <t>-</t>
        </is>
      </c>
      <c r="AF228" s="15" t="n"/>
    </row>
    <row r="229">
      <c r="B229" s="9" t="n"/>
      <c r="C229" s="25" t="inlineStr">
        <is>
          <t>Settlement of sand (fl = 1)</t>
        </is>
      </c>
      <c r="O229" s="26" t="inlineStr">
        <is>
          <t>S = fs·q·B^0.7·Ic</t>
        </is>
      </c>
      <c r="X229" s="27" t="inlineStr">
        <is>
          <t>S =</t>
        </is>
      </c>
      <c r="Y229" s="13" t="n"/>
      <c r="Z229" s="13" t="n"/>
      <c r="AA229" s="30">
        <f>$AA$228*Input!$AA$14*Input!$AA$15^0.7*$AA$227</f>
        <v/>
      </c>
      <c r="AB229" s="13" t="n"/>
      <c r="AC229" s="13" t="n"/>
      <c r="AD229" s="25" t="inlineStr">
        <is>
          <t>mm</t>
        </is>
      </c>
      <c r="AF229" s="15" t="n"/>
    </row>
    <row r="230">
      <c r="B230" s="9" t="n"/>
      <c r="C230" s="24" t="inlineStr">
        <is>
          <t>Burland &amp; Burbidge assumes the whole influence zone is sand; where silt/clay is present the layered elastic value governs.</t>
        </is>
      </c>
      <c r="AF230" s="15" t="n"/>
    </row>
    <row r="231">
      <c r="B231" s="9" t="n"/>
      <c r="AF231" s="15" t="n"/>
    </row>
    <row r="232">
      <c r="B232" s="9" t="n"/>
      <c r="C232" s="11" t="inlineStr">
        <is>
          <t>5. PRIMARY CONSOLIDATION SETTLEMENT (silt/clay layers, design condition)</t>
        </is>
      </c>
      <c r="AF232" s="15" t="n"/>
    </row>
    <row r="233">
      <c r="B233" s="9" t="n"/>
      <c r="C233" s="25" t="inlineStr">
        <is>
          <t>Sc = h/(1+e0) · [Cr·log(σ'p/σ'v0) + Cc·log((σ'v0+Δσz)/σ'p)]  (Das 2019); Δσz from Boussinesq at the centre of the area;</t>
        </is>
      </c>
      <c r="AF233" s="15" t="n"/>
    </row>
    <row r="234">
      <c r="B234" s="9" t="n"/>
      <c r="C234" s="25" t="inlineStr">
        <is>
          <t>σ'p = max(cu/0.22 ; σ'v0) (Mesri 1975); t90 = Tv·Hdr²/Cv with double drainage (Hdr = h/2), layers bounded by sand.</t>
        </is>
      </c>
      <c r="AF234" s="15" t="n"/>
    </row>
    <row r="235">
      <c r="B235" s="9" t="n"/>
      <c r="C235" s="25" t="inlineStr">
        <is>
          <t>Table 3. Consolidation settlement of BH-01</t>
        </is>
      </c>
      <c r="AF235" s="15" t="n"/>
    </row>
    <row r="236" ht="27" customHeight="1">
      <c r="B236" s="9" t="n"/>
      <c r="C236" s="33" t="inlineStr">
        <is>
          <t>No</t>
        </is>
      </c>
      <c r="D236" s="34" t="n"/>
      <c r="E236" s="33" t="inlineStr">
        <is>
          <t>Top</t>
        </is>
      </c>
      <c r="F236" s="34" t="n"/>
      <c r="G236" s="34" t="n"/>
      <c r="H236" s="33" t="inlineStr">
        <is>
          <t>Soil</t>
        </is>
      </c>
      <c r="I236" s="34" t="n"/>
      <c r="J236" s="34" t="n"/>
      <c r="K236" s="33" t="inlineStr">
        <is>
          <t>σ'v0</t>
        </is>
      </c>
      <c r="L236" s="34" t="n"/>
      <c r="M236" s="34" t="n"/>
      <c r="N236" s="33" t="inlineStr">
        <is>
          <t>Δσz</t>
        </is>
      </c>
      <c r="O236" s="34" t="n"/>
      <c r="P236" s="34" t="n"/>
      <c r="Q236" s="33" t="inlineStr">
        <is>
          <t>σ'p</t>
        </is>
      </c>
      <c r="R236" s="34" t="n"/>
      <c r="S236" s="34" t="n"/>
      <c r="T236" s="33" t="inlineStr">
        <is>
          <t>e0</t>
        </is>
      </c>
      <c r="U236" s="34" t="n"/>
      <c r="V236" s="33" t="inlineStr">
        <is>
          <t>Cc</t>
        </is>
      </c>
      <c r="W236" s="34" t="n"/>
      <c r="X236" s="33" t="inlineStr">
        <is>
          <t>Cr</t>
        </is>
      </c>
      <c r="Y236" s="34" t="n"/>
      <c r="Z236" s="33" t="inlineStr">
        <is>
          <t>Sc</t>
        </is>
      </c>
      <c r="AA236" s="34" t="n"/>
      <c r="AB236" s="34" t="n"/>
      <c r="AC236" s="33" t="inlineStr">
        <is>
          <t>t90</t>
        </is>
      </c>
      <c r="AD236" s="34" t="n"/>
      <c r="AE236" s="34" t="n"/>
      <c r="AF236" s="15" t="n"/>
    </row>
    <row r="237">
      <c r="B237" s="9" t="n"/>
      <c r="C237" s="35" t="inlineStr"/>
      <c r="D237" s="36" t="n"/>
      <c r="E237" s="35" t="inlineStr">
        <is>
          <t>m</t>
        </is>
      </c>
      <c r="F237" s="36" t="n"/>
      <c r="G237" s="36" t="n"/>
      <c r="H237" s="35" t="inlineStr"/>
      <c r="I237" s="36" t="n"/>
      <c r="J237" s="36" t="n"/>
      <c r="K237" s="35" t="inlineStr">
        <is>
          <t>kPa</t>
        </is>
      </c>
      <c r="L237" s="36" t="n"/>
      <c r="M237" s="36" t="n"/>
      <c r="N237" s="35" t="inlineStr">
        <is>
          <t>kPa</t>
        </is>
      </c>
      <c r="O237" s="36" t="n"/>
      <c r="P237" s="36" t="n"/>
      <c r="Q237" s="35" t="inlineStr">
        <is>
          <t>kPa</t>
        </is>
      </c>
      <c r="R237" s="36" t="n"/>
      <c r="S237" s="36" t="n"/>
      <c r="T237" s="35" t="inlineStr">
        <is>
          <t>-</t>
        </is>
      </c>
      <c r="U237" s="36" t="n"/>
      <c r="V237" s="35" t="inlineStr">
        <is>
          <t>-</t>
        </is>
      </c>
      <c r="W237" s="36" t="n"/>
      <c r="X237" s="35" t="inlineStr">
        <is>
          <t>-</t>
        </is>
      </c>
      <c r="Y237" s="36" t="n"/>
      <c r="Z237" s="35" t="inlineStr">
        <is>
          <t>mm</t>
        </is>
      </c>
      <c r="AA237" s="36" t="n"/>
      <c r="AB237" s="36" t="n"/>
      <c r="AC237" s="35" t="inlineStr">
        <is>
          <t>year</t>
        </is>
      </c>
      <c r="AD237" s="36" t="n"/>
      <c r="AE237" s="36" t="n"/>
      <c r="AF237" s="15" t="n"/>
    </row>
    <row r="238">
      <c r="B238" s="9" t="n"/>
      <c r="C238" s="57" t="n">
        <v>1</v>
      </c>
      <c r="D238" s="41" t="n"/>
      <c r="E238" s="55">
        <f>AI28</f>
        <v/>
      </c>
      <c r="F238" s="41" t="n"/>
      <c r="G238" s="41" t="n"/>
      <c r="H238" s="52">
        <f>AM28</f>
        <v/>
      </c>
      <c r="I238" s="41" t="n"/>
      <c r="J238" s="41" t="n"/>
      <c r="K238" s="53">
        <f>AQ28</f>
        <v/>
      </c>
      <c r="L238" s="41" t="n"/>
      <c r="M238" s="41" t="n"/>
      <c r="N238" s="53">
        <f>BC28</f>
        <v/>
      </c>
      <c r="O238" s="41" t="n"/>
      <c r="P238" s="41" t="n"/>
      <c r="Q238" s="66">
        <f>BJ28</f>
        <v/>
      </c>
      <c r="R238" s="41" t="n"/>
      <c r="S238" s="41" t="n"/>
      <c r="T238" s="55">
        <f>AU28</f>
        <v/>
      </c>
      <c r="U238" s="41" t="n"/>
      <c r="V238" s="76">
        <f>BH28</f>
        <v/>
      </c>
      <c r="W238" s="41" t="n"/>
      <c r="X238" s="76">
        <f>BI28</f>
        <v/>
      </c>
      <c r="Y238" s="41" t="n"/>
      <c r="Z238" s="77">
        <f>BK28</f>
        <v/>
      </c>
      <c r="AA238" s="41" t="n"/>
      <c r="AB238" s="41" t="n"/>
      <c r="AC238" s="78">
        <f>BM28</f>
        <v/>
      </c>
      <c r="AD238" s="41" t="n"/>
      <c r="AE238" s="41" t="n"/>
      <c r="AF238" s="15" t="n"/>
    </row>
    <row r="239">
      <c r="B239" s="9" t="n"/>
      <c r="C239" s="57" t="n">
        <v>2</v>
      </c>
      <c r="D239" s="41" t="n"/>
      <c r="E239" s="55">
        <f>AI29</f>
        <v/>
      </c>
      <c r="F239" s="41" t="n"/>
      <c r="G239" s="41" t="n"/>
      <c r="H239" s="52">
        <f>AM29</f>
        <v/>
      </c>
      <c r="I239" s="41" t="n"/>
      <c r="J239" s="41" t="n"/>
      <c r="K239" s="53">
        <f>AQ29</f>
        <v/>
      </c>
      <c r="L239" s="41" t="n"/>
      <c r="M239" s="41" t="n"/>
      <c r="N239" s="53">
        <f>BC29</f>
        <v/>
      </c>
      <c r="O239" s="41" t="n"/>
      <c r="P239" s="41" t="n"/>
      <c r="Q239" s="66">
        <f>BJ29</f>
        <v/>
      </c>
      <c r="R239" s="41" t="n"/>
      <c r="S239" s="41" t="n"/>
      <c r="T239" s="55">
        <f>AU29</f>
        <v/>
      </c>
      <c r="U239" s="41" t="n"/>
      <c r="V239" s="76">
        <f>BH29</f>
        <v/>
      </c>
      <c r="W239" s="41" t="n"/>
      <c r="X239" s="76">
        <f>BI29</f>
        <v/>
      </c>
      <c r="Y239" s="41" t="n"/>
      <c r="Z239" s="77">
        <f>BK29</f>
        <v/>
      </c>
      <c r="AA239" s="41" t="n"/>
      <c r="AB239" s="41" t="n"/>
      <c r="AC239" s="78">
        <f>BM29</f>
        <v/>
      </c>
      <c r="AD239" s="41" t="n"/>
      <c r="AE239" s="41" t="n"/>
      <c r="AF239" s="15" t="n"/>
    </row>
    <row r="240">
      <c r="B240" s="9" t="n"/>
      <c r="C240" s="57" t="n">
        <v>3</v>
      </c>
      <c r="D240" s="41" t="n"/>
      <c r="E240" s="55">
        <f>AI30</f>
        <v/>
      </c>
      <c r="F240" s="41" t="n"/>
      <c r="G240" s="41" t="n"/>
      <c r="H240" s="52">
        <f>AM30</f>
        <v/>
      </c>
      <c r="I240" s="41" t="n"/>
      <c r="J240" s="41" t="n"/>
      <c r="K240" s="53">
        <f>AQ30</f>
        <v/>
      </c>
      <c r="L240" s="41" t="n"/>
      <c r="M240" s="41" t="n"/>
      <c r="N240" s="53">
        <f>BC30</f>
        <v/>
      </c>
      <c r="O240" s="41" t="n"/>
      <c r="P240" s="41" t="n"/>
      <c r="Q240" s="66">
        <f>BJ30</f>
        <v/>
      </c>
      <c r="R240" s="41" t="n"/>
      <c r="S240" s="41" t="n"/>
      <c r="T240" s="55">
        <f>AU30</f>
        <v/>
      </c>
      <c r="U240" s="41" t="n"/>
      <c r="V240" s="76">
        <f>BH30</f>
        <v/>
      </c>
      <c r="W240" s="41" t="n"/>
      <c r="X240" s="76">
        <f>BI30</f>
        <v/>
      </c>
      <c r="Y240" s="41" t="n"/>
      <c r="Z240" s="77">
        <f>BK30</f>
        <v/>
      </c>
      <c r="AA240" s="41" t="n"/>
      <c r="AB240" s="41" t="n"/>
      <c r="AC240" s="78">
        <f>BM30</f>
        <v/>
      </c>
      <c r="AD240" s="41" t="n"/>
      <c r="AE240" s="41" t="n"/>
      <c r="AF240" s="15" t="n"/>
    </row>
    <row r="241">
      <c r="B241" s="9" t="n"/>
      <c r="C241" s="57" t="n">
        <v>4</v>
      </c>
      <c r="D241" s="41" t="n"/>
      <c r="E241" s="55">
        <f>AI31</f>
        <v/>
      </c>
      <c r="F241" s="41" t="n"/>
      <c r="G241" s="41" t="n"/>
      <c r="H241" s="52">
        <f>AM31</f>
        <v/>
      </c>
      <c r="I241" s="41" t="n"/>
      <c r="J241" s="41" t="n"/>
      <c r="K241" s="53">
        <f>AQ31</f>
        <v/>
      </c>
      <c r="L241" s="41" t="n"/>
      <c r="M241" s="41" t="n"/>
      <c r="N241" s="53">
        <f>BC31</f>
        <v/>
      </c>
      <c r="O241" s="41" t="n"/>
      <c r="P241" s="41" t="n"/>
      <c r="Q241" s="66">
        <f>BJ31</f>
        <v/>
      </c>
      <c r="R241" s="41" t="n"/>
      <c r="S241" s="41" t="n"/>
      <c r="T241" s="55">
        <f>AU31</f>
        <v/>
      </c>
      <c r="U241" s="41" t="n"/>
      <c r="V241" s="76">
        <f>BH31</f>
        <v/>
      </c>
      <c r="W241" s="41" t="n"/>
      <c r="X241" s="76">
        <f>BI31</f>
        <v/>
      </c>
      <c r="Y241" s="41" t="n"/>
      <c r="Z241" s="77">
        <f>BK31</f>
        <v/>
      </c>
      <c r="AA241" s="41" t="n"/>
      <c r="AB241" s="41" t="n"/>
      <c r="AC241" s="78">
        <f>BM31</f>
        <v/>
      </c>
      <c r="AD241" s="41" t="n"/>
      <c r="AE241" s="41" t="n"/>
      <c r="AF241" s="15" t="n"/>
    </row>
    <row r="242">
      <c r="B242" s="9" t="n"/>
      <c r="C242" s="57" t="n">
        <v>5</v>
      </c>
      <c r="D242" s="41" t="n"/>
      <c r="E242" s="55">
        <f>AI32</f>
        <v/>
      </c>
      <c r="F242" s="41" t="n"/>
      <c r="G242" s="41" t="n"/>
      <c r="H242" s="52">
        <f>AM32</f>
        <v/>
      </c>
      <c r="I242" s="41" t="n"/>
      <c r="J242" s="41" t="n"/>
      <c r="K242" s="53">
        <f>AQ32</f>
        <v/>
      </c>
      <c r="L242" s="41" t="n"/>
      <c r="M242" s="41" t="n"/>
      <c r="N242" s="53">
        <f>BC32</f>
        <v/>
      </c>
      <c r="O242" s="41" t="n"/>
      <c r="P242" s="41" t="n"/>
      <c r="Q242" s="66">
        <f>BJ32</f>
        <v/>
      </c>
      <c r="R242" s="41" t="n"/>
      <c r="S242" s="41" t="n"/>
      <c r="T242" s="55">
        <f>AU32</f>
        <v/>
      </c>
      <c r="U242" s="41" t="n"/>
      <c r="V242" s="76">
        <f>BH32</f>
        <v/>
      </c>
      <c r="W242" s="41" t="n"/>
      <c r="X242" s="76">
        <f>BI32</f>
        <v/>
      </c>
      <c r="Y242" s="41" t="n"/>
      <c r="Z242" s="77">
        <f>BK32</f>
        <v/>
      </c>
      <c r="AA242" s="41" t="n"/>
      <c r="AB242" s="41" t="n"/>
      <c r="AC242" s="78">
        <f>BM32</f>
        <v/>
      </c>
      <c r="AD242" s="41" t="n"/>
      <c r="AE242" s="41" t="n"/>
      <c r="AF242" s="15" t="n"/>
    </row>
    <row r="243">
      <c r="B243" s="9" t="n"/>
      <c r="C243" s="57" t="n">
        <v>6</v>
      </c>
      <c r="D243" s="41" t="n"/>
      <c r="E243" s="55">
        <f>AI33</f>
        <v/>
      </c>
      <c r="F243" s="41" t="n"/>
      <c r="G243" s="41" t="n"/>
      <c r="H243" s="52">
        <f>AM33</f>
        <v/>
      </c>
      <c r="I243" s="41" t="n"/>
      <c r="J243" s="41" t="n"/>
      <c r="K243" s="53">
        <f>AQ33</f>
        <v/>
      </c>
      <c r="L243" s="41" t="n"/>
      <c r="M243" s="41" t="n"/>
      <c r="N243" s="53">
        <f>BC33</f>
        <v/>
      </c>
      <c r="O243" s="41" t="n"/>
      <c r="P243" s="41" t="n"/>
      <c r="Q243" s="66">
        <f>BJ33</f>
        <v/>
      </c>
      <c r="R243" s="41" t="n"/>
      <c r="S243" s="41" t="n"/>
      <c r="T243" s="55">
        <f>AU33</f>
        <v/>
      </c>
      <c r="U243" s="41" t="n"/>
      <c r="V243" s="76">
        <f>BH33</f>
        <v/>
      </c>
      <c r="W243" s="41" t="n"/>
      <c r="X243" s="76">
        <f>BI33</f>
        <v/>
      </c>
      <c r="Y243" s="41" t="n"/>
      <c r="Z243" s="77">
        <f>BK33</f>
        <v/>
      </c>
      <c r="AA243" s="41" t="n"/>
      <c r="AB243" s="41" t="n"/>
      <c r="AC243" s="78">
        <f>BM33</f>
        <v/>
      </c>
      <c r="AD243" s="41" t="n"/>
      <c r="AE243" s="41" t="n"/>
      <c r="AF243" s="15" t="n"/>
    </row>
    <row r="244">
      <c r="B244" s="9" t="n"/>
      <c r="C244" s="57" t="n">
        <v>7</v>
      </c>
      <c r="D244" s="41" t="n"/>
      <c r="E244" s="55">
        <f>AI34</f>
        <v/>
      </c>
      <c r="F244" s="41" t="n"/>
      <c r="G244" s="41" t="n"/>
      <c r="H244" s="52">
        <f>AM34</f>
        <v/>
      </c>
      <c r="I244" s="41" t="n"/>
      <c r="J244" s="41" t="n"/>
      <c r="K244" s="53">
        <f>AQ34</f>
        <v/>
      </c>
      <c r="L244" s="41" t="n"/>
      <c r="M244" s="41" t="n"/>
      <c r="N244" s="53">
        <f>BC34</f>
        <v/>
      </c>
      <c r="O244" s="41" t="n"/>
      <c r="P244" s="41" t="n"/>
      <c r="Q244" s="66">
        <f>BJ34</f>
        <v/>
      </c>
      <c r="R244" s="41" t="n"/>
      <c r="S244" s="41" t="n"/>
      <c r="T244" s="55">
        <f>AU34</f>
        <v/>
      </c>
      <c r="U244" s="41" t="n"/>
      <c r="V244" s="76">
        <f>BH34</f>
        <v/>
      </c>
      <c r="W244" s="41" t="n"/>
      <c r="X244" s="76">
        <f>BI34</f>
        <v/>
      </c>
      <c r="Y244" s="41" t="n"/>
      <c r="Z244" s="77">
        <f>BK34</f>
        <v/>
      </c>
      <c r="AA244" s="41" t="n"/>
      <c r="AB244" s="41" t="n"/>
      <c r="AC244" s="78">
        <f>BM34</f>
        <v/>
      </c>
      <c r="AD244" s="41" t="n"/>
      <c r="AE244" s="41" t="n"/>
      <c r="AF244" s="15" t="n"/>
    </row>
    <row r="245">
      <c r="B245" s="9" t="n"/>
      <c r="C245" s="57" t="n">
        <v>8</v>
      </c>
      <c r="D245" s="41" t="n"/>
      <c r="E245" s="55">
        <f>AI35</f>
        <v/>
      </c>
      <c r="F245" s="41" t="n"/>
      <c r="G245" s="41" t="n"/>
      <c r="H245" s="52">
        <f>AM35</f>
        <v/>
      </c>
      <c r="I245" s="41" t="n"/>
      <c r="J245" s="41" t="n"/>
      <c r="K245" s="53">
        <f>AQ35</f>
        <v/>
      </c>
      <c r="L245" s="41" t="n"/>
      <c r="M245" s="41" t="n"/>
      <c r="N245" s="53">
        <f>BC35</f>
        <v/>
      </c>
      <c r="O245" s="41" t="n"/>
      <c r="P245" s="41" t="n"/>
      <c r="Q245" s="66">
        <f>BJ35</f>
        <v/>
      </c>
      <c r="R245" s="41" t="n"/>
      <c r="S245" s="41" t="n"/>
      <c r="T245" s="55">
        <f>AU35</f>
        <v/>
      </c>
      <c r="U245" s="41" t="n"/>
      <c r="V245" s="76">
        <f>BH35</f>
        <v/>
      </c>
      <c r="W245" s="41" t="n"/>
      <c r="X245" s="76">
        <f>BI35</f>
        <v/>
      </c>
      <c r="Y245" s="41" t="n"/>
      <c r="Z245" s="77">
        <f>BK35</f>
        <v/>
      </c>
      <c r="AA245" s="41" t="n"/>
      <c r="AB245" s="41" t="n"/>
      <c r="AC245" s="78">
        <f>BM35</f>
        <v/>
      </c>
      <c r="AD245" s="41" t="n"/>
      <c r="AE245" s="41" t="n"/>
      <c r="AF245" s="15" t="n"/>
    </row>
    <row r="246">
      <c r="B246" s="9" t="n"/>
      <c r="C246" s="57" t="n">
        <v>9</v>
      </c>
      <c r="D246" s="41" t="n"/>
      <c r="E246" s="55">
        <f>AI36</f>
        <v/>
      </c>
      <c r="F246" s="41" t="n"/>
      <c r="G246" s="41" t="n"/>
      <c r="H246" s="52">
        <f>AM36</f>
        <v/>
      </c>
      <c r="I246" s="41" t="n"/>
      <c r="J246" s="41" t="n"/>
      <c r="K246" s="53">
        <f>AQ36</f>
        <v/>
      </c>
      <c r="L246" s="41" t="n"/>
      <c r="M246" s="41" t="n"/>
      <c r="N246" s="53">
        <f>BC36</f>
        <v/>
      </c>
      <c r="O246" s="41" t="n"/>
      <c r="P246" s="41" t="n"/>
      <c r="Q246" s="66">
        <f>BJ36</f>
        <v/>
      </c>
      <c r="R246" s="41" t="n"/>
      <c r="S246" s="41" t="n"/>
      <c r="T246" s="55">
        <f>AU36</f>
        <v/>
      </c>
      <c r="U246" s="41" t="n"/>
      <c r="V246" s="76">
        <f>BH36</f>
        <v/>
      </c>
      <c r="W246" s="41" t="n"/>
      <c r="X246" s="76">
        <f>BI36</f>
        <v/>
      </c>
      <c r="Y246" s="41" t="n"/>
      <c r="Z246" s="77">
        <f>BK36</f>
        <v/>
      </c>
      <c r="AA246" s="41" t="n"/>
      <c r="AB246" s="41" t="n"/>
      <c r="AC246" s="78">
        <f>BM36</f>
        <v/>
      </c>
      <c r="AD246" s="41" t="n"/>
      <c r="AE246" s="41" t="n"/>
      <c r="AF246" s="15" t="n"/>
    </row>
    <row r="247">
      <c r="B247" s="9" t="n"/>
      <c r="C247" s="57" t="n">
        <v>10</v>
      </c>
      <c r="D247" s="41" t="n"/>
      <c r="E247" s="55">
        <f>AI37</f>
        <v/>
      </c>
      <c r="F247" s="41" t="n"/>
      <c r="G247" s="41" t="n"/>
      <c r="H247" s="52">
        <f>AM37</f>
        <v/>
      </c>
      <c r="I247" s="41" t="n"/>
      <c r="J247" s="41" t="n"/>
      <c r="K247" s="53">
        <f>AQ37</f>
        <v/>
      </c>
      <c r="L247" s="41" t="n"/>
      <c r="M247" s="41" t="n"/>
      <c r="N247" s="53">
        <f>BC37</f>
        <v/>
      </c>
      <c r="O247" s="41" t="n"/>
      <c r="P247" s="41" t="n"/>
      <c r="Q247" s="66">
        <f>BJ37</f>
        <v/>
      </c>
      <c r="R247" s="41" t="n"/>
      <c r="S247" s="41" t="n"/>
      <c r="T247" s="55">
        <f>AU37</f>
        <v/>
      </c>
      <c r="U247" s="41" t="n"/>
      <c r="V247" s="76">
        <f>BH37</f>
        <v/>
      </c>
      <c r="W247" s="41" t="n"/>
      <c r="X247" s="76">
        <f>BI37</f>
        <v/>
      </c>
      <c r="Y247" s="41" t="n"/>
      <c r="Z247" s="77">
        <f>BK37</f>
        <v/>
      </c>
      <c r="AA247" s="41" t="n"/>
      <c r="AB247" s="41" t="n"/>
      <c r="AC247" s="78">
        <f>BM37</f>
        <v/>
      </c>
      <c r="AD247" s="41" t="n"/>
      <c r="AE247" s="41" t="n"/>
      <c r="AF247" s="15" t="n"/>
    </row>
    <row r="248">
      <c r="B248" s="9" t="n"/>
      <c r="C248" s="57" t="n">
        <v>11</v>
      </c>
      <c r="D248" s="41" t="n"/>
      <c r="E248" s="55">
        <f>AI38</f>
        <v/>
      </c>
      <c r="F248" s="41" t="n"/>
      <c r="G248" s="41" t="n"/>
      <c r="H248" s="52">
        <f>AM38</f>
        <v/>
      </c>
      <c r="I248" s="41" t="n"/>
      <c r="J248" s="41" t="n"/>
      <c r="K248" s="53">
        <f>AQ38</f>
        <v/>
      </c>
      <c r="L248" s="41" t="n"/>
      <c r="M248" s="41" t="n"/>
      <c r="N248" s="53">
        <f>BC38</f>
        <v/>
      </c>
      <c r="O248" s="41" t="n"/>
      <c r="P248" s="41" t="n"/>
      <c r="Q248" s="66">
        <f>BJ38</f>
        <v/>
      </c>
      <c r="R248" s="41" t="n"/>
      <c r="S248" s="41" t="n"/>
      <c r="T248" s="55">
        <f>AU38</f>
        <v/>
      </c>
      <c r="U248" s="41" t="n"/>
      <c r="V248" s="76">
        <f>BH38</f>
        <v/>
      </c>
      <c r="W248" s="41" t="n"/>
      <c r="X248" s="76">
        <f>BI38</f>
        <v/>
      </c>
      <c r="Y248" s="41" t="n"/>
      <c r="Z248" s="77">
        <f>BK38</f>
        <v/>
      </c>
      <c r="AA248" s="41" t="n"/>
      <c r="AB248" s="41" t="n"/>
      <c r="AC248" s="78">
        <f>BM38</f>
        <v/>
      </c>
      <c r="AD248" s="41" t="n"/>
      <c r="AE248" s="41" t="n"/>
      <c r="AF248" s="15" t="n"/>
    </row>
    <row r="249">
      <c r="B249" s="9" t="n"/>
      <c r="C249" s="57" t="n">
        <v>12</v>
      </c>
      <c r="D249" s="41" t="n"/>
      <c r="E249" s="55">
        <f>AI39</f>
        <v/>
      </c>
      <c r="F249" s="41" t="n"/>
      <c r="G249" s="41" t="n"/>
      <c r="H249" s="52">
        <f>AM39</f>
        <v/>
      </c>
      <c r="I249" s="41" t="n"/>
      <c r="J249" s="41" t="n"/>
      <c r="K249" s="53">
        <f>AQ39</f>
        <v/>
      </c>
      <c r="L249" s="41" t="n"/>
      <c r="M249" s="41" t="n"/>
      <c r="N249" s="53">
        <f>BC39</f>
        <v/>
      </c>
      <c r="O249" s="41" t="n"/>
      <c r="P249" s="41" t="n"/>
      <c r="Q249" s="66">
        <f>BJ39</f>
        <v/>
      </c>
      <c r="R249" s="41" t="n"/>
      <c r="S249" s="41" t="n"/>
      <c r="T249" s="55">
        <f>AU39</f>
        <v/>
      </c>
      <c r="U249" s="41" t="n"/>
      <c r="V249" s="76">
        <f>BH39</f>
        <v/>
      </c>
      <c r="W249" s="41" t="n"/>
      <c r="X249" s="76">
        <f>BI39</f>
        <v/>
      </c>
      <c r="Y249" s="41" t="n"/>
      <c r="Z249" s="77">
        <f>BK39</f>
        <v/>
      </c>
      <c r="AA249" s="41" t="n"/>
      <c r="AB249" s="41" t="n"/>
      <c r="AC249" s="78">
        <f>BM39</f>
        <v/>
      </c>
      <c r="AD249" s="41" t="n"/>
      <c r="AE249" s="41" t="n"/>
      <c r="AF249" s="15" t="n"/>
    </row>
    <row r="250">
      <c r="B250" s="9" t="n"/>
      <c r="C250" s="57" t="n">
        <v>13</v>
      </c>
      <c r="D250" s="41" t="n"/>
      <c r="E250" s="55">
        <f>AI40</f>
        <v/>
      </c>
      <c r="F250" s="41" t="n"/>
      <c r="G250" s="41" t="n"/>
      <c r="H250" s="52">
        <f>AM40</f>
        <v/>
      </c>
      <c r="I250" s="41" t="n"/>
      <c r="J250" s="41" t="n"/>
      <c r="K250" s="53">
        <f>AQ40</f>
        <v/>
      </c>
      <c r="L250" s="41" t="n"/>
      <c r="M250" s="41" t="n"/>
      <c r="N250" s="53">
        <f>BC40</f>
        <v/>
      </c>
      <c r="O250" s="41" t="n"/>
      <c r="P250" s="41" t="n"/>
      <c r="Q250" s="66">
        <f>BJ40</f>
        <v/>
      </c>
      <c r="R250" s="41" t="n"/>
      <c r="S250" s="41" t="n"/>
      <c r="T250" s="55">
        <f>AU40</f>
        <v/>
      </c>
      <c r="U250" s="41" t="n"/>
      <c r="V250" s="76">
        <f>BH40</f>
        <v/>
      </c>
      <c r="W250" s="41" t="n"/>
      <c r="X250" s="76">
        <f>BI40</f>
        <v/>
      </c>
      <c r="Y250" s="41" t="n"/>
      <c r="Z250" s="77">
        <f>BK40</f>
        <v/>
      </c>
      <c r="AA250" s="41" t="n"/>
      <c r="AB250" s="41" t="n"/>
      <c r="AC250" s="78">
        <f>BM40</f>
        <v/>
      </c>
      <c r="AD250" s="41" t="n"/>
      <c r="AE250" s="41" t="n"/>
      <c r="AF250" s="15" t="n"/>
    </row>
    <row r="251">
      <c r="B251" s="9" t="n"/>
      <c r="C251" s="57" t="n">
        <v>14</v>
      </c>
      <c r="D251" s="41" t="n"/>
      <c r="E251" s="55">
        <f>AI41</f>
        <v/>
      </c>
      <c r="F251" s="41" t="n"/>
      <c r="G251" s="41" t="n"/>
      <c r="H251" s="52">
        <f>AM41</f>
        <v/>
      </c>
      <c r="I251" s="41" t="n"/>
      <c r="J251" s="41" t="n"/>
      <c r="K251" s="53">
        <f>AQ41</f>
        <v/>
      </c>
      <c r="L251" s="41" t="n"/>
      <c r="M251" s="41" t="n"/>
      <c r="N251" s="53">
        <f>BC41</f>
        <v/>
      </c>
      <c r="O251" s="41" t="n"/>
      <c r="P251" s="41" t="n"/>
      <c r="Q251" s="66">
        <f>BJ41</f>
        <v/>
      </c>
      <c r="R251" s="41" t="n"/>
      <c r="S251" s="41" t="n"/>
      <c r="T251" s="55">
        <f>AU41</f>
        <v/>
      </c>
      <c r="U251" s="41" t="n"/>
      <c r="V251" s="76">
        <f>BH41</f>
        <v/>
      </c>
      <c r="W251" s="41" t="n"/>
      <c r="X251" s="76">
        <f>BI41</f>
        <v/>
      </c>
      <c r="Y251" s="41" t="n"/>
      <c r="Z251" s="77">
        <f>BK41</f>
        <v/>
      </c>
      <c r="AA251" s="41" t="n"/>
      <c r="AB251" s="41" t="n"/>
      <c r="AC251" s="78">
        <f>BM41</f>
        <v/>
      </c>
      <c r="AD251" s="41" t="n"/>
      <c r="AE251" s="41" t="n"/>
      <c r="AF251" s="15" t="n"/>
    </row>
    <row r="252">
      <c r="B252" s="9" t="n"/>
      <c r="C252" s="57" t="n">
        <v>15</v>
      </c>
      <c r="D252" s="41" t="n"/>
      <c r="E252" s="55">
        <f>AI42</f>
        <v/>
      </c>
      <c r="F252" s="41" t="n"/>
      <c r="G252" s="41" t="n"/>
      <c r="H252" s="52">
        <f>AM42</f>
        <v/>
      </c>
      <c r="I252" s="41" t="n"/>
      <c r="J252" s="41" t="n"/>
      <c r="K252" s="53">
        <f>AQ42</f>
        <v/>
      </c>
      <c r="L252" s="41" t="n"/>
      <c r="M252" s="41" t="n"/>
      <c r="N252" s="53">
        <f>BC42</f>
        <v/>
      </c>
      <c r="O252" s="41" t="n"/>
      <c r="P252" s="41" t="n"/>
      <c r="Q252" s="66">
        <f>BJ42</f>
        <v/>
      </c>
      <c r="R252" s="41" t="n"/>
      <c r="S252" s="41" t="n"/>
      <c r="T252" s="55">
        <f>AU42</f>
        <v/>
      </c>
      <c r="U252" s="41" t="n"/>
      <c r="V252" s="76">
        <f>BH42</f>
        <v/>
      </c>
      <c r="W252" s="41" t="n"/>
      <c r="X252" s="76">
        <f>BI42</f>
        <v/>
      </c>
      <c r="Y252" s="41" t="n"/>
      <c r="Z252" s="77">
        <f>BK42</f>
        <v/>
      </c>
      <c r="AA252" s="41" t="n"/>
      <c r="AB252" s="41" t="n"/>
      <c r="AC252" s="78">
        <f>BM42</f>
        <v/>
      </c>
      <c r="AD252" s="41" t="n"/>
      <c r="AE252" s="41" t="n"/>
      <c r="AF252" s="15" t="n"/>
    </row>
    <row r="253">
      <c r="B253" s="9" t="n"/>
      <c r="C253" s="57" t="n">
        <v>16</v>
      </c>
      <c r="D253" s="41" t="n"/>
      <c r="E253" s="55">
        <f>AI43</f>
        <v/>
      </c>
      <c r="F253" s="41" t="n"/>
      <c r="G253" s="41" t="n"/>
      <c r="H253" s="52">
        <f>AM43</f>
        <v/>
      </c>
      <c r="I253" s="41" t="n"/>
      <c r="J253" s="41" t="n"/>
      <c r="K253" s="53">
        <f>AQ43</f>
        <v/>
      </c>
      <c r="L253" s="41" t="n"/>
      <c r="M253" s="41" t="n"/>
      <c r="N253" s="53">
        <f>BC43</f>
        <v/>
      </c>
      <c r="O253" s="41" t="n"/>
      <c r="P253" s="41" t="n"/>
      <c r="Q253" s="66">
        <f>BJ43</f>
        <v/>
      </c>
      <c r="R253" s="41" t="n"/>
      <c r="S253" s="41" t="n"/>
      <c r="T253" s="55">
        <f>AU43</f>
        <v/>
      </c>
      <c r="U253" s="41" t="n"/>
      <c r="V253" s="76">
        <f>BH43</f>
        <v/>
      </c>
      <c r="W253" s="41" t="n"/>
      <c r="X253" s="76">
        <f>BI43</f>
        <v/>
      </c>
      <c r="Y253" s="41" t="n"/>
      <c r="Z253" s="77">
        <f>BK43</f>
        <v/>
      </c>
      <c r="AA253" s="41" t="n"/>
      <c r="AB253" s="41" t="n"/>
      <c r="AC253" s="78">
        <f>BM43</f>
        <v/>
      </c>
      <c r="AD253" s="41" t="n"/>
      <c r="AE253" s="41" t="n"/>
      <c r="AF253" s="15" t="n"/>
    </row>
    <row r="254">
      <c r="B254" s="9" t="n"/>
      <c r="C254" s="57" t="n">
        <v>17</v>
      </c>
      <c r="D254" s="41" t="n"/>
      <c r="E254" s="55">
        <f>AI44</f>
        <v/>
      </c>
      <c r="F254" s="41" t="n"/>
      <c r="G254" s="41" t="n"/>
      <c r="H254" s="52">
        <f>AM44</f>
        <v/>
      </c>
      <c r="I254" s="41" t="n"/>
      <c r="J254" s="41" t="n"/>
      <c r="K254" s="53">
        <f>AQ44</f>
        <v/>
      </c>
      <c r="L254" s="41" t="n"/>
      <c r="M254" s="41" t="n"/>
      <c r="N254" s="53">
        <f>BC44</f>
        <v/>
      </c>
      <c r="O254" s="41" t="n"/>
      <c r="P254" s="41" t="n"/>
      <c r="Q254" s="66">
        <f>BJ44</f>
        <v/>
      </c>
      <c r="R254" s="41" t="n"/>
      <c r="S254" s="41" t="n"/>
      <c r="T254" s="55">
        <f>AU44</f>
        <v/>
      </c>
      <c r="U254" s="41" t="n"/>
      <c r="V254" s="76">
        <f>BH44</f>
        <v/>
      </c>
      <c r="W254" s="41" t="n"/>
      <c r="X254" s="76">
        <f>BI44</f>
        <v/>
      </c>
      <c r="Y254" s="41" t="n"/>
      <c r="Z254" s="77">
        <f>BK44</f>
        <v/>
      </c>
      <c r="AA254" s="41" t="n"/>
      <c r="AB254" s="41" t="n"/>
      <c r="AC254" s="78">
        <f>BM44</f>
        <v/>
      </c>
      <c r="AD254" s="41" t="n"/>
      <c r="AE254" s="41" t="n"/>
      <c r="AF254" s="15" t="n"/>
    </row>
    <row r="255">
      <c r="B255" s="9" t="n"/>
      <c r="C255" s="57" t="n">
        <v>18</v>
      </c>
      <c r="D255" s="41" t="n"/>
      <c r="E255" s="55">
        <f>AI45</f>
        <v/>
      </c>
      <c r="F255" s="41" t="n"/>
      <c r="G255" s="41" t="n"/>
      <c r="H255" s="52">
        <f>AM45</f>
        <v/>
      </c>
      <c r="I255" s="41" t="n"/>
      <c r="J255" s="41" t="n"/>
      <c r="K255" s="53">
        <f>AQ45</f>
        <v/>
      </c>
      <c r="L255" s="41" t="n"/>
      <c r="M255" s="41" t="n"/>
      <c r="N255" s="53">
        <f>BC45</f>
        <v/>
      </c>
      <c r="O255" s="41" t="n"/>
      <c r="P255" s="41" t="n"/>
      <c r="Q255" s="66">
        <f>BJ45</f>
        <v/>
      </c>
      <c r="R255" s="41" t="n"/>
      <c r="S255" s="41" t="n"/>
      <c r="T255" s="55">
        <f>AU45</f>
        <v/>
      </c>
      <c r="U255" s="41" t="n"/>
      <c r="V255" s="76">
        <f>BH45</f>
        <v/>
      </c>
      <c r="W255" s="41" t="n"/>
      <c r="X255" s="76">
        <f>BI45</f>
        <v/>
      </c>
      <c r="Y255" s="41" t="n"/>
      <c r="Z255" s="77">
        <f>BK45</f>
        <v/>
      </c>
      <c r="AA255" s="41" t="n"/>
      <c r="AB255" s="41" t="n"/>
      <c r="AC255" s="78">
        <f>BM45</f>
        <v/>
      </c>
      <c r="AD255" s="41" t="n"/>
      <c r="AE255" s="41" t="n"/>
      <c r="AF255" s="15" t="n"/>
    </row>
    <row r="256">
      <c r="B256" s="9" t="n"/>
      <c r="C256" s="57" t="n">
        <v>19</v>
      </c>
      <c r="D256" s="41" t="n"/>
      <c r="E256" s="55">
        <f>AI46</f>
        <v/>
      </c>
      <c r="F256" s="41" t="n"/>
      <c r="G256" s="41" t="n"/>
      <c r="H256" s="52">
        <f>AM46</f>
        <v/>
      </c>
      <c r="I256" s="41" t="n"/>
      <c r="J256" s="41" t="n"/>
      <c r="K256" s="53">
        <f>AQ46</f>
        <v/>
      </c>
      <c r="L256" s="41" t="n"/>
      <c r="M256" s="41" t="n"/>
      <c r="N256" s="53">
        <f>BC46</f>
        <v/>
      </c>
      <c r="O256" s="41" t="n"/>
      <c r="P256" s="41" t="n"/>
      <c r="Q256" s="66">
        <f>BJ46</f>
        <v/>
      </c>
      <c r="R256" s="41" t="n"/>
      <c r="S256" s="41" t="n"/>
      <c r="T256" s="55">
        <f>AU46</f>
        <v/>
      </c>
      <c r="U256" s="41" t="n"/>
      <c r="V256" s="76">
        <f>BH46</f>
        <v/>
      </c>
      <c r="W256" s="41" t="n"/>
      <c r="X256" s="76">
        <f>BI46</f>
        <v/>
      </c>
      <c r="Y256" s="41" t="n"/>
      <c r="Z256" s="77">
        <f>BK46</f>
        <v/>
      </c>
      <c r="AA256" s="41" t="n"/>
      <c r="AB256" s="41" t="n"/>
      <c r="AC256" s="78">
        <f>BM46</f>
        <v/>
      </c>
      <c r="AD256" s="41" t="n"/>
      <c r="AE256" s="41" t="n"/>
      <c r="AF256" s="15" t="n"/>
    </row>
    <row r="257">
      <c r="B257" s="9" t="n"/>
      <c r="C257" s="57" t="n">
        <v>20</v>
      </c>
      <c r="D257" s="41" t="n"/>
      <c r="E257" s="55">
        <f>AI47</f>
        <v/>
      </c>
      <c r="F257" s="41" t="n"/>
      <c r="G257" s="41" t="n"/>
      <c r="H257" s="52">
        <f>AM47</f>
        <v/>
      </c>
      <c r="I257" s="41" t="n"/>
      <c r="J257" s="41" t="n"/>
      <c r="K257" s="53">
        <f>AQ47</f>
        <v/>
      </c>
      <c r="L257" s="41" t="n"/>
      <c r="M257" s="41" t="n"/>
      <c r="N257" s="53">
        <f>BC47</f>
        <v/>
      </c>
      <c r="O257" s="41" t="n"/>
      <c r="P257" s="41" t="n"/>
      <c r="Q257" s="66">
        <f>BJ47</f>
        <v/>
      </c>
      <c r="R257" s="41" t="n"/>
      <c r="S257" s="41" t="n"/>
      <c r="T257" s="55">
        <f>AU47</f>
        <v/>
      </c>
      <c r="U257" s="41" t="n"/>
      <c r="V257" s="76">
        <f>BH47</f>
        <v/>
      </c>
      <c r="W257" s="41" t="n"/>
      <c r="X257" s="76">
        <f>BI47</f>
        <v/>
      </c>
      <c r="Y257" s="41" t="n"/>
      <c r="Z257" s="77">
        <f>BK47</f>
        <v/>
      </c>
      <c r="AA257" s="41" t="n"/>
      <c r="AB257" s="41" t="n"/>
      <c r="AC257" s="78">
        <f>BM47</f>
        <v/>
      </c>
      <c r="AD257" s="41" t="n"/>
      <c r="AE257" s="41" t="n"/>
      <c r="AF257" s="15" t="n"/>
    </row>
    <row r="258">
      <c r="B258" s="9" t="n"/>
      <c r="C258" s="57" t="n">
        <v>21</v>
      </c>
      <c r="D258" s="41" t="n"/>
      <c r="E258" s="55">
        <f>AI48</f>
        <v/>
      </c>
      <c r="F258" s="41" t="n"/>
      <c r="G258" s="41" t="n"/>
      <c r="H258" s="52">
        <f>AM48</f>
        <v/>
      </c>
      <c r="I258" s="41" t="n"/>
      <c r="J258" s="41" t="n"/>
      <c r="K258" s="53">
        <f>AQ48</f>
        <v/>
      </c>
      <c r="L258" s="41" t="n"/>
      <c r="M258" s="41" t="n"/>
      <c r="N258" s="53">
        <f>BC48</f>
        <v/>
      </c>
      <c r="O258" s="41" t="n"/>
      <c r="P258" s="41" t="n"/>
      <c r="Q258" s="66">
        <f>BJ48</f>
        <v/>
      </c>
      <c r="R258" s="41" t="n"/>
      <c r="S258" s="41" t="n"/>
      <c r="T258" s="55">
        <f>AU48</f>
        <v/>
      </c>
      <c r="U258" s="41" t="n"/>
      <c r="V258" s="76">
        <f>BH48</f>
        <v/>
      </c>
      <c r="W258" s="41" t="n"/>
      <c r="X258" s="76">
        <f>BI48</f>
        <v/>
      </c>
      <c r="Y258" s="41" t="n"/>
      <c r="Z258" s="77">
        <f>BK48</f>
        <v/>
      </c>
      <c r="AA258" s="41" t="n"/>
      <c r="AB258" s="41" t="n"/>
      <c r="AC258" s="78">
        <f>BM48</f>
        <v/>
      </c>
      <c r="AD258" s="41" t="n"/>
      <c r="AE258" s="41" t="n"/>
      <c r="AF258" s="15" t="n"/>
    </row>
    <row r="259">
      <c r="B259" s="9" t="n"/>
      <c r="C259" s="57" t="n">
        <v>22</v>
      </c>
      <c r="D259" s="41" t="n"/>
      <c r="E259" s="55">
        <f>AI49</f>
        <v/>
      </c>
      <c r="F259" s="41" t="n"/>
      <c r="G259" s="41" t="n"/>
      <c r="H259" s="52">
        <f>AM49</f>
        <v/>
      </c>
      <c r="I259" s="41" t="n"/>
      <c r="J259" s="41" t="n"/>
      <c r="K259" s="53">
        <f>AQ49</f>
        <v/>
      </c>
      <c r="L259" s="41" t="n"/>
      <c r="M259" s="41" t="n"/>
      <c r="N259" s="53">
        <f>BC49</f>
        <v/>
      </c>
      <c r="O259" s="41" t="n"/>
      <c r="P259" s="41" t="n"/>
      <c r="Q259" s="66">
        <f>BJ49</f>
        <v/>
      </c>
      <c r="R259" s="41" t="n"/>
      <c r="S259" s="41" t="n"/>
      <c r="T259" s="55">
        <f>AU49</f>
        <v/>
      </c>
      <c r="U259" s="41" t="n"/>
      <c r="V259" s="76">
        <f>BH49</f>
        <v/>
      </c>
      <c r="W259" s="41" t="n"/>
      <c r="X259" s="76">
        <f>BI49</f>
        <v/>
      </c>
      <c r="Y259" s="41" t="n"/>
      <c r="Z259" s="77">
        <f>BK49</f>
        <v/>
      </c>
      <c r="AA259" s="41" t="n"/>
      <c r="AB259" s="41" t="n"/>
      <c r="AC259" s="78">
        <f>BM49</f>
        <v/>
      </c>
      <c r="AD259" s="41" t="n"/>
      <c r="AE259" s="41" t="n"/>
      <c r="AF259" s="15" t="n"/>
    </row>
    <row r="260">
      <c r="B260" s="9" t="n"/>
      <c r="C260" s="57" t="n">
        <v>23</v>
      </c>
      <c r="D260" s="41" t="n"/>
      <c r="E260" s="55">
        <f>AI50</f>
        <v/>
      </c>
      <c r="F260" s="41" t="n"/>
      <c r="G260" s="41" t="n"/>
      <c r="H260" s="52">
        <f>AM50</f>
        <v/>
      </c>
      <c r="I260" s="41" t="n"/>
      <c r="J260" s="41" t="n"/>
      <c r="K260" s="53">
        <f>AQ50</f>
        <v/>
      </c>
      <c r="L260" s="41" t="n"/>
      <c r="M260" s="41" t="n"/>
      <c r="N260" s="53">
        <f>BC50</f>
        <v/>
      </c>
      <c r="O260" s="41" t="n"/>
      <c r="P260" s="41" t="n"/>
      <c r="Q260" s="66">
        <f>BJ50</f>
        <v/>
      </c>
      <c r="R260" s="41" t="n"/>
      <c r="S260" s="41" t="n"/>
      <c r="T260" s="55">
        <f>AU50</f>
        <v/>
      </c>
      <c r="U260" s="41" t="n"/>
      <c r="V260" s="76">
        <f>BH50</f>
        <v/>
      </c>
      <c r="W260" s="41" t="n"/>
      <c r="X260" s="76">
        <f>BI50</f>
        <v/>
      </c>
      <c r="Y260" s="41" t="n"/>
      <c r="Z260" s="77">
        <f>BK50</f>
        <v/>
      </c>
      <c r="AA260" s="41" t="n"/>
      <c r="AB260" s="41" t="n"/>
      <c r="AC260" s="78">
        <f>BM50</f>
        <v/>
      </c>
      <c r="AD260" s="41" t="n"/>
      <c r="AE260" s="41" t="n"/>
      <c r="AF260" s="15" t="n"/>
    </row>
    <row r="261">
      <c r="B261" s="9" t="n"/>
      <c r="C261" s="57" t="n">
        <v>24</v>
      </c>
      <c r="D261" s="41" t="n"/>
      <c r="E261" s="55">
        <f>AI51</f>
        <v/>
      </c>
      <c r="F261" s="41" t="n"/>
      <c r="G261" s="41" t="n"/>
      <c r="H261" s="52">
        <f>AM51</f>
        <v/>
      </c>
      <c r="I261" s="41" t="n"/>
      <c r="J261" s="41" t="n"/>
      <c r="K261" s="53">
        <f>AQ51</f>
        <v/>
      </c>
      <c r="L261" s="41" t="n"/>
      <c r="M261" s="41" t="n"/>
      <c r="N261" s="53">
        <f>BC51</f>
        <v/>
      </c>
      <c r="O261" s="41" t="n"/>
      <c r="P261" s="41" t="n"/>
      <c r="Q261" s="66">
        <f>BJ51</f>
        <v/>
      </c>
      <c r="R261" s="41" t="n"/>
      <c r="S261" s="41" t="n"/>
      <c r="T261" s="55">
        <f>AU51</f>
        <v/>
      </c>
      <c r="U261" s="41" t="n"/>
      <c r="V261" s="76">
        <f>BH51</f>
        <v/>
      </c>
      <c r="W261" s="41" t="n"/>
      <c r="X261" s="76">
        <f>BI51</f>
        <v/>
      </c>
      <c r="Y261" s="41" t="n"/>
      <c r="Z261" s="77">
        <f>BK51</f>
        <v/>
      </c>
      <c r="AA261" s="41" t="n"/>
      <c r="AB261" s="41" t="n"/>
      <c r="AC261" s="78">
        <f>BM51</f>
        <v/>
      </c>
      <c r="AD261" s="41" t="n"/>
      <c r="AE261" s="41" t="n"/>
      <c r="AF261" s="15" t="n"/>
    </row>
    <row r="262">
      <c r="B262" s="9" t="n"/>
      <c r="C262" s="57" t="n">
        <v>25</v>
      </c>
      <c r="D262" s="41" t="n"/>
      <c r="E262" s="55">
        <f>AI52</f>
        <v/>
      </c>
      <c r="F262" s="41" t="n"/>
      <c r="G262" s="41" t="n"/>
      <c r="H262" s="52">
        <f>AM52</f>
        <v/>
      </c>
      <c r="I262" s="41" t="n"/>
      <c r="J262" s="41" t="n"/>
      <c r="K262" s="53">
        <f>AQ52</f>
        <v/>
      </c>
      <c r="L262" s="41" t="n"/>
      <c r="M262" s="41" t="n"/>
      <c r="N262" s="53">
        <f>BC52</f>
        <v/>
      </c>
      <c r="O262" s="41" t="n"/>
      <c r="P262" s="41" t="n"/>
      <c r="Q262" s="66">
        <f>BJ52</f>
        <v/>
      </c>
      <c r="R262" s="41" t="n"/>
      <c r="S262" s="41" t="n"/>
      <c r="T262" s="55">
        <f>AU52</f>
        <v/>
      </c>
      <c r="U262" s="41" t="n"/>
      <c r="V262" s="76">
        <f>BH52</f>
        <v/>
      </c>
      <c r="W262" s="41" t="n"/>
      <c r="X262" s="76">
        <f>BI52</f>
        <v/>
      </c>
      <c r="Y262" s="41" t="n"/>
      <c r="Z262" s="77">
        <f>BK52</f>
        <v/>
      </c>
      <c r="AA262" s="41" t="n"/>
      <c r="AB262" s="41" t="n"/>
      <c r="AC262" s="78">
        <f>BM52</f>
        <v/>
      </c>
      <c r="AD262" s="41" t="n"/>
      <c r="AE262" s="41" t="n"/>
      <c r="AF262" s="15" t="n"/>
    </row>
    <row r="263">
      <c r="B263" s="9" t="n"/>
      <c r="C263" s="57" t="n">
        <v>26</v>
      </c>
      <c r="D263" s="41" t="n"/>
      <c r="E263" s="55">
        <f>AI53</f>
        <v/>
      </c>
      <c r="F263" s="41" t="n"/>
      <c r="G263" s="41" t="n"/>
      <c r="H263" s="52">
        <f>AM53</f>
        <v/>
      </c>
      <c r="I263" s="41" t="n"/>
      <c r="J263" s="41" t="n"/>
      <c r="K263" s="53">
        <f>AQ53</f>
        <v/>
      </c>
      <c r="L263" s="41" t="n"/>
      <c r="M263" s="41" t="n"/>
      <c r="N263" s="53">
        <f>BC53</f>
        <v/>
      </c>
      <c r="O263" s="41" t="n"/>
      <c r="P263" s="41" t="n"/>
      <c r="Q263" s="66">
        <f>BJ53</f>
        <v/>
      </c>
      <c r="R263" s="41" t="n"/>
      <c r="S263" s="41" t="n"/>
      <c r="T263" s="55">
        <f>AU53</f>
        <v/>
      </c>
      <c r="U263" s="41" t="n"/>
      <c r="V263" s="76">
        <f>BH53</f>
        <v/>
      </c>
      <c r="W263" s="41" t="n"/>
      <c r="X263" s="76">
        <f>BI53</f>
        <v/>
      </c>
      <c r="Y263" s="41" t="n"/>
      <c r="Z263" s="77">
        <f>BK53</f>
        <v/>
      </c>
      <c r="AA263" s="41" t="n"/>
      <c r="AB263" s="41" t="n"/>
      <c r="AC263" s="78">
        <f>BM53</f>
        <v/>
      </c>
      <c r="AD263" s="41" t="n"/>
      <c r="AE263" s="41" t="n"/>
      <c r="AF263" s="15" t="n"/>
    </row>
    <row r="264">
      <c r="B264" s="9" t="n"/>
      <c r="C264" s="57" t="n">
        <v>27</v>
      </c>
      <c r="D264" s="41" t="n"/>
      <c r="E264" s="55">
        <f>AI54</f>
        <v/>
      </c>
      <c r="F264" s="41" t="n"/>
      <c r="G264" s="41" t="n"/>
      <c r="H264" s="52">
        <f>AM54</f>
        <v/>
      </c>
      <c r="I264" s="41" t="n"/>
      <c r="J264" s="41" t="n"/>
      <c r="K264" s="53">
        <f>AQ54</f>
        <v/>
      </c>
      <c r="L264" s="41" t="n"/>
      <c r="M264" s="41" t="n"/>
      <c r="N264" s="53">
        <f>BC54</f>
        <v/>
      </c>
      <c r="O264" s="41" t="n"/>
      <c r="P264" s="41" t="n"/>
      <c r="Q264" s="66">
        <f>BJ54</f>
        <v/>
      </c>
      <c r="R264" s="41" t="n"/>
      <c r="S264" s="41" t="n"/>
      <c r="T264" s="55">
        <f>AU54</f>
        <v/>
      </c>
      <c r="U264" s="41" t="n"/>
      <c r="V264" s="76">
        <f>BH54</f>
        <v/>
      </c>
      <c r="W264" s="41" t="n"/>
      <c r="X264" s="76">
        <f>BI54</f>
        <v/>
      </c>
      <c r="Y264" s="41" t="n"/>
      <c r="Z264" s="77">
        <f>BK54</f>
        <v/>
      </c>
      <c r="AA264" s="41" t="n"/>
      <c r="AB264" s="41" t="n"/>
      <c r="AC264" s="78">
        <f>BM54</f>
        <v/>
      </c>
      <c r="AD264" s="41" t="n"/>
      <c r="AE264" s="41" t="n"/>
      <c r="AF264" s="15" t="n"/>
    </row>
    <row r="265">
      <c r="B265" s="9" t="n"/>
      <c r="C265" s="57" t="n">
        <v>28</v>
      </c>
      <c r="D265" s="41" t="n"/>
      <c r="E265" s="55">
        <f>AI55</f>
        <v/>
      </c>
      <c r="F265" s="41" t="n"/>
      <c r="G265" s="41" t="n"/>
      <c r="H265" s="52">
        <f>AM55</f>
        <v/>
      </c>
      <c r="I265" s="41" t="n"/>
      <c r="J265" s="41" t="n"/>
      <c r="K265" s="53">
        <f>AQ55</f>
        <v/>
      </c>
      <c r="L265" s="41" t="n"/>
      <c r="M265" s="41" t="n"/>
      <c r="N265" s="53">
        <f>BC55</f>
        <v/>
      </c>
      <c r="O265" s="41" t="n"/>
      <c r="P265" s="41" t="n"/>
      <c r="Q265" s="66">
        <f>BJ55</f>
        <v/>
      </c>
      <c r="R265" s="41" t="n"/>
      <c r="S265" s="41" t="n"/>
      <c r="T265" s="55">
        <f>AU55</f>
        <v/>
      </c>
      <c r="U265" s="41" t="n"/>
      <c r="V265" s="76">
        <f>BH55</f>
        <v/>
      </c>
      <c r="W265" s="41" t="n"/>
      <c r="X265" s="76">
        <f>BI55</f>
        <v/>
      </c>
      <c r="Y265" s="41" t="n"/>
      <c r="Z265" s="77">
        <f>BK55</f>
        <v/>
      </c>
      <c r="AA265" s="41" t="n"/>
      <c r="AB265" s="41" t="n"/>
      <c r="AC265" s="78">
        <f>BM55</f>
        <v/>
      </c>
      <c r="AD265" s="41" t="n"/>
      <c r="AE265" s="41" t="n"/>
      <c r="AF265" s="15" t="n"/>
    </row>
    <row r="266">
      <c r="B266" s="9" t="n"/>
      <c r="C266" s="57" t="n">
        <v>29</v>
      </c>
      <c r="D266" s="41" t="n"/>
      <c r="E266" s="55">
        <f>AI56</f>
        <v/>
      </c>
      <c r="F266" s="41" t="n"/>
      <c r="G266" s="41" t="n"/>
      <c r="H266" s="52">
        <f>AM56</f>
        <v/>
      </c>
      <c r="I266" s="41" t="n"/>
      <c r="J266" s="41" t="n"/>
      <c r="K266" s="53">
        <f>AQ56</f>
        <v/>
      </c>
      <c r="L266" s="41" t="n"/>
      <c r="M266" s="41" t="n"/>
      <c r="N266" s="53">
        <f>BC56</f>
        <v/>
      </c>
      <c r="O266" s="41" t="n"/>
      <c r="P266" s="41" t="n"/>
      <c r="Q266" s="66">
        <f>BJ56</f>
        <v/>
      </c>
      <c r="R266" s="41" t="n"/>
      <c r="S266" s="41" t="n"/>
      <c r="T266" s="55">
        <f>AU56</f>
        <v/>
      </c>
      <c r="U266" s="41" t="n"/>
      <c r="V266" s="76">
        <f>BH56</f>
        <v/>
      </c>
      <c r="W266" s="41" t="n"/>
      <c r="X266" s="76">
        <f>BI56</f>
        <v/>
      </c>
      <c r="Y266" s="41" t="n"/>
      <c r="Z266" s="77">
        <f>BK56</f>
        <v/>
      </c>
      <c r="AA266" s="41" t="n"/>
      <c r="AB266" s="41" t="n"/>
      <c r="AC266" s="78">
        <f>BM56</f>
        <v/>
      </c>
      <c r="AD266" s="41" t="n"/>
      <c r="AE266" s="41" t="n"/>
      <c r="AF266" s="15" t="n"/>
    </row>
    <row r="267">
      <c r="B267" s="9" t="n"/>
      <c r="C267" s="57" t="n">
        <v>30</v>
      </c>
      <c r="D267" s="41" t="n"/>
      <c r="E267" s="55">
        <f>AI57</f>
        <v/>
      </c>
      <c r="F267" s="41" t="n"/>
      <c r="G267" s="41" t="n"/>
      <c r="H267" s="52">
        <f>AM57</f>
        <v/>
      </c>
      <c r="I267" s="41" t="n"/>
      <c r="J267" s="41" t="n"/>
      <c r="K267" s="53">
        <f>AQ57</f>
        <v/>
      </c>
      <c r="L267" s="41" t="n"/>
      <c r="M267" s="41" t="n"/>
      <c r="N267" s="53">
        <f>BC57</f>
        <v/>
      </c>
      <c r="O267" s="41" t="n"/>
      <c r="P267" s="41" t="n"/>
      <c r="Q267" s="66">
        <f>BJ57</f>
        <v/>
      </c>
      <c r="R267" s="41" t="n"/>
      <c r="S267" s="41" t="n"/>
      <c r="T267" s="55">
        <f>AU57</f>
        <v/>
      </c>
      <c r="U267" s="41" t="n"/>
      <c r="V267" s="76">
        <f>BH57</f>
        <v/>
      </c>
      <c r="W267" s="41" t="n"/>
      <c r="X267" s="76">
        <f>BI57</f>
        <v/>
      </c>
      <c r="Y267" s="41" t="n"/>
      <c r="Z267" s="77">
        <f>BK57</f>
        <v/>
      </c>
      <c r="AA267" s="41" t="n"/>
      <c r="AB267" s="41" t="n"/>
      <c r="AC267" s="78">
        <f>BM57</f>
        <v/>
      </c>
      <c r="AD267" s="41" t="n"/>
      <c r="AE267" s="41" t="n"/>
      <c r="AF267" s="15" t="n"/>
    </row>
    <row r="268">
      <c r="B268" s="9" t="n"/>
      <c r="C268" s="57" t="n">
        <v>31</v>
      </c>
      <c r="D268" s="41" t="n"/>
      <c r="E268" s="55">
        <f>AI58</f>
        <v/>
      </c>
      <c r="F268" s="41" t="n"/>
      <c r="G268" s="41" t="n"/>
      <c r="H268" s="52">
        <f>AM58</f>
        <v/>
      </c>
      <c r="I268" s="41" t="n"/>
      <c r="J268" s="41" t="n"/>
      <c r="K268" s="53">
        <f>AQ58</f>
        <v/>
      </c>
      <c r="L268" s="41" t="n"/>
      <c r="M268" s="41" t="n"/>
      <c r="N268" s="53">
        <f>BC58</f>
        <v/>
      </c>
      <c r="O268" s="41" t="n"/>
      <c r="P268" s="41" t="n"/>
      <c r="Q268" s="66">
        <f>BJ58</f>
        <v/>
      </c>
      <c r="R268" s="41" t="n"/>
      <c r="S268" s="41" t="n"/>
      <c r="T268" s="55">
        <f>AU58</f>
        <v/>
      </c>
      <c r="U268" s="41" t="n"/>
      <c r="V268" s="76">
        <f>BH58</f>
        <v/>
      </c>
      <c r="W268" s="41" t="n"/>
      <c r="X268" s="76">
        <f>BI58</f>
        <v/>
      </c>
      <c r="Y268" s="41" t="n"/>
      <c r="Z268" s="77">
        <f>BK58</f>
        <v/>
      </c>
      <c r="AA268" s="41" t="n"/>
      <c r="AB268" s="41" t="n"/>
      <c r="AC268" s="78">
        <f>BM58</f>
        <v/>
      </c>
      <c r="AD268" s="41" t="n"/>
      <c r="AE268" s="41" t="n"/>
      <c r="AF268" s="15" t="n"/>
    </row>
    <row r="269">
      <c r="B269" s="9" t="n"/>
      <c r="C269" s="57" t="n">
        <v>32</v>
      </c>
      <c r="D269" s="41" t="n"/>
      <c r="E269" s="55">
        <f>AI59</f>
        <v/>
      </c>
      <c r="F269" s="41" t="n"/>
      <c r="G269" s="41" t="n"/>
      <c r="H269" s="52">
        <f>AM59</f>
        <v/>
      </c>
      <c r="I269" s="41" t="n"/>
      <c r="J269" s="41" t="n"/>
      <c r="K269" s="53">
        <f>AQ59</f>
        <v/>
      </c>
      <c r="L269" s="41" t="n"/>
      <c r="M269" s="41" t="n"/>
      <c r="N269" s="53">
        <f>BC59</f>
        <v/>
      </c>
      <c r="O269" s="41" t="n"/>
      <c r="P269" s="41" t="n"/>
      <c r="Q269" s="66">
        <f>BJ59</f>
        <v/>
      </c>
      <c r="R269" s="41" t="n"/>
      <c r="S269" s="41" t="n"/>
      <c r="T269" s="55">
        <f>AU59</f>
        <v/>
      </c>
      <c r="U269" s="41" t="n"/>
      <c r="V269" s="76">
        <f>BH59</f>
        <v/>
      </c>
      <c r="W269" s="41" t="n"/>
      <c r="X269" s="76">
        <f>BI59</f>
        <v/>
      </c>
      <c r="Y269" s="41" t="n"/>
      <c r="Z269" s="77">
        <f>BK59</f>
        <v/>
      </c>
      <c r="AA269" s="41" t="n"/>
      <c r="AB269" s="41" t="n"/>
      <c r="AC269" s="78">
        <f>BM59</f>
        <v/>
      </c>
      <c r="AD269" s="41" t="n"/>
      <c r="AE269" s="41" t="n"/>
      <c r="AF269" s="15" t="n"/>
    </row>
    <row r="270">
      <c r="B270" s="9" t="n"/>
      <c r="C270" s="57" t="n">
        <v>33</v>
      </c>
      <c r="D270" s="41" t="n"/>
      <c r="E270" s="55">
        <f>AI60</f>
        <v/>
      </c>
      <c r="F270" s="41" t="n"/>
      <c r="G270" s="41" t="n"/>
      <c r="H270" s="52">
        <f>AM60</f>
        <v/>
      </c>
      <c r="I270" s="41" t="n"/>
      <c r="J270" s="41" t="n"/>
      <c r="K270" s="53">
        <f>AQ60</f>
        <v/>
      </c>
      <c r="L270" s="41" t="n"/>
      <c r="M270" s="41" t="n"/>
      <c r="N270" s="53">
        <f>BC60</f>
        <v/>
      </c>
      <c r="O270" s="41" t="n"/>
      <c r="P270" s="41" t="n"/>
      <c r="Q270" s="66">
        <f>BJ60</f>
        <v/>
      </c>
      <c r="R270" s="41" t="n"/>
      <c r="S270" s="41" t="n"/>
      <c r="T270" s="55">
        <f>AU60</f>
        <v/>
      </c>
      <c r="U270" s="41" t="n"/>
      <c r="V270" s="76">
        <f>BH60</f>
        <v/>
      </c>
      <c r="W270" s="41" t="n"/>
      <c r="X270" s="76">
        <f>BI60</f>
        <v/>
      </c>
      <c r="Y270" s="41" t="n"/>
      <c r="Z270" s="77">
        <f>BK60</f>
        <v/>
      </c>
      <c r="AA270" s="41" t="n"/>
      <c r="AB270" s="41" t="n"/>
      <c r="AC270" s="78">
        <f>BM60</f>
        <v/>
      </c>
      <c r="AD270" s="41" t="n"/>
      <c r="AE270" s="41" t="n"/>
      <c r="AF270" s="15" t="n"/>
    </row>
    <row r="271">
      <c r="B271" s="9" t="n"/>
      <c r="C271" s="57" t="n">
        <v>34</v>
      </c>
      <c r="D271" s="41" t="n"/>
      <c r="E271" s="55">
        <f>AI61</f>
        <v/>
      </c>
      <c r="F271" s="41" t="n"/>
      <c r="G271" s="41" t="n"/>
      <c r="H271" s="52">
        <f>AM61</f>
        <v/>
      </c>
      <c r="I271" s="41" t="n"/>
      <c r="J271" s="41" t="n"/>
      <c r="K271" s="53">
        <f>AQ61</f>
        <v/>
      </c>
      <c r="L271" s="41" t="n"/>
      <c r="M271" s="41" t="n"/>
      <c r="N271" s="53">
        <f>BC61</f>
        <v/>
      </c>
      <c r="O271" s="41" t="n"/>
      <c r="P271" s="41" t="n"/>
      <c r="Q271" s="66">
        <f>BJ61</f>
        <v/>
      </c>
      <c r="R271" s="41" t="n"/>
      <c r="S271" s="41" t="n"/>
      <c r="T271" s="55">
        <f>AU61</f>
        <v/>
      </c>
      <c r="U271" s="41" t="n"/>
      <c r="V271" s="76">
        <f>BH61</f>
        <v/>
      </c>
      <c r="W271" s="41" t="n"/>
      <c r="X271" s="76">
        <f>BI61</f>
        <v/>
      </c>
      <c r="Y271" s="41" t="n"/>
      <c r="Z271" s="77">
        <f>BK61</f>
        <v/>
      </c>
      <c r="AA271" s="41" t="n"/>
      <c r="AB271" s="41" t="n"/>
      <c r="AC271" s="78">
        <f>BM61</f>
        <v/>
      </c>
      <c r="AD271" s="41" t="n"/>
      <c r="AE271" s="41" t="n"/>
      <c r="AF271" s="15" t="n"/>
    </row>
    <row r="272">
      <c r="B272" s="9" t="n"/>
      <c r="C272" s="57" t="n">
        <v>35</v>
      </c>
      <c r="D272" s="41" t="n"/>
      <c r="E272" s="55">
        <f>AI62</f>
        <v/>
      </c>
      <c r="F272" s="41" t="n"/>
      <c r="G272" s="41" t="n"/>
      <c r="H272" s="52">
        <f>AM62</f>
        <v/>
      </c>
      <c r="I272" s="41" t="n"/>
      <c r="J272" s="41" t="n"/>
      <c r="K272" s="53">
        <f>AQ62</f>
        <v/>
      </c>
      <c r="L272" s="41" t="n"/>
      <c r="M272" s="41" t="n"/>
      <c r="N272" s="53">
        <f>BC62</f>
        <v/>
      </c>
      <c r="O272" s="41" t="n"/>
      <c r="P272" s="41" t="n"/>
      <c r="Q272" s="66">
        <f>BJ62</f>
        <v/>
      </c>
      <c r="R272" s="41" t="n"/>
      <c r="S272" s="41" t="n"/>
      <c r="T272" s="55">
        <f>AU62</f>
        <v/>
      </c>
      <c r="U272" s="41" t="n"/>
      <c r="V272" s="76">
        <f>BH62</f>
        <v/>
      </c>
      <c r="W272" s="41" t="n"/>
      <c r="X272" s="76">
        <f>BI62</f>
        <v/>
      </c>
      <c r="Y272" s="41" t="n"/>
      <c r="Z272" s="77">
        <f>BK62</f>
        <v/>
      </c>
      <c r="AA272" s="41" t="n"/>
      <c r="AB272" s="41" t="n"/>
      <c r="AC272" s="78">
        <f>BM62</f>
        <v/>
      </c>
      <c r="AD272" s="41" t="n"/>
      <c r="AE272" s="41" t="n"/>
      <c r="AF272" s="15" t="n"/>
    </row>
    <row r="273">
      <c r="B273" s="9" t="n"/>
      <c r="C273" s="57" t="n">
        <v>36</v>
      </c>
      <c r="D273" s="41" t="n"/>
      <c r="E273" s="55">
        <f>AI63</f>
        <v/>
      </c>
      <c r="F273" s="41" t="n"/>
      <c r="G273" s="41" t="n"/>
      <c r="H273" s="52">
        <f>AM63</f>
        <v/>
      </c>
      <c r="I273" s="41" t="n"/>
      <c r="J273" s="41" t="n"/>
      <c r="K273" s="53">
        <f>AQ63</f>
        <v/>
      </c>
      <c r="L273" s="41" t="n"/>
      <c r="M273" s="41" t="n"/>
      <c r="N273" s="53">
        <f>BC63</f>
        <v/>
      </c>
      <c r="O273" s="41" t="n"/>
      <c r="P273" s="41" t="n"/>
      <c r="Q273" s="66">
        <f>BJ63</f>
        <v/>
      </c>
      <c r="R273" s="41" t="n"/>
      <c r="S273" s="41" t="n"/>
      <c r="T273" s="55">
        <f>AU63</f>
        <v/>
      </c>
      <c r="U273" s="41" t="n"/>
      <c r="V273" s="76">
        <f>BH63</f>
        <v/>
      </c>
      <c r="W273" s="41" t="n"/>
      <c r="X273" s="76">
        <f>BI63</f>
        <v/>
      </c>
      <c r="Y273" s="41" t="n"/>
      <c r="Z273" s="77">
        <f>BK63</f>
        <v/>
      </c>
      <c r="AA273" s="41" t="n"/>
      <c r="AB273" s="41" t="n"/>
      <c r="AC273" s="78">
        <f>BM63</f>
        <v/>
      </c>
      <c r="AD273" s="41" t="n"/>
      <c r="AE273" s="41" t="n"/>
      <c r="AF273" s="15" t="n"/>
    </row>
    <row r="274">
      <c r="B274" s="9" t="n"/>
      <c r="C274" s="57" t="n">
        <v>37</v>
      </c>
      <c r="D274" s="41" t="n"/>
      <c r="E274" s="55">
        <f>AI64</f>
        <v/>
      </c>
      <c r="F274" s="41" t="n"/>
      <c r="G274" s="41" t="n"/>
      <c r="H274" s="52">
        <f>AM64</f>
        <v/>
      </c>
      <c r="I274" s="41" t="n"/>
      <c r="J274" s="41" t="n"/>
      <c r="K274" s="53">
        <f>AQ64</f>
        <v/>
      </c>
      <c r="L274" s="41" t="n"/>
      <c r="M274" s="41" t="n"/>
      <c r="N274" s="53">
        <f>BC64</f>
        <v/>
      </c>
      <c r="O274" s="41" t="n"/>
      <c r="P274" s="41" t="n"/>
      <c r="Q274" s="66">
        <f>BJ64</f>
        <v/>
      </c>
      <c r="R274" s="41" t="n"/>
      <c r="S274" s="41" t="n"/>
      <c r="T274" s="55">
        <f>AU64</f>
        <v/>
      </c>
      <c r="U274" s="41" t="n"/>
      <c r="V274" s="76">
        <f>BH64</f>
        <v/>
      </c>
      <c r="W274" s="41" t="n"/>
      <c r="X274" s="76">
        <f>BI64</f>
        <v/>
      </c>
      <c r="Y274" s="41" t="n"/>
      <c r="Z274" s="77">
        <f>BK64</f>
        <v/>
      </c>
      <c r="AA274" s="41" t="n"/>
      <c r="AB274" s="41" t="n"/>
      <c r="AC274" s="78">
        <f>BM64</f>
        <v/>
      </c>
      <c r="AD274" s="41" t="n"/>
      <c r="AE274" s="41" t="n"/>
      <c r="AF274" s="15" t="n"/>
    </row>
    <row r="275">
      <c r="B275" s="9" t="n"/>
      <c r="C275" s="57" t="n">
        <v>38</v>
      </c>
      <c r="D275" s="41" t="n"/>
      <c r="E275" s="55">
        <f>AI65</f>
        <v/>
      </c>
      <c r="F275" s="41" t="n"/>
      <c r="G275" s="41" t="n"/>
      <c r="H275" s="52">
        <f>AM65</f>
        <v/>
      </c>
      <c r="I275" s="41" t="n"/>
      <c r="J275" s="41" t="n"/>
      <c r="K275" s="53">
        <f>AQ65</f>
        <v/>
      </c>
      <c r="L275" s="41" t="n"/>
      <c r="M275" s="41" t="n"/>
      <c r="N275" s="53">
        <f>BC65</f>
        <v/>
      </c>
      <c r="O275" s="41" t="n"/>
      <c r="P275" s="41" t="n"/>
      <c r="Q275" s="66">
        <f>BJ65</f>
        <v/>
      </c>
      <c r="R275" s="41" t="n"/>
      <c r="S275" s="41" t="n"/>
      <c r="T275" s="55">
        <f>AU65</f>
        <v/>
      </c>
      <c r="U275" s="41" t="n"/>
      <c r="V275" s="76">
        <f>BH65</f>
        <v/>
      </c>
      <c r="W275" s="41" t="n"/>
      <c r="X275" s="76">
        <f>BI65</f>
        <v/>
      </c>
      <c r="Y275" s="41" t="n"/>
      <c r="Z275" s="77">
        <f>BK65</f>
        <v/>
      </c>
      <c r="AA275" s="41" t="n"/>
      <c r="AB275" s="41" t="n"/>
      <c r="AC275" s="78">
        <f>BM65</f>
        <v/>
      </c>
      <c r="AD275" s="41" t="n"/>
      <c r="AE275" s="41" t="n"/>
      <c r="AF275" s="15" t="n"/>
    </row>
    <row r="276">
      <c r="B276" s="9" t="n"/>
      <c r="C276" s="57" t="n">
        <v>39</v>
      </c>
      <c r="D276" s="41" t="n"/>
      <c r="E276" s="55">
        <f>AI66</f>
        <v/>
      </c>
      <c r="F276" s="41" t="n"/>
      <c r="G276" s="41" t="n"/>
      <c r="H276" s="52">
        <f>AM66</f>
        <v/>
      </c>
      <c r="I276" s="41" t="n"/>
      <c r="J276" s="41" t="n"/>
      <c r="K276" s="53">
        <f>AQ66</f>
        <v/>
      </c>
      <c r="L276" s="41" t="n"/>
      <c r="M276" s="41" t="n"/>
      <c r="N276" s="53">
        <f>BC66</f>
        <v/>
      </c>
      <c r="O276" s="41" t="n"/>
      <c r="P276" s="41" t="n"/>
      <c r="Q276" s="66">
        <f>BJ66</f>
        <v/>
      </c>
      <c r="R276" s="41" t="n"/>
      <c r="S276" s="41" t="n"/>
      <c r="T276" s="55">
        <f>AU66</f>
        <v/>
      </c>
      <c r="U276" s="41" t="n"/>
      <c r="V276" s="76">
        <f>BH66</f>
        <v/>
      </c>
      <c r="W276" s="41" t="n"/>
      <c r="X276" s="76">
        <f>BI66</f>
        <v/>
      </c>
      <c r="Y276" s="41" t="n"/>
      <c r="Z276" s="77">
        <f>BK66</f>
        <v/>
      </c>
      <c r="AA276" s="41" t="n"/>
      <c r="AB276" s="41" t="n"/>
      <c r="AC276" s="78">
        <f>BM66</f>
        <v/>
      </c>
      <c r="AD276" s="41" t="n"/>
      <c r="AE276" s="41" t="n"/>
      <c r="AF276" s="15" t="n"/>
    </row>
    <row r="277">
      <c r="B277" s="9" t="n"/>
      <c r="C277" s="57" t="n">
        <v>40</v>
      </c>
      <c r="D277" s="41" t="n"/>
      <c r="E277" s="55">
        <f>AI67</f>
        <v/>
      </c>
      <c r="F277" s="41" t="n"/>
      <c r="G277" s="41" t="n"/>
      <c r="H277" s="52">
        <f>AM67</f>
        <v/>
      </c>
      <c r="I277" s="41" t="n"/>
      <c r="J277" s="41" t="n"/>
      <c r="K277" s="53">
        <f>AQ67</f>
        <v/>
      </c>
      <c r="L277" s="41" t="n"/>
      <c r="M277" s="41" t="n"/>
      <c r="N277" s="53">
        <f>BC67</f>
        <v/>
      </c>
      <c r="O277" s="41" t="n"/>
      <c r="P277" s="41" t="n"/>
      <c r="Q277" s="66">
        <f>BJ67</f>
        <v/>
      </c>
      <c r="R277" s="41" t="n"/>
      <c r="S277" s="41" t="n"/>
      <c r="T277" s="55">
        <f>AU67</f>
        <v/>
      </c>
      <c r="U277" s="41" t="n"/>
      <c r="V277" s="76">
        <f>BH67</f>
        <v/>
      </c>
      <c r="W277" s="41" t="n"/>
      <c r="X277" s="76">
        <f>BI67</f>
        <v/>
      </c>
      <c r="Y277" s="41" t="n"/>
      <c r="Z277" s="77">
        <f>BK67</f>
        <v/>
      </c>
      <c r="AA277" s="41" t="n"/>
      <c r="AB277" s="41" t="n"/>
      <c r="AC277" s="78">
        <f>BM67</f>
        <v/>
      </c>
      <c r="AD277" s="41" t="n"/>
      <c r="AE277" s="41" t="n"/>
      <c r="AF277" s="15" t="n"/>
    </row>
    <row r="278">
      <c r="B278" s="9" t="n"/>
      <c r="C278" s="69" t="n">
        <v>41</v>
      </c>
      <c r="D278" s="46" t="n"/>
      <c r="E278" s="70">
        <f>AI68</f>
        <v/>
      </c>
      <c r="F278" s="46" t="n"/>
      <c r="G278" s="46" t="n"/>
      <c r="H278" s="59">
        <f>AM68</f>
        <v/>
      </c>
      <c r="I278" s="46" t="n"/>
      <c r="J278" s="46" t="n"/>
      <c r="K278" s="60">
        <f>AQ68</f>
        <v/>
      </c>
      <c r="L278" s="46" t="n"/>
      <c r="M278" s="46" t="n"/>
      <c r="N278" s="60">
        <f>BC68</f>
        <v/>
      </c>
      <c r="O278" s="46" t="n"/>
      <c r="P278" s="46" t="n"/>
      <c r="Q278" s="71">
        <f>BJ68</f>
        <v/>
      </c>
      <c r="R278" s="46" t="n"/>
      <c r="S278" s="46" t="n"/>
      <c r="T278" s="70">
        <f>AU68</f>
        <v/>
      </c>
      <c r="U278" s="46" t="n"/>
      <c r="V278" s="79">
        <f>BH68</f>
        <v/>
      </c>
      <c r="W278" s="46" t="n"/>
      <c r="X278" s="79">
        <f>BI68</f>
        <v/>
      </c>
      <c r="Y278" s="46" t="n"/>
      <c r="Z278" s="80">
        <f>BK68</f>
        <v/>
      </c>
      <c r="AA278" s="46" t="n"/>
      <c r="AB278" s="46" t="n"/>
      <c r="AC278" s="81">
        <f>BM68</f>
        <v/>
      </c>
      <c r="AD278" s="46" t="n"/>
      <c r="AE278" s="46" t="n"/>
      <c r="AF278" s="15" t="n"/>
    </row>
    <row r="279">
      <c r="B279" s="9" t="n"/>
      <c r="AF279" s="15" t="n"/>
    </row>
    <row r="280">
      <c r="B280" s="9" t="n"/>
      <c r="C280" s="25" t="inlineStr">
        <is>
          <t>Total consolidation settlement</t>
        </is>
      </c>
      <c r="O280" s="26" t="inlineStr">
        <is>
          <t>Sc = Σ Sc</t>
        </is>
      </c>
      <c r="X280" s="27" t="inlineStr">
        <is>
          <t>Sc =</t>
        </is>
      </c>
      <c r="Y280" s="13" t="n"/>
      <c r="Z280" s="13" t="n"/>
      <c r="AA280" s="30">
        <f>SUM(BK28:BK68)</f>
        <v/>
      </c>
      <c r="AB280" s="13" t="n"/>
      <c r="AC280" s="13" t="n"/>
      <c r="AD280" s="25" t="inlineStr">
        <is>
          <t>mm</t>
        </is>
      </c>
      <c r="AF280" s="15" t="n"/>
    </row>
    <row r="281">
      <c r="B281" s="9" t="n"/>
      <c r="C281" s="25" t="inlineStr">
        <is>
          <t>Time for 90 % consolidation (slowest layer)</t>
        </is>
      </c>
      <c r="O281" s="26" t="inlineStr">
        <is>
          <t>t90 = max</t>
        </is>
      </c>
      <c r="X281" s="27" t="inlineStr">
        <is>
          <t>t90 =</t>
        </is>
      </c>
      <c r="Y281" s="13" t="n"/>
      <c r="Z281" s="13" t="n"/>
      <c r="AA281" s="61">
        <f>MAX(BM28:BM68)</f>
        <v/>
      </c>
      <c r="AB281" s="13" t="n"/>
      <c r="AC281" s="13" t="n"/>
      <c r="AD281" s="25" t="inlineStr">
        <is>
          <t>year</t>
        </is>
      </c>
      <c r="AF281" s="15" t="n"/>
    </row>
    <row r="282">
      <c r="B282" s="9" t="n"/>
      <c r="AF282" s="15" t="n"/>
    </row>
    <row r="283">
      <c r="B283" s="9" t="n"/>
      <c r="AF283" s="15" t="n"/>
    </row>
    <row r="284">
      <c r="B284" s="9" t="n"/>
      <c r="AF284" s="15" t="n"/>
    </row>
    <row r="285">
      <c r="B285" s="9" t="n"/>
      <c r="AF285" s="15" t="n"/>
    </row>
    <row r="286">
      <c r="B286" s="9" t="n"/>
      <c r="AF286" s="15" t="n"/>
    </row>
    <row r="287">
      <c r="B287" s="9" t="n"/>
      <c r="AF287" s="15" t="n"/>
    </row>
    <row r="288">
      <c r="B288" s="9" t="n"/>
      <c r="AF288" s="15" t="n"/>
    </row>
    <row r="289">
      <c r="B289" s="47" t="n"/>
      <c r="C289" s="48" t="n"/>
      <c r="D289" s="48" t="n"/>
      <c r="E289" s="48" t="n"/>
      <c r="F289" s="48" t="n"/>
      <c r="G289" s="48" t="n"/>
      <c r="H289" s="48" t="n"/>
      <c r="I289" s="48" t="n"/>
      <c r="J289" s="48" t="n"/>
      <c r="K289" s="48" t="n"/>
      <c r="L289" s="48" t="n"/>
      <c r="M289" s="48" t="n"/>
      <c r="N289" s="48" t="n"/>
      <c r="O289" s="48" t="n"/>
      <c r="P289" s="48" t="n"/>
      <c r="Q289" s="48" t="n"/>
      <c r="R289" s="48" t="n"/>
      <c r="S289" s="48" t="n"/>
      <c r="T289" s="48" t="n"/>
      <c r="U289" s="48" t="n"/>
      <c r="V289" s="48" t="n"/>
      <c r="W289" s="48" t="n"/>
      <c r="X289" s="49" t="inlineStr">
        <is>
          <t>Sheet :</t>
        </is>
      </c>
      <c r="Y289" s="48" t="n"/>
      <c r="Z289" s="48" t="n"/>
      <c r="AA289" s="48" t="n"/>
      <c r="AB289" s="49" t="n">
        <v>4</v>
      </c>
      <c r="AC289" s="48" t="n"/>
      <c r="AD289" s="48" t="n"/>
      <c r="AE289" s="48" t="n"/>
      <c r="AF289" s="50" t="n"/>
    </row>
    <row r="290">
      <c r="B290" s="1" t="n"/>
      <c r="C290" s="2" t="inlineStr">
        <is>
          <t>PROJECT :</t>
        </is>
      </c>
      <c r="D290" s="3" t="n"/>
      <c r="E290" s="3" t="n"/>
      <c r="F290" s="3" t="n"/>
      <c r="G290" s="3" t="n"/>
      <c r="H290" s="4" t="inlineStr">
        <is>
          <t>GEOTHERMAL WELLPAD PSPE BORA PULU - SIGI, CENTRAL SULAWESI</t>
        </is>
      </c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5" t="inlineStr">
        <is>
          <t>Prepared by :</t>
        </is>
      </c>
      <c r="Y290" s="6" t="n"/>
      <c r="Z290" s="6" t="n"/>
      <c r="AA290" s="6" t="n"/>
      <c r="AB290" s="7" t="inlineStr">
        <is>
          <t>Date</t>
        </is>
      </c>
      <c r="AC290" s="6" t="n"/>
      <c r="AD290" s="6" t="n"/>
      <c r="AE290" s="6" t="n"/>
      <c r="AF290" s="8" t="n"/>
    </row>
    <row r="291">
      <c r="B291" s="9" t="n"/>
      <c r="C291" s="10" t="inlineStr">
        <is>
          <t>CLIENT :</t>
        </is>
      </c>
      <c r="H291" s="11" t="inlineStr">
        <is>
          <t>PT EDC PANAS BUMI INDONESIA</t>
        </is>
      </c>
      <c r="X291" s="12" t="inlineStr">
        <is>
          <t>DF</t>
        </is>
      </c>
      <c r="Y291" s="13" t="n"/>
      <c r="Z291" s="13" t="n"/>
      <c r="AA291" s="13" t="n"/>
      <c r="AB291" s="14" t="n">
        <v>46301</v>
      </c>
      <c r="AC291" s="13" t="n"/>
      <c r="AD291" s="13" t="n"/>
      <c r="AE291" s="13" t="n"/>
      <c r="AF291" s="15" t="n"/>
    </row>
    <row r="292">
      <c r="B292" s="9" t="n"/>
      <c r="C292" s="10" t="inlineStr">
        <is>
          <t>LOCATION :</t>
        </is>
      </c>
      <c r="H292" s="11" t="inlineStr">
        <is>
          <t>BH-01 (Wellpad D)</t>
        </is>
      </c>
      <c r="X292" s="12" t="inlineStr">
        <is>
          <t>Verified by :</t>
        </is>
      </c>
      <c r="Y292" s="13" t="n"/>
      <c r="Z292" s="13" t="n"/>
      <c r="AA292" s="13" t="n"/>
      <c r="AB292" s="14" t="inlineStr">
        <is>
          <t>Date</t>
        </is>
      </c>
      <c r="AC292" s="13" t="n"/>
      <c r="AD292" s="13" t="n"/>
      <c r="AE292" s="13" t="n"/>
      <c r="AF292" s="15" t="n"/>
    </row>
    <row r="293">
      <c r="B293" s="16" t="n"/>
      <c r="C293" s="17" t="inlineStr">
        <is>
          <t>SHEET :</t>
        </is>
      </c>
      <c r="D293" s="18" t="n"/>
      <c r="E293" s="18" t="n"/>
      <c r="F293" s="18" t="n"/>
      <c r="G293" s="18" t="n"/>
      <c r="H293" s="19" t="inlineStr">
        <is>
          <t>BEARING CAPACITY AND SETTLEMENT OF SUBGRADE</t>
        </is>
      </c>
      <c r="I293" s="18" t="n"/>
      <c r="J293" s="18" t="n"/>
      <c r="K293" s="18" t="n"/>
      <c r="L293" s="18" t="n"/>
      <c r="M293" s="18" t="n"/>
      <c r="N293" s="18" t="n"/>
      <c r="O293" s="18" t="n"/>
      <c r="P293" s="18" t="n"/>
      <c r="Q293" s="18" t="n"/>
      <c r="R293" s="18" t="n"/>
      <c r="S293" s="18" t="n"/>
      <c r="T293" s="18" t="n"/>
      <c r="U293" s="18" t="n"/>
      <c r="V293" s="18" t="n"/>
      <c r="W293" s="18" t="n"/>
      <c r="X293" s="20" t="inlineStr">
        <is>
          <t>BC</t>
        </is>
      </c>
      <c r="Y293" s="21" t="n"/>
      <c r="Z293" s="21" t="n"/>
      <c r="AA293" s="21" t="n"/>
      <c r="AB293" s="22" t="n">
        <v>46301</v>
      </c>
      <c r="AC293" s="21" t="n"/>
      <c r="AD293" s="21" t="n"/>
      <c r="AE293" s="21" t="n"/>
      <c r="AF293" s="23" t="n"/>
    </row>
    <row r="294">
      <c r="B294" s="9" t="n"/>
      <c r="AF294" s="15" t="n"/>
    </row>
    <row r="295">
      <c r="B295" s="9" t="n"/>
      <c r="C295" s="11" t="inlineStr">
        <is>
          <t>6. SUMMARY</t>
        </is>
      </c>
      <c r="AF295" s="15" t="n"/>
    </row>
    <row r="296">
      <c r="B296" s="9" t="n"/>
      <c r="AF296" s="15" t="n"/>
    </row>
    <row r="297">
      <c r="B297" s="9" t="n"/>
      <c r="C297" s="25" t="inlineStr">
        <is>
          <t>Allowable bearing capacity - without improvement</t>
        </is>
      </c>
      <c r="O297" s="26" t="inlineStr"/>
      <c r="X297" s="27" t="inlineStr">
        <is>
          <t>qall =</t>
        </is>
      </c>
      <c r="Y297" s="13" t="n"/>
      <c r="Z297" s="13" t="n"/>
      <c r="AA297" s="62">
        <f>$AA$97</f>
        <v/>
      </c>
      <c r="AB297" s="13" t="n"/>
      <c r="AC297" s="13" t="n"/>
      <c r="AD297" s="25" t="inlineStr">
        <is>
          <t>kPa</t>
        </is>
      </c>
      <c r="AF297" s="15" t="n"/>
    </row>
    <row r="298">
      <c r="B298" s="9" t="n"/>
      <c r="C298" s="25" t="inlineStr">
        <is>
          <t xml:space="preserve">   check</t>
        </is>
      </c>
      <c r="X298" s="82">
        <f>$X$101</f>
        <v/>
      </c>
      <c r="AF298" s="15" t="n"/>
    </row>
    <row r="299">
      <c r="B299" s="9" t="n"/>
      <c r="C299" s="25" t="inlineStr">
        <is>
          <t>Allowable bearing capacity - design condition</t>
        </is>
      </c>
      <c r="O299" s="26" t="inlineStr">
        <is>
          <t>Dr from Section 1.2</t>
        </is>
      </c>
      <c r="X299" s="27" t="inlineStr">
        <is>
          <t>qall =</t>
        </is>
      </c>
      <c r="Y299" s="13" t="n"/>
      <c r="Z299" s="13" t="n"/>
      <c r="AA299" s="62">
        <f>$AA$115</f>
        <v/>
      </c>
      <c r="AB299" s="13" t="n"/>
      <c r="AC299" s="13" t="n"/>
      <c r="AD299" s="25" t="inlineStr">
        <is>
          <t>kPa</t>
        </is>
      </c>
      <c r="AF299" s="15" t="n"/>
    </row>
    <row r="300">
      <c r="B300" s="9" t="n"/>
      <c r="C300" s="25" t="inlineStr">
        <is>
          <t xml:space="preserve">   check</t>
        </is>
      </c>
      <c r="X300" s="82">
        <f>$X$119</f>
        <v/>
      </c>
      <c r="AF300" s="15" t="n"/>
    </row>
    <row r="301">
      <c r="B301" s="9" t="n"/>
      <c r="C301" s="25" t="inlineStr">
        <is>
          <t>Immediate settlement (layered elastic)</t>
        </is>
      </c>
      <c r="O301" s="26" t="inlineStr">
        <is>
          <t>Section 4</t>
        </is>
      </c>
      <c r="X301" s="27" t="inlineStr">
        <is>
          <t>Si =</t>
        </is>
      </c>
      <c r="Y301" s="13" t="n"/>
      <c r="Z301" s="13" t="n"/>
      <c r="AA301" s="62">
        <f>$AA$201</f>
        <v/>
      </c>
      <c r="AB301" s="13" t="n"/>
      <c r="AC301" s="13" t="n"/>
      <c r="AD301" s="25" t="inlineStr">
        <is>
          <t>mm</t>
        </is>
      </c>
      <c r="AF301" s="15" t="n"/>
    </row>
    <row r="302">
      <c r="B302" s="9" t="n"/>
      <c r="C302" s="25" t="inlineStr">
        <is>
          <t>Immediate settlement of sand (B&amp;B check)</t>
        </is>
      </c>
      <c r="O302" s="26" t="inlineStr">
        <is>
          <t>Section 4.1</t>
        </is>
      </c>
      <c r="X302" s="27" t="inlineStr">
        <is>
          <t>S =</t>
        </is>
      </c>
      <c r="Y302" s="13" t="n"/>
      <c r="Z302" s="13" t="n"/>
      <c r="AA302" s="62">
        <f>$AA$229</f>
        <v/>
      </c>
      <c r="AB302" s="13" t="n"/>
      <c r="AC302" s="13" t="n"/>
      <c r="AD302" s="25" t="inlineStr">
        <is>
          <t>mm</t>
        </is>
      </c>
      <c r="AF302" s="15" t="n"/>
    </row>
    <row r="303">
      <c r="B303" s="9" t="n"/>
      <c r="C303" s="25" t="inlineStr">
        <is>
          <t>Consolidation settlement</t>
        </is>
      </c>
      <c r="O303" s="26" t="inlineStr">
        <is>
          <t>Section 5</t>
        </is>
      </c>
      <c r="X303" s="27" t="inlineStr">
        <is>
          <t>Sc =</t>
        </is>
      </c>
      <c r="Y303" s="13" t="n"/>
      <c r="Z303" s="13" t="n"/>
      <c r="AA303" s="62">
        <f>$AA$280</f>
        <v/>
      </c>
      <c r="AB303" s="13" t="n"/>
      <c r="AC303" s="13" t="n"/>
      <c r="AD303" s="25" t="inlineStr">
        <is>
          <t>mm</t>
        </is>
      </c>
      <c r="AF303" s="15" t="n"/>
    </row>
    <row r="304">
      <c r="B304" s="9" t="n"/>
      <c r="C304" s="25" t="inlineStr">
        <is>
          <t>Time for 90 % consolidation</t>
        </is>
      </c>
      <c r="O304" s="26" t="inlineStr">
        <is>
          <t>Section 5</t>
        </is>
      </c>
      <c r="X304" s="27" t="inlineStr">
        <is>
          <t>t90 =</t>
        </is>
      </c>
      <c r="Y304" s="13" t="n"/>
      <c r="Z304" s="13" t="n"/>
      <c r="AA304" s="61">
        <f>$AA$281</f>
        <v/>
      </c>
      <c r="AB304" s="13" t="n"/>
      <c r="AC304" s="13" t="n"/>
      <c r="AD304" s="25" t="inlineStr">
        <is>
          <t>year</t>
        </is>
      </c>
      <c r="AF304" s="15" t="n"/>
    </row>
    <row r="305">
      <c r="B305" s="9" t="n"/>
      <c r="C305" s="25" t="inlineStr">
        <is>
          <t>Total long-term settlement</t>
        </is>
      </c>
      <c r="O305" s="26" t="inlineStr">
        <is>
          <t>S = Si + Sc</t>
        </is>
      </c>
      <c r="X305" s="27" t="inlineStr">
        <is>
          <t>S =</t>
        </is>
      </c>
      <c r="Y305" s="13" t="n"/>
      <c r="Z305" s="13" t="n"/>
      <c r="AA305" s="30">
        <f>$AA$201+$AA$280</f>
        <v/>
      </c>
      <c r="AB305" s="13" t="n"/>
      <c r="AC305" s="13" t="n"/>
      <c r="AD305" s="25" t="inlineStr">
        <is>
          <t>mm</t>
        </is>
      </c>
      <c r="AF305" s="15" t="n"/>
    </row>
    <row r="306">
      <c r="B306" s="9" t="n"/>
      <c r="C306" s="11" t="inlineStr">
        <is>
          <t>Settlement check</t>
        </is>
      </c>
      <c r="X306" s="73">
        <f>IF($AA$305&lt;=Input!$AA$22,"S ≤ S all …. OK!!","S &gt; S all …. NG!!")</f>
        <v/>
      </c>
      <c r="Y306" s="13" t="n"/>
      <c r="Z306" s="13" t="n"/>
      <c r="AA306" s="13" t="n"/>
      <c r="AB306" s="13" t="n"/>
      <c r="AC306" s="13" t="n"/>
      <c r="AD306" s="13" t="n"/>
      <c r="AE306" s="13" t="n"/>
      <c r="AF306" s="15" t="n"/>
    </row>
    <row r="307">
      <c r="B307" s="9" t="n"/>
      <c r="AF307" s="15" t="n"/>
    </row>
    <row r="308">
      <c r="B308" s="9" t="n"/>
      <c r="C308" s="24" t="inlineStr">
        <is>
          <t>Post-liquefaction settlement during the design earthquake (liquefaction report, Table 5.4: 100 - 383 mm) is not included</t>
        </is>
      </c>
      <c r="AF308" s="15" t="n"/>
    </row>
    <row r="309">
      <c r="B309" s="9" t="n"/>
      <c r="C309" s="24" t="inlineStr">
        <is>
          <t>and shall be assessed separately.</t>
        </is>
      </c>
      <c r="AF309" s="15" t="n"/>
    </row>
    <row r="310">
      <c r="B310" s="9" t="n"/>
      <c r="AF310" s="15" t="n"/>
    </row>
    <row r="311">
      <c r="B311" s="9" t="n"/>
      <c r="C311" s="11" t="inlineStr">
        <is>
          <t>Figure 1. Settlement per sub-layer - BH-01</t>
        </is>
      </c>
      <c r="AF311" s="15" t="n"/>
    </row>
    <row r="312">
      <c r="B312" s="9" t="n"/>
      <c r="AF312" s="15" t="n"/>
    </row>
    <row r="313">
      <c r="B313" s="9" t="n"/>
      <c r="AF313" s="15" t="n"/>
    </row>
    <row r="314">
      <c r="B314" s="9" t="n"/>
      <c r="AF314" s="15" t="n"/>
    </row>
    <row r="315">
      <c r="B315" s="9" t="n"/>
      <c r="AF315" s="15" t="n"/>
    </row>
    <row r="316">
      <c r="B316" s="9" t="n"/>
      <c r="AF316" s="15" t="n"/>
    </row>
    <row r="317">
      <c r="B317" s="9" t="n"/>
      <c r="AF317" s="15" t="n"/>
    </row>
    <row r="318">
      <c r="B318" s="9" t="n"/>
      <c r="AF318" s="15" t="n"/>
    </row>
    <row r="319">
      <c r="B319" s="9" t="n"/>
      <c r="AF319" s="15" t="n"/>
    </row>
    <row r="320">
      <c r="B320" s="9" t="n"/>
      <c r="AF320" s="15" t="n"/>
    </row>
    <row r="321">
      <c r="B321" s="9" t="n"/>
      <c r="AF321" s="15" t="n"/>
    </row>
    <row r="322">
      <c r="B322" s="9" t="n"/>
      <c r="AF322" s="15" t="n"/>
    </row>
    <row r="323">
      <c r="B323" s="9" t="n"/>
      <c r="AF323" s="15" t="n"/>
    </row>
    <row r="324">
      <c r="B324" s="9" t="n"/>
      <c r="AF324" s="15" t="n"/>
    </row>
    <row r="325">
      <c r="B325" s="9" t="n"/>
      <c r="AF325" s="15" t="n"/>
    </row>
    <row r="326">
      <c r="B326" s="9" t="n"/>
      <c r="AF326" s="15" t="n"/>
    </row>
    <row r="327">
      <c r="B327" s="9" t="n"/>
      <c r="AF327" s="15" t="n"/>
    </row>
    <row r="328">
      <c r="B328" s="9" t="n"/>
      <c r="AF328" s="15" t="n"/>
    </row>
    <row r="329">
      <c r="B329" s="9" t="n"/>
      <c r="AF329" s="15" t="n"/>
    </row>
    <row r="330">
      <c r="B330" s="9" t="n"/>
      <c r="AF330" s="15" t="n"/>
    </row>
    <row r="331">
      <c r="B331" s="9" t="n"/>
      <c r="AF331" s="15" t="n"/>
    </row>
    <row r="332">
      <c r="B332" s="9" t="n"/>
      <c r="AF332" s="15" t="n"/>
    </row>
    <row r="333">
      <c r="B333" s="9" t="n"/>
      <c r="AF333" s="15" t="n"/>
    </row>
    <row r="334">
      <c r="B334" s="9" t="n"/>
      <c r="AF334" s="15" t="n"/>
    </row>
    <row r="335">
      <c r="B335" s="9" t="n"/>
      <c r="AF335" s="15" t="n"/>
    </row>
    <row r="336">
      <c r="B336" s="9" t="n"/>
      <c r="AF336" s="15" t="n"/>
    </row>
    <row r="337">
      <c r="B337" s="9" t="n"/>
      <c r="AF337" s="15" t="n"/>
    </row>
    <row r="338">
      <c r="B338" s="9" t="n"/>
      <c r="AF338" s="15" t="n"/>
    </row>
    <row r="339">
      <c r="B339" s="9" t="n"/>
      <c r="AF339" s="15" t="n"/>
    </row>
    <row r="340">
      <c r="B340" s="9" t="n"/>
      <c r="AF340" s="15" t="n"/>
    </row>
    <row r="341">
      <c r="B341" s="9" t="n"/>
      <c r="AF341" s="15" t="n"/>
    </row>
    <row r="342">
      <c r="B342" s="9" t="n"/>
      <c r="AF342" s="15" t="n"/>
    </row>
    <row r="343">
      <c r="B343" s="9" t="n"/>
      <c r="AF343" s="15" t="n"/>
    </row>
    <row r="344">
      <c r="B344" s="9" t="n"/>
      <c r="AF344" s="15" t="n"/>
    </row>
    <row r="345">
      <c r="B345" s="9" t="n"/>
      <c r="AF345" s="15" t="n"/>
    </row>
    <row r="346">
      <c r="B346" s="9" t="n"/>
      <c r="AF346" s="15" t="n"/>
    </row>
    <row r="347">
      <c r="B347" s="9" t="n"/>
      <c r="AF347" s="15" t="n"/>
    </row>
    <row r="348">
      <c r="B348" s="9" t="n"/>
      <c r="AF348" s="15" t="n"/>
    </row>
    <row r="349">
      <c r="B349" s="9" t="n"/>
      <c r="AF349" s="15" t="n"/>
    </row>
    <row r="350">
      <c r="B350" s="9" t="n"/>
      <c r="AF350" s="15" t="n"/>
    </row>
    <row r="351">
      <c r="B351" s="9" t="n"/>
      <c r="AF351" s="15" t="n"/>
    </row>
    <row r="352">
      <c r="B352" s="9" t="n"/>
      <c r="AF352" s="15" t="n"/>
    </row>
    <row r="353">
      <c r="B353" s="9" t="n"/>
      <c r="AF353" s="15" t="n"/>
    </row>
    <row r="354">
      <c r="B354" s="9" t="n"/>
      <c r="AF354" s="15" t="n"/>
    </row>
    <row r="355">
      <c r="B355" s="9" t="n"/>
      <c r="AF355" s="15" t="n"/>
    </row>
    <row r="356">
      <c r="B356" s="9" t="n"/>
      <c r="AF356" s="15" t="n"/>
    </row>
    <row r="357">
      <c r="B357" s="9" t="n"/>
      <c r="AF357" s="15" t="n"/>
    </row>
    <row r="358">
      <c r="B358" s="9" t="n"/>
      <c r="AF358" s="15" t="n"/>
    </row>
    <row r="359">
      <c r="B359" s="9" t="n"/>
      <c r="AF359" s="15" t="n"/>
    </row>
    <row r="360">
      <c r="B360" s="9" t="n"/>
      <c r="AF360" s="15" t="n"/>
    </row>
    <row r="361">
      <c r="B361" s="47" t="n"/>
      <c r="C361" s="48" t="n"/>
      <c r="D361" s="48" t="n"/>
      <c r="E361" s="48" t="n"/>
      <c r="F361" s="48" t="n"/>
      <c r="G361" s="48" t="n"/>
      <c r="H361" s="48" t="n"/>
      <c r="I361" s="48" t="n"/>
      <c r="J361" s="48" t="n"/>
      <c r="K361" s="48" t="n"/>
      <c r="L361" s="48" t="n"/>
      <c r="M361" s="48" t="n"/>
      <c r="N361" s="48" t="n"/>
      <c r="O361" s="48" t="n"/>
      <c r="P361" s="48" t="n"/>
      <c r="Q361" s="48" t="n"/>
      <c r="R361" s="48" t="n"/>
      <c r="S361" s="48" t="n"/>
      <c r="T361" s="48" t="n"/>
      <c r="U361" s="48" t="n"/>
      <c r="V361" s="48" t="n"/>
      <c r="W361" s="48" t="n"/>
      <c r="X361" s="49" t="inlineStr">
        <is>
          <t>Sheet :</t>
        </is>
      </c>
      <c r="Y361" s="48" t="n"/>
      <c r="Z361" s="48" t="n"/>
      <c r="AA361" s="48" t="n"/>
      <c r="AB361" s="49" t="n">
        <v>5</v>
      </c>
      <c r="AC361" s="48" t="n"/>
      <c r="AD361" s="48" t="n"/>
      <c r="AE361" s="48" t="n"/>
      <c r="AF361" s="50" t="n"/>
    </row>
  </sheetData>
  <mergeCells count="1843">
    <mergeCell ref="Z43:AB43"/>
    <mergeCell ref="N189:P189"/>
    <mergeCell ref="V244:W244"/>
    <mergeCell ref="Q164:R164"/>
    <mergeCell ref="C191:D191"/>
    <mergeCell ref="AA161:AB161"/>
    <mergeCell ref="H238:J238"/>
    <mergeCell ref="AB293:AE293"/>
    <mergeCell ref="C184:D184"/>
    <mergeCell ref="Z68:AB68"/>
    <mergeCell ref="N190:P190"/>
    <mergeCell ref="Z67:AB67"/>
    <mergeCell ref="E250:G250"/>
    <mergeCell ref="C110:N110"/>
    <mergeCell ref="Q197:R197"/>
    <mergeCell ref="C121:AE121"/>
    <mergeCell ref="Q180:R180"/>
    <mergeCell ref="T51:U51"/>
    <mergeCell ref="AA187:AB187"/>
    <mergeCell ref="AB4:AE4"/>
    <mergeCell ref="Q188:R188"/>
    <mergeCell ref="AA91:AC91"/>
    <mergeCell ref="X21:Z21"/>
    <mergeCell ref="V255:W255"/>
    <mergeCell ref="AA189:AB189"/>
    <mergeCell ref="E278:G278"/>
    <mergeCell ref="N32:P32"/>
    <mergeCell ref="Q33:S33"/>
    <mergeCell ref="AA93:AC93"/>
    <mergeCell ref="C237:D237"/>
    <mergeCell ref="C28:D28"/>
    <mergeCell ref="K173:M173"/>
    <mergeCell ref="AA86:AC86"/>
    <mergeCell ref="T67:U67"/>
    <mergeCell ref="X16:Z16"/>
    <mergeCell ref="C239:D239"/>
    <mergeCell ref="H164:J164"/>
    <mergeCell ref="K165:M165"/>
    <mergeCell ref="C100:N100"/>
    <mergeCell ref="C30:D30"/>
    <mergeCell ref="H75:W75"/>
    <mergeCell ref="K44:M44"/>
    <mergeCell ref="T33:U33"/>
    <mergeCell ref="C94:N94"/>
    <mergeCell ref="Y167:Z167"/>
    <mergeCell ref="X119:AE119"/>
    <mergeCell ref="T35:U35"/>
    <mergeCell ref="Q59:S59"/>
    <mergeCell ref="T252:U252"/>
    <mergeCell ref="Y169:Z169"/>
    <mergeCell ref="Q61:S61"/>
    <mergeCell ref="V187:X187"/>
    <mergeCell ref="K191:M191"/>
    <mergeCell ref="V39:W39"/>
    <mergeCell ref="AA104:AC104"/>
    <mergeCell ref="X68:Y68"/>
    <mergeCell ref="O91:W91"/>
    <mergeCell ref="AA114:AC114"/>
    <mergeCell ref="N254:P254"/>
    <mergeCell ref="V189:X189"/>
    <mergeCell ref="K184:M184"/>
    <mergeCell ref="N45:P45"/>
    <mergeCell ref="AA106:AC106"/>
    <mergeCell ref="AA228:AC228"/>
    <mergeCell ref="H175:J175"/>
    <mergeCell ref="V188:X188"/>
    <mergeCell ref="N256:P256"/>
    <mergeCell ref="AC178:AE178"/>
    <mergeCell ref="AA105:AC105"/>
    <mergeCell ref="N47:P47"/>
    <mergeCell ref="S173:U173"/>
    <mergeCell ref="O86:W86"/>
    <mergeCell ref="AC170:AE170"/>
    <mergeCell ref="Y195:Z195"/>
    <mergeCell ref="AD112:AE112"/>
    <mergeCell ref="AC163:AE163"/>
    <mergeCell ref="H176:J176"/>
    <mergeCell ref="V65:W65"/>
    <mergeCell ref="T263:U263"/>
    <mergeCell ref="Y197:Z197"/>
    <mergeCell ref="AD114:AE114"/>
    <mergeCell ref="H178:J178"/>
    <mergeCell ref="T265:U265"/>
    <mergeCell ref="AC196:AE196"/>
    <mergeCell ref="X89:Z89"/>
    <mergeCell ref="O104:W104"/>
    <mergeCell ref="S171:U171"/>
    <mergeCell ref="K245:M245"/>
    <mergeCell ref="X245:Y245"/>
    <mergeCell ref="X88:Z88"/>
    <mergeCell ref="S163:U163"/>
    <mergeCell ref="E246:G246"/>
    <mergeCell ref="X90:Z90"/>
    <mergeCell ref="N269:P269"/>
    <mergeCell ref="E37:G37"/>
    <mergeCell ref="V49:W49"/>
    <mergeCell ref="Z65:AB65"/>
    <mergeCell ref="X292:AA292"/>
    <mergeCell ref="E248:G248"/>
    <mergeCell ref="AA183:AB183"/>
    <mergeCell ref="E247:G247"/>
    <mergeCell ref="AA185:AB185"/>
    <mergeCell ref="AC249:AE249"/>
    <mergeCell ref="AB2:AE2"/>
    <mergeCell ref="X19:Z19"/>
    <mergeCell ref="S191:U191"/>
    <mergeCell ref="H247:J247"/>
    <mergeCell ref="AC244:AE244"/>
    <mergeCell ref="K258:M258"/>
    <mergeCell ref="C26:D26"/>
    <mergeCell ref="C90:N90"/>
    <mergeCell ref="X20:Z20"/>
    <mergeCell ref="T65:U65"/>
    <mergeCell ref="X14:Z14"/>
    <mergeCell ref="AC252:AE252"/>
    <mergeCell ref="K260:M260"/>
    <mergeCell ref="C55:D55"/>
    <mergeCell ref="C119:N119"/>
    <mergeCell ref="AA196:AB196"/>
    <mergeCell ref="Q57:S57"/>
    <mergeCell ref="O299:W299"/>
    <mergeCell ref="C52:D52"/>
    <mergeCell ref="AA198:AB198"/>
    <mergeCell ref="AC262:AE262"/>
    <mergeCell ref="H275:J275"/>
    <mergeCell ref="N41:P41"/>
    <mergeCell ref="C37:D37"/>
    <mergeCell ref="N51:P51"/>
    <mergeCell ref="Q52:S52"/>
    <mergeCell ref="K188:M188"/>
    <mergeCell ref="K182:M182"/>
    <mergeCell ref="N43:P43"/>
    <mergeCell ref="AC263:AE263"/>
    <mergeCell ref="C109:N109"/>
    <mergeCell ref="Y193:Z193"/>
    <mergeCell ref="X101:AE101"/>
    <mergeCell ref="AD110:AE110"/>
    <mergeCell ref="H174:J174"/>
    <mergeCell ref="N67:P67"/>
    <mergeCell ref="C63:D63"/>
    <mergeCell ref="AB74:AE74"/>
    <mergeCell ref="AC192:AE192"/>
    <mergeCell ref="AB76:AE76"/>
    <mergeCell ref="O100:W100"/>
    <mergeCell ref="H146:W146"/>
    <mergeCell ref="S197:U197"/>
    <mergeCell ref="X86:Z86"/>
    <mergeCell ref="AC187:AE187"/>
    <mergeCell ref="Y179:Z179"/>
    <mergeCell ref="H44:J44"/>
    <mergeCell ref="AC189:AE189"/>
    <mergeCell ref="E35:G35"/>
    <mergeCell ref="V47:W47"/>
    <mergeCell ref="O97:W97"/>
    <mergeCell ref="E28:G28"/>
    <mergeCell ref="E30:G30"/>
    <mergeCell ref="V48:W48"/>
    <mergeCell ref="X112:Z112"/>
    <mergeCell ref="E59:G59"/>
    <mergeCell ref="AC29:AE29"/>
    <mergeCell ref="X104:Z104"/>
    <mergeCell ref="K254:M254"/>
    <mergeCell ref="E61:G61"/>
    <mergeCell ref="AC31:AE31"/>
    <mergeCell ref="X106:Z106"/>
    <mergeCell ref="O123:W123"/>
    <mergeCell ref="X264:Y264"/>
    <mergeCell ref="E54:G54"/>
    <mergeCell ref="X293:AA293"/>
    <mergeCell ref="E56:G56"/>
    <mergeCell ref="Q170:R170"/>
    <mergeCell ref="V66:W66"/>
    <mergeCell ref="T31:U31"/>
    <mergeCell ref="C165:D165"/>
    <mergeCell ref="Q172:R172"/>
    <mergeCell ref="H271:J271"/>
    <mergeCell ref="V61:W61"/>
    <mergeCell ref="C166:D166"/>
    <mergeCell ref="X4:AA4"/>
    <mergeCell ref="C160:D160"/>
    <mergeCell ref="AC259:AE259"/>
    <mergeCell ref="H266:J266"/>
    <mergeCell ref="K267:M267"/>
    <mergeCell ref="C118:N118"/>
    <mergeCell ref="AC261:AE261"/>
    <mergeCell ref="H268:J268"/>
    <mergeCell ref="K269:M269"/>
    <mergeCell ref="C221:G221"/>
    <mergeCell ref="C59:D59"/>
    <mergeCell ref="N65:P65"/>
    <mergeCell ref="V237:W237"/>
    <mergeCell ref="C61:D61"/>
    <mergeCell ref="Z276:AB276"/>
    <mergeCell ref="K51:M51"/>
    <mergeCell ref="K26:M26"/>
    <mergeCell ref="Z271:AB271"/>
    <mergeCell ref="AC272:AE272"/>
    <mergeCell ref="AD92:AE92"/>
    <mergeCell ref="Z273:AB273"/>
    <mergeCell ref="Y177:Z177"/>
    <mergeCell ref="V167:X167"/>
    <mergeCell ref="AD94:AE94"/>
    <mergeCell ref="E157:G157"/>
    <mergeCell ref="Q252:S252"/>
    <mergeCell ref="V169:X169"/>
    <mergeCell ref="K42:M42"/>
    <mergeCell ref="Y172:Z172"/>
    <mergeCell ref="V162:X162"/>
    <mergeCell ref="Q237:S237"/>
    <mergeCell ref="AD89:AE89"/>
    <mergeCell ref="X227:Z227"/>
    <mergeCell ref="C238:D238"/>
    <mergeCell ref="C148:G148"/>
    <mergeCell ref="AC27:AE27"/>
    <mergeCell ref="V164:X164"/>
    <mergeCell ref="X226:Z226"/>
    <mergeCell ref="K37:M37"/>
    <mergeCell ref="E50:G50"/>
    <mergeCell ref="C304:N304"/>
    <mergeCell ref="H184:J184"/>
    <mergeCell ref="X250:Y250"/>
    <mergeCell ref="X228:Z228"/>
    <mergeCell ref="E175:G175"/>
    <mergeCell ref="E52:G52"/>
    <mergeCell ref="Q263:S263"/>
    <mergeCell ref="X276:Y276"/>
    <mergeCell ref="V180:X180"/>
    <mergeCell ref="X251:Y251"/>
    <mergeCell ref="AC53:AE53"/>
    <mergeCell ref="E170:G170"/>
    <mergeCell ref="Q265:S265"/>
    <mergeCell ref="X278:Y278"/>
    <mergeCell ref="X253:Y253"/>
    <mergeCell ref="AC55:AE55"/>
    <mergeCell ref="AA280:AC280"/>
    <mergeCell ref="AC38:AE38"/>
    <mergeCell ref="C290:G290"/>
    <mergeCell ref="C162:D162"/>
    <mergeCell ref="C201:N201"/>
    <mergeCell ref="X123:Z123"/>
    <mergeCell ref="H237:J237"/>
    <mergeCell ref="AC46:AE46"/>
    <mergeCell ref="AC40:AE40"/>
    <mergeCell ref="C164:D164"/>
    <mergeCell ref="X2:AA2"/>
    <mergeCell ref="C203:N203"/>
    <mergeCell ref="C228:N228"/>
    <mergeCell ref="H239:J239"/>
    <mergeCell ref="AC41:AE41"/>
    <mergeCell ref="X297:Z297"/>
    <mergeCell ref="AC66:AE66"/>
    <mergeCell ref="C190:D190"/>
    <mergeCell ref="Z241:AB241"/>
    <mergeCell ref="E254:G254"/>
    <mergeCell ref="H255:J255"/>
    <mergeCell ref="X299:Z299"/>
    <mergeCell ref="O281:W281"/>
    <mergeCell ref="AC68:AE68"/>
    <mergeCell ref="Z243:AB243"/>
    <mergeCell ref="C175:D175"/>
    <mergeCell ref="N181:P181"/>
    <mergeCell ref="C185:D185"/>
    <mergeCell ref="H250:J250"/>
    <mergeCell ref="Z58:AB58"/>
    <mergeCell ref="C235:AE235"/>
    <mergeCell ref="E241:G241"/>
    <mergeCell ref="V259:W259"/>
    <mergeCell ref="AA176:AB176"/>
    <mergeCell ref="Z244:AB244"/>
    <mergeCell ref="O305:W305"/>
    <mergeCell ref="H277:J277"/>
    <mergeCell ref="T68:U68"/>
    <mergeCell ref="V261:W261"/>
    <mergeCell ref="AA178:AB178"/>
    <mergeCell ref="N178:P178"/>
    <mergeCell ref="AA21:AC21"/>
    <mergeCell ref="AA171:AB171"/>
    <mergeCell ref="N49:P49"/>
    <mergeCell ref="Q32:S32"/>
    <mergeCell ref="K162:M162"/>
    <mergeCell ref="N163:P163"/>
    <mergeCell ref="V256:W256"/>
    <mergeCell ref="E267:G267"/>
    <mergeCell ref="N173:P173"/>
    <mergeCell ref="K33:M33"/>
    <mergeCell ref="K164:M164"/>
    <mergeCell ref="X74:AA74"/>
    <mergeCell ref="E269:G269"/>
    <mergeCell ref="H180:J180"/>
    <mergeCell ref="K35:M35"/>
    <mergeCell ref="E171:G171"/>
    <mergeCell ref="Z255:AB255"/>
    <mergeCell ref="X76:AA76"/>
    <mergeCell ref="C302:N302"/>
    <mergeCell ref="V272:W272"/>
    <mergeCell ref="E173:G173"/>
    <mergeCell ref="AD111:AE111"/>
    <mergeCell ref="Q50:S50"/>
    <mergeCell ref="K180:M180"/>
    <mergeCell ref="V274:W274"/>
    <mergeCell ref="V186:X186"/>
    <mergeCell ref="E166:G166"/>
    <mergeCell ref="K59:M59"/>
    <mergeCell ref="K190:M190"/>
    <mergeCell ref="N191:P191"/>
    <mergeCell ref="X249:Y249"/>
    <mergeCell ref="X243:Y243"/>
    <mergeCell ref="C256:D256"/>
    <mergeCell ref="E168:G168"/>
    <mergeCell ref="K61:M61"/>
    <mergeCell ref="N245:P245"/>
    <mergeCell ref="AC167:AE167"/>
    <mergeCell ref="C247:D247"/>
    <mergeCell ref="E199:G199"/>
    <mergeCell ref="X244:Y244"/>
    <mergeCell ref="C257:D257"/>
    <mergeCell ref="AC169:AE169"/>
    <mergeCell ref="V27:W27"/>
    <mergeCell ref="AA92:AC92"/>
    <mergeCell ref="E192:G192"/>
    <mergeCell ref="H26:J26"/>
    <mergeCell ref="C272:D272"/>
    <mergeCell ref="H53:J53"/>
    <mergeCell ref="E194:G194"/>
    <mergeCell ref="H55:J55"/>
    <mergeCell ref="Q272:S272"/>
    <mergeCell ref="T264:U264"/>
    <mergeCell ref="AA87:AC87"/>
    <mergeCell ref="C267:D267"/>
    <mergeCell ref="AA304:AC304"/>
    <mergeCell ref="V199:X199"/>
    <mergeCell ref="N273:P273"/>
    <mergeCell ref="Q274:S274"/>
    <mergeCell ref="X262:Y262"/>
    <mergeCell ref="C275:D275"/>
    <mergeCell ref="C269:D269"/>
    <mergeCell ref="AC64:AE64"/>
    <mergeCell ref="E252:G252"/>
    <mergeCell ref="H246:J246"/>
    <mergeCell ref="Z29:AB29"/>
    <mergeCell ref="H37:J37"/>
    <mergeCell ref="C270:D270"/>
    <mergeCell ref="AC65:AE65"/>
    <mergeCell ref="V40:W40"/>
    <mergeCell ref="H248:J248"/>
    <mergeCell ref="V257:W257"/>
    <mergeCell ref="AA174:AB174"/>
    <mergeCell ref="O303:W303"/>
    <mergeCell ref="E238:G238"/>
    <mergeCell ref="V41:W41"/>
    <mergeCell ref="AA19:AC19"/>
    <mergeCell ref="AB291:AE291"/>
    <mergeCell ref="V252:W252"/>
    <mergeCell ref="C199:D199"/>
    <mergeCell ref="O304:W304"/>
    <mergeCell ref="AA169:AB169"/>
    <mergeCell ref="C224:AE224"/>
    <mergeCell ref="Z258:AB258"/>
    <mergeCell ref="E265:G265"/>
    <mergeCell ref="AD201:AE201"/>
    <mergeCell ref="Z251:AB251"/>
    <mergeCell ref="O16:W16"/>
    <mergeCell ref="Z253:AB253"/>
    <mergeCell ref="E266:G266"/>
    <mergeCell ref="E260:G260"/>
    <mergeCell ref="X34:Y34"/>
    <mergeCell ref="AA195:AB195"/>
    <mergeCell ref="V270:W270"/>
    <mergeCell ref="X28:Y28"/>
    <mergeCell ref="C41:D41"/>
    <mergeCell ref="Q165:R165"/>
    <mergeCell ref="AA197:AB197"/>
    <mergeCell ref="K275:M275"/>
    <mergeCell ref="X30:Y30"/>
    <mergeCell ref="C43:D43"/>
    <mergeCell ref="K57:M57"/>
    <mergeCell ref="Q41:S41"/>
    <mergeCell ref="X29:Y29"/>
    <mergeCell ref="C36:D36"/>
    <mergeCell ref="Q43:S43"/>
    <mergeCell ref="X54:Y54"/>
    <mergeCell ref="C67:D67"/>
    <mergeCell ref="E188:G188"/>
    <mergeCell ref="K60:M60"/>
    <mergeCell ref="X56:Y56"/>
    <mergeCell ref="E190:G190"/>
    <mergeCell ref="H51:J51"/>
    <mergeCell ref="Q67:S67"/>
    <mergeCell ref="K174:M174"/>
    <mergeCell ref="N58:P58"/>
    <mergeCell ref="H163:J163"/>
    <mergeCell ref="V170:X170"/>
    <mergeCell ref="N244:P244"/>
    <mergeCell ref="K199:M199"/>
    <mergeCell ref="X57:Y57"/>
    <mergeCell ref="C12:N12"/>
    <mergeCell ref="V197:X197"/>
    <mergeCell ref="V172:X172"/>
    <mergeCell ref="AC193:AE193"/>
    <mergeCell ref="AA89:AC89"/>
    <mergeCell ref="AC176:AE176"/>
    <mergeCell ref="T251:U251"/>
    <mergeCell ref="H147:W147"/>
    <mergeCell ref="E32:G32"/>
    <mergeCell ref="H33:J33"/>
    <mergeCell ref="AA122:AC122"/>
    <mergeCell ref="AD304:AE304"/>
    <mergeCell ref="Y170:Z170"/>
    <mergeCell ref="H35:J35"/>
    <mergeCell ref="C268:D268"/>
    <mergeCell ref="Q245:S245"/>
    <mergeCell ref="Y163:Z163"/>
    <mergeCell ref="O117:W117"/>
    <mergeCell ref="N255:P255"/>
    <mergeCell ref="AD297:AE297"/>
    <mergeCell ref="H59:J59"/>
    <mergeCell ref="O112:W112"/>
    <mergeCell ref="Z47:AB47"/>
    <mergeCell ref="H61:J61"/>
    <mergeCell ref="H77:W77"/>
    <mergeCell ref="V64:W64"/>
    <mergeCell ref="O114:W114"/>
    <mergeCell ref="Z38:AB38"/>
    <mergeCell ref="E45:G45"/>
    <mergeCell ref="AD19:AE19"/>
    <mergeCell ref="O109:W109"/>
    <mergeCell ref="Q159:R159"/>
    <mergeCell ref="X305:Z305"/>
    <mergeCell ref="Z63:AB63"/>
    <mergeCell ref="Q167:R167"/>
    <mergeCell ref="Q161:R161"/>
    <mergeCell ref="AA158:AB158"/>
    <mergeCell ref="E264:G264"/>
    <mergeCell ref="AA193:AB193"/>
    <mergeCell ref="Q192:R192"/>
    <mergeCell ref="C32:D32"/>
    <mergeCell ref="C107:N107"/>
    <mergeCell ref="T46:U46"/>
    <mergeCell ref="H219:W219"/>
    <mergeCell ref="Z66:AB66"/>
    <mergeCell ref="Q187:R187"/>
    <mergeCell ref="T48:U48"/>
    <mergeCell ref="AA184:AB184"/>
    <mergeCell ref="Q195:R195"/>
    <mergeCell ref="Q189:R189"/>
    <mergeCell ref="E275:G275"/>
    <mergeCell ref="N29:P29"/>
    <mergeCell ref="H159:J159"/>
    <mergeCell ref="Q65:S65"/>
    <mergeCell ref="X53:Y53"/>
    <mergeCell ref="N31:P31"/>
    <mergeCell ref="X47:Y47"/>
    <mergeCell ref="C236:D236"/>
    <mergeCell ref="AC276:AE276"/>
    <mergeCell ref="C85:AE85"/>
    <mergeCell ref="Z236:AB236"/>
    <mergeCell ref="X55:Y55"/>
    <mergeCell ref="K172:M172"/>
    <mergeCell ref="AC278:AE278"/>
    <mergeCell ref="T247:U247"/>
    <mergeCell ref="N26:P26"/>
    <mergeCell ref="X217:AA217"/>
    <mergeCell ref="H162:J162"/>
    <mergeCell ref="T249:U249"/>
    <mergeCell ref="C92:N92"/>
    <mergeCell ref="AD91:AE91"/>
    <mergeCell ref="Y166:Z166"/>
    <mergeCell ref="AC273:AE273"/>
    <mergeCell ref="V184:X184"/>
    <mergeCell ref="AD302:AE302"/>
    <mergeCell ref="N171:P171"/>
    <mergeCell ref="AD93:AE93"/>
    <mergeCell ref="H157:J157"/>
    <mergeCell ref="N251:P251"/>
    <mergeCell ref="S185:U185"/>
    <mergeCell ref="T244:U244"/>
    <mergeCell ref="N42:P42"/>
    <mergeCell ref="Y161:Z161"/>
    <mergeCell ref="AA225:AC225"/>
    <mergeCell ref="N253:P253"/>
    <mergeCell ref="X66:Y66"/>
    <mergeCell ref="C21:N21"/>
    <mergeCell ref="N44:P44"/>
    <mergeCell ref="AA227:AC227"/>
    <mergeCell ref="Y192:Z192"/>
    <mergeCell ref="AD109:AE109"/>
    <mergeCell ref="AC177:AE177"/>
    <mergeCell ref="S172:U172"/>
    <mergeCell ref="Y187:Z187"/>
    <mergeCell ref="T262:U262"/>
    <mergeCell ref="AD104:AE104"/>
    <mergeCell ref="AB75:AE75"/>
    <mergeCell ref="Y189:Z189"/>
    <mergeCell ref="X242:Y242"/>
    <mergeCell ref="S198:U198"/>
    <mergeCell ref="S170:U170"/>
    <mergeCell ref="K244:M244"/>
    <mergeCell ref="K271:M271"/>
    <mergeCell ref="X87:Z87"/>
    <mergeCell ref="Z62:AB62"/>
    <mergeCell ref="K237:M237"/>
    <mergeCell ref="Z56:AB56"/>
    <mergeCell ref="S199:U199"/>
    <mergeCell ref="AC39:AE39"/>
    <mergeCell ref="K273:M273"/>
    <mergeCell ref="Z64:AB64"/>
    <mergeCell ref="K239:M239"/>
    <mergeCell ref="Q185:R185"/>
    <mergeCell ref="AA182:AB182"/>
    <mergeCell ref="AD305:AE305"/>
    <mergeCell ref="Q193:R193"/>
    <mergeCell ref="AA175:AB175"/>
    <mergeCell ref="AA297:AC297"/>
    <mergeCell ref="Q186:R186"/>
    <mergeCell ref="AA177:AB177"/>
    <mergeCell ref="AC241:AE241"/>
    <mergeCell ref="H254:J254"/>
    <mergeCell ref="K255:M255"/>
    <mergeCell ref="C181:D181"/>
    <mergeCell ref="AC243:AE243"/>
    <mergeCell ref="H256:J256"/>
    <mergeCell ref="C89:N89"/>
    <mergeCell ref="C174:D174"/>
    <mergeCell ref="C116:N116"/>
    <mergeCell ref="AC242:AE242"/>
    <mergeCell ref="C88:N88"/>
    <mergeCell ref="E240:G240"/>
    <mergeCell ref="T57:U57"/>
    <mergeCell ref="T29:U29"/>
    <mergeCell ref="C117:N117"/>
    <mergeCell ref="N167:P167"/>
    <mergeCell ref="Q198:R198"/>
    <mergeCell ref="T58:U58"/>
    <mergeCell ref="C115:N115"/>
    <mergeCell ref="T54:U54"/>
    <mergeCell ref="Q49:S49"/>
    <mergeCell ref="O297:W297"/>
    <mergeCell ref="K39:M39"/>
    <mergeCell ref="N40:P40"/>
    <mergeCell ref="C44:D44"/>
    <mergeCell ref="N162:P162"/>
    <mergeCell ref="V276:W276"/>
    <mergeCell ref="N35:P35"/>
    <mergeCell ref="H171:J171"/>
    <mergeCell ref="H165:J165"/>
    <mergeCell ref="Y183:Z183"/>
    <mergeCell ref="AD100:AE100"/>
    <mergeCell ref="H181:J181"/>
    <mergeCell ref="N66:P66"/>
    <mergeCell ref="Y185:Z185"/>
    <mergeCell ref="C245:D245"/>
    <mergeCell ref="V55:W55"/>
    <mergeCell ref="N68:P68"/>
    <mergeCell ref="K50:M50"/>
    <mergeCell ref="C155:AE155"/>
    <mergeCell ref="K181:M181"/>
    <mergeCell ref="X240:Y240"/>
    <mergeCell ref="S160:U160"/>
    <mergeCell ref="N61:P61"/>
    <mergeCell ref="AC184:AE184"/>
    <mergeCell ref="K58:M58"/>
    <mergeCell ref="K52:M52"/>
    <mergeCell ref="C151:AE151"/>
    <mergeCell ref="S195:U195"/>
    <mergeCell ref="H199:J199"/>
    <mergeCell ref="Q276:S276"/>
    <mergeCell ref="O94:W94"/>
    <mergeCell ref="C146:G146"/>
    <mergeCell ref="K53:M53"/>
    <mergeCell ref="X114:Z114"/>
    <mergeCell ref="X49:Y49"/>
    <mergeCell ref="E183:G183"/>
    <mergeCell ref="Q278:S278"/>
    <mergeCell ref="X260:Y260"/>
    <mergeCell ref="C273:D273"/>
    <mergeCell ref="V45:W45"/>
    <mergeCell ref="Q271:S271"/>
    <mergeCell ref="Y198:Z198"/>
    <mergeCell ref="X259:Y259"/>
    <mergeCell ref="X111:Z111"/>
    <mergeCell ref="C149:G149"/>
    <mergeCell ref="Q273:S273"/>
    <mergeCell ref="AC28:AE28"/>
    <mergeCell ref="H41:J41"/>
    <mergeCell ref="X261:Y261"/>
    <mergeCell ref="S179:U179"/>
    <mergeCell ref="AC239:AE239"/>
    <mergeCell ref="H252:J252"/>
    <mergeCell ref="C81:AE81"/>
    <mergeCell ref="AC30:AE30"/>
    <mergeCell ref="AC238:AE238"/>
    <mergeCell ref="AC240:AE240"/>
    <mergeCell ref="O302:W302"/>
    <mergeCell ref="C163:D163"/>
    <mergeCell ref="AB290:AE290"/>
    <mergeCell ref="AC250:AE250"/>
    <mergeCell ref="H263:J263"/>
    <mergeCell ref="C223:AE223"/>
    <mergeCell ref="X274:Y274"/>
    <mergeCell ref="C229:N229"/>
    <mergeCell ref="V241:W241"/>
    <mergeCell ref="Z257:AB257"/>
    <mergeCell ref="H265:J265"/>
    <mergeCell ref="T56:U56"/>
    <mergeCell ref="C158:D158"/>
    <mergeCell ref="N164:P164"/>
    <mergeCell ref="Z242:AB242"/>
    <mergeCell ref="C220:G220"/>
    <mergeCell ref="AD202:AE202"/>
    <mergeCell ref="Z252:AB252"/>
    <mergeCell ref="N57:P57"/>
    <mergeCell ref="Z269:AB269"/>
    <mergeCell ref="C234:AE234"/>
    <mergeCell ref="Z270:AB270"/>
    <mergeCell ref="E277:G277"/>
    <mergeCell ref="X45:Y45"/>
    <mergeCell ref="T66:U66"/>
    <mergeCell ref="Q243:S243"/>
    <mergeCell ref="Q242:S242"/>
    <mergeCell ref="E181:G181"/>
    <mergeCell ref="V159:X159"/>
    <mergeCell ref="X46:Y46"/>
    <mergeCell ref="K163:M163"/>
    <mergeCell ref="C53:D53"/>
    <mergeCell ref="Q244:S244"/>
    <mergeCell ref="X257:Y257"/>
    <mergeCell ref="V161:X161"/>
    <mergeCell ref="X48:Y48"/>
    <mergeCell ref="H293:W293"/>
    <mergeCell ref="X75:AA75"/>
    <mergeCell ref="C301:N301"/>
    <mergeCell ref="K67:M67"/>
    <mergeCell ref="O118:W118"/>
    <mergeCell ref="X225:Z225"/>
    <mergeCell ref="C303:N303"/>
    <mergeCell ref="H32:J32"/>
    <mergeCell ref="T242:U242"/>
    <mergeCell ref="N259:P259"/>
    <mergeCell ref="C255:D255"/>
    <mergeCell ref="N261:P261"/>
    <mergeCell ref="Q262:S262"/>
    <mergeCell ref="S178:U178"/>
    <mergeCell ref="V179:X179"/>
    <mergeCell ref="H4:W4"/>
    <mergeCell ref="AC52:AE52"/>
    <mergeCell ref="Q255:S255"/>
    <mergeCell ref="AB217:AE217"/>
    <mergeCell ref="AC45:AE45"/>
    <mergeCell ref="AC37:AE37"/>
    <mergeCell ref="H50:J50"/>
    <mergeCell ref="C161:D161"/>
    <mergeCell ref="X270:Y270"/>
    <mergeCell ref="C225:N225"/>
    <mergeCell ref="AC47:AE47"/>
    <mergeCell ref="H236:J236"/>
    <mergeCell ref="E51:G51"/>
    <mergeCell ref="C227:N227"/>
    <mergeCell ref="V239:W239"/>
    <mergeCell ref="C226:N226"/>
    <mergeCell ref="N272:P272"/>
    <mergeCell ref="Z39:AB39"/>
    <mergeCell ref="T47:U47"/>
    <mergeCell ref="V240:W240"/>
    <mergeCell ref="AC63:AE63"/>
    <mergeCell ref="AA305:AC305"/>
    <mergeCell ref="AA157:AB157"/>
    <mergeCell ref="N274:P274"/>
    <mergeCell ref="C180:D180"/>
    <mergeCell ref="C182:D182"/>
    <mergeCell ref="V250:W250"/>
    <mergeCell ref="Z266:AB266"/>
    <mergeCell ref="Q28:S28"/>
    <mergeCell ref="Q178:R178"/>
    <mergeCell ref="Z268:AB268"/>
    <mergeCell ref="C233:AE233"/>
    <mergeCell ref="V251:W251"/>
    <mergeCell ref="Q29:S29"/>
    <mergeCell ref="K159:M159"/>
    <mergeCell ref="V278:W278"/>
    <mergeCell ref="V253:W253"/>
    <mergeCell ref="Q240:S240"/>
    <mergeCell ref="N170:P170"/>
    <mergeCell ref="Q31:S31"/>
    <mergeCell ref="V157:X157"/>
    <mergeCell ref="K161:M161"/>
    <mergeCell ref="N172:P172"/>
    <mergeCell ref="N199:P199"/>
    <mergeCell ref="E172:G172"/>
    <mergeCell ref="AD108:AE108"/>
    <mergeCell ref="C251:D251"/>
    <mergeCell ref="V183:X183"/>
    <mergeCell ref="N257:P257"/>
    <mergeCell ref="K187:M187"/>
    <mergeCell ref="AA100:AC100"/>
    <mergeCell ref="S174:U174"/>
    <mergeCell ref="X246:Y246"/>
    <mergeCell ref="C253:D253"/>
    <mergeCell ref="V185:X185"/>
    <mergeCell ref="C108:N108"/>
    <mergeCell ref="E165:G165"/>
    <mergeCell ref="Q42:S42"/>
    <mergeCell ref="K189:M189"/>
    <mergeCell ref="N252:P252"/>
    <mergeCell ref="Q253:S253"/>
    <mergeCell ref="C20:N20"/>
    <mergeCell ref="X241:Y241"/>
    <mergeCell ref="C254:D254"/>
    <mergeCell ref="AC166:AE166"/>
    <mergeCell ref="C248:D248"/>
    <mergeCell ref="AC160:AE160"/>
    <mergeCell ref="AC43:AE43"/>
    <mergeCell ref="H173:J173"/>
    <mergeCell ref="T260:U260"/>
    <mergeCell ref="H3:W3"/>
    <mergeCell ref="C22:N22"/>
    <mergeCell ref="AC168:AE168"/>
    <mergeCell ref="T259:U259"/>
    <mergeCell ref="Y176:Z176"/>
    <mergeCell ref="E191:G191"/>
    <mergeCell ref="H5:W5"/>
    <mergeCell ref="AC161:AE161"/>
    <mergeCell ref="X148:AA148"/>
    <mergeCell ref="T261:U261"/>
    <mergeCell ref="S158:U158"/>
    <mergeCell ref="N59:P59"/>
    <mergeCell ref="V196:X196"/>
    <mergeCell ref="N270:P270"/>
    <mergeCell ref="AD281:AE281"/>
    <mergeCell ref="S159:U159"/>
    <mergeCell ref="V198:X198"/>
    <mergeCell ref="H67:J67"/>
    <mergeCell ref="N271:P271"/>
    <mergeCell ref="S161:U161"/>
    <mergeCell ref="E33:G33"/>
    <mergeCell ref="S188:U188"/>
    <mergeCell ref="AC62:AE62"/>
    <mergeCell ref="V37:W37"/>
    <mergeCell ref="E244:G244"/>
    <mergeCell ref="T272:U272"/>
    <mergeCell ref="X290:AA290"/>
    <mergeCell ref="V247:W247"/>
    <mergeCell ref="AA181:AB181"/>
    <mergeCell ref="V38:W38"/>
    <mergeCell ref="E245:G245"/>
    <mergeCell ref="T274:U274"/>
    <mergeCell ref="X15:Z15"/>
    <mergeCell ref="V249:W249"/>
    <mergeCell ref="AA166:AB166"/>
    <mergeCell ref="Q27:S27"/>
    <mergeCell ref="V63:W63"/>
    <mergeCell ref="AA168:AB168"/>
    <mergeCell ref="N168:P168"/>
    <mergeCell ref="C122:N122"/>
    <mergeCell ref="N195:P195"/>
    <mergeCell ref="H245:J245"/>
    <mergeCell ref="E255:G255"/>
    <mergeCell ref="C51:D51"/>
    <mergeCell ref="N197:P197"/>
    <mergeCell ref="Z250:AB250"/>
    <mergeCell ref="E263:G263"/>
    <mergeCell ref="AA192:AB192"/>
    <mergeCell ref="C38:D38"/>
    <mergeCell ref="AA194:AB194"/>
    <mergeCell ref="AC258:AE258"/>
    <mergeCell ref="K272:M272"/>
    <mergeCell ref="Q55:S55"/>
    <mergeCell ref="Q38:S38"/>
    <mergeCell ref="K185:M185"/>
    <mergeCell ref="V262:W262"/>
    <mergeCell ref="C33:D33"/>
    <mergeCell ref="AC260:AE260"/>
    <mergeCell ref="K178:M178"/>
    <mergeCell ref="T45:U45"/>
    <mergeCell ref="N179:P179"/>
    <mergeCell ref="N39:P39"/>
    <mergeCell ref="Q40:S40"/>
    <mergeCell ref="C105:N105"/>
    <mergeCell ref="C35:D35"/>
    <mergeCell ref="K186:M186"/>
    <mergeCell ref="AC164:AE164"/>
    <mergeCell ref="E187:G187"/>
    <mergeCell ref="H48:J48"/>
    <mergeCell ref="AC157:AE157"/>
    <mergeCell ref="T257:U257"/>
    <mergeCell ref="Y174:Z174"/>
    <mergeCell ref="E189:G189"/>
    <mergeCell ref="Q66:S66"/>
    <mergeCell ref="K196:M196"/>
    <mergeCell ref="C295:AE295"/>
    <mergeCell ref="O96:W96"/>
    <mergeCell ref="H43:J43"/>
    <mergeCell ref="Q68:S68"/>
    <mergeCell ref="AC190:AE190"/>
    <mergeCell ref="AA117:AC117"/>
    <mergeCell ref="N50:P50"/>
    <mergeCell ref="K198:M198"/>
    <mergeCell ref="N243:P243"/>
    <mergeCell ref="O98:W98"/>
    <mergeCell ref="AC183:AE183"/>
    <mergeCell ref="N236:P236"/>
    <mergeCell ref="E29:G29"/>
    <mergeCell ref="H68:J68"/>
    <mergeCell ref="C263:D263"/>
    <mergeCell ref="AC175:AE175"/>
    <mergeCell ref="H188:J188"/>
    <mergeCell ref="AD117:AE117"/>
    <mergeCell ref="AC185:AE185"/>
    <mergeCell ref="AA112:AC112"/>
    <mergeCell ref="E31:G31"/>
    <mergeCell ref="S186:U186"/>
    <mergeCell ref="O93:W93"/>
    <mergeCell ref="AD303:AE303"/>
    <mergeCell ref="Q236:S236"/>
    <mergeCell ref="V34:W34"/>
    <mergeCell ref="C147:G147"/>
    <mergeCell ref="T270:U270"/>
    <mergeCell ref="V28:W28"/>
    <mergeCell ref="E26:G26"/>
    <mergeCell ref="X100:Z100"/>
    <mergeCell ref="V30:W30"/>
    <mergeCell ref="C91:N91"/>
    <mergeCell ref="C9:AE9"/>
    <mergeCell ref="H74:W74"/>
    <mergeCell ref="O111:W111"/>
    <mergeCell ref="X95:Z95"/>
    <mergeCell ref="C11:AE11"/>
    <mergeCell ref="C86:N86"/>
    <mergeCell ref="E42:G42"/>
    <mergeCell ref="AD16:AE16"/>
    <mergeCell ref="X281:Z281"/>
    <mergeCell ref="X97:Z97"/>
    <mergeCell ref="AC198:AE198"/>
    <mergeCell ref="E44:G44"/>
    <mergeCell ref="T27:U27"/>
    <mergeCell ref="V62:W62"/>
    <mergeCell ref="V56:W56"/>
    <mergeCell ref="O108:W108"/>
    <mergeCell ref="Q158:R158"/>
    <mergeCell ref="C77:G77"/>
    <mergeCell ref="AA190:AB190"/>
    <mergeCell ref="C69:AE69"/>
    <mergeCell ref="Q160:R160"/>
    <mergeCell ref="AA281:AC281"/>
    <mergeCell ref="S196:U196"/>
    <mergeCell ref="AC256:AE256"/>
    <mergeCell ref="K270:M270"/>
    <mergeCell ref="K263:M263"/>
    <mergeCell ref="Q184:R184"/>
    <mergeCell ref="C106:N106"/>
    <mergeCell ref="AC257:AE257"/>
    <mergeCell ref="H264:J264"/>
    <mergeCell ref="K265:M265"/>
    <mergeCell ref="C60:D60"/>
    <mergeCell ref="C219:G219"/>
    <mergeCell ref="C101:N101"/>
    <mergeCell ref="AB149:AE149"/>
    <mergeCell ref="X44:Y44"/>
    <mergeCell ref="C57:D57"/>
    <mergeCell ref="C82:AE82"/>
    <mergeCell ref="AC275:AE275"/>
    <mergeCell ref="AC269:AE269"/>
    <mergeCell ref="C58:D58"/>
    <mergeCell ref="C83:AE83"/>
    <mergeCell ref="AD88:AE88"/>
    <mergeCell ref="AC181:AE181"/>
    <mergeCell ref="K195:M195"/>
    <mergeCell ref="C300:N300"/>
    <mergeCell ref="AC270:AE270"/>
    <mergeCell ref="H65:J65"/>
    <mergeCell ref="AD90:AE90"/>
    <mergeCell ref="K38:M38"/>
    <mergeCell ref="Y158:Z158"/>
    <mergeCell ref="O203:W203"/>
    <mergeCell ref="Y168:Z168"/>
    <mergeCell ref="X63:Y63"/>
    <mergeCell ref="H179:J179"/>
    <mergeCell ref="S177:U177"/>
    <mergeCell ref="X91:Z91"/>
    <mergeCell ref="C7:AE7"/>
    <mergeCell ref="AD12:AE12"/>
    <mergeCell ref="Y184:Z184"/>
    <mergeCell ref="H49:J49"/>
    <mergeCell ref="K252:M252"/>
    <mergeCell ref="AC194:AE194"/>
    <mergeCell ref="AD20:AE20"/>
    <mergeCell ref="Q259:S259"/>
    <mergeCell ref="AD14:AE14"/>
    <mergeCell ref="V176:X176"/>
    <mergeCell ref="AB221:AE221"/>
    <mergeCell ref="AD13:AE13"/>
    <mergeCell ref="C246:D246"/>
    <mergeCell ref="Q261:S261"/>
    <mergeCell ref="V178:X178"/>
    <mergeCell ref="X117:Z117"/>
    <mergeCell ref="AD15:AE15"/>
    <mergeCell ref="E66:G66"/>
    <mergeCell ref="AC36:AE36"/>
    <mergeCell ref="K236:M236"/>
    <mergeCell ref="E68:G68"/>
    <mergeCell ref="Z54:AB54"/>
    <mergeCell ref="E67:G67"/>
    <mergeCell ref="C97:N97"/>
    <mergeCell ref="T36:U36"/>
    <mergeCell ref="Q183:R183"/>
    <mergeCell ref="H251:J251"/>
    <mergeCell ref="C172:D172"/>
    <mergeCell ref="H278:J278"/>
    <mergeCell ref="Z239:AB239"/>
    <mergeCell ref="H253:J253"/>
    <mergeCell ref="C171:D171"/>
    <mergeCell ref="AA202:AC202"/>
    <mergeCell ref="C79:AE79"/>
    <mergeCell ref="C123:N123"/>
    <mergeCell ref="AB148:AE148"/>
    <mergeCell ref="T62:U62"/>
    <mergeCell ref="C173:D173"/>
    <mergeCell ref="K160:M160"/>
    <mergeCell ref="E237:G237"/>
    <mergeCell ref="AC266:AE266"/>
    <mergeCell ref="H273:J273"/>
    <mergeCell ref="T64:U64"/>
    <mergeCell ref="E239:G239"/>
    <mergeCell ref="H220:W220"/>
    <mergeCell ref="AC268:AE268"/>
    <mergeCell ref="K34:M34"/>
    <mergeCell ref="N160:P160"/>
    <mergeCell ref="K36:M36"/>
    <mergeCell ref="N159:P159"/>
    <mergeCell ref="Q196:R196"/>
    <mergeCell ref="K29:M29"/>
    <mergeCell ref="H177:J177"/>
    <mergeCell ref="C113:N113"/>
    <mergeCell ref="N161:P161"/>
    <mergeCell ref="AD226:AE226"/>
    <mergeCell ref="K31:M31"/>
    <mergeCell ref="E167:G167"/>
    <mergeCell ref="V269:W269"/>
    <mergeCell ref="Y180:Z180"/>
    <mergeCell ref="O202:W202"/>
    <mergeCell ref="AC165:AE165"/>
    <mergeCell ref="AD228:AE228"/>
    <mergeCell ref="E169:G169"/>
    <mergeCell ref="Z278:AB278"/>
    <mergeCell ref="Y182:Z182"/>
    <mergeCell ref="Q46:S46"/>
    <mergeCell ref="AD99:AE99"/>
    <mergeCell ref="K176:M176"/>
    <mergeCell ref="X93:Z93"/>
    <mergeCell ref="E162:G162"/>
    <mergeCell ref="C242:D242"/>
    <mergeCell ref="Q257:S257"/>
    <mergeCell ref="N187:P187"/>
    <mergeCell ref="Q48:S48"/>
    <mergeCell ref="V174:X174"/>
    <mergeCell ref="X239:Y239"/>
    <mergeCell ref="C252:D252"/>
    <mergeCell ref="E164:G164"/>
    <mergeCell ref="C244:D244"/>
    <mergeCell ref="K49:M49"/>
    <mergeCell ref="K171:M171"/>
    <mergeCell ref="S192:U192"/>
    <mergeCell ref="X306:AE306"/>
    <mergeCell ref="E195:G195"/>
    <mergeCell ref="H196:J196"/>
    <mergeCell ref="E180:G180"/>
    <mergeCell ref="K261:M261"/>
    <mergeCell ref="H191:J191"/>
    <mergeCell ref="E182:G182"/>
    <mergeCell ref="E65:G65"/>
    <mergeCell ref="X108:Z108"/>
    <mergeCell ref="Q270:S270"/>
    <mergeCell ref="X258:Y258"/>
    <mergeCell ref="C271:D271"/>
    <mergeCell ref="C265:D265"/>
    <mergeCell ref="AC60:AE60"/>
    <mergeCell ref="H249:J249"/>
    <mergeCell ref="E179:G179"/>
    <mergeCell ref="T276:U276"/>
    <mergeCell ref="H242:J242"/>
    <mergeCell ref="C80:AE80"/>
    <mergeCell ref="T278:U278"/>
    <mergeCell ref="V36:W36"/>
    <mergeCell ref="H244:J244"/>
    <mergeCell ref="T60:U60"/>
    <mergeCell ref="AA13:AC13"/>
    <mergeCell ref="S176:U176"/>
    <mergeCell ref="AA15:AC15"/>
    <mergeCell ref="C195:D195"/>
    <mergeCell ref="X304:Z304"/>
    <mergeCell ref="Z37:AB37"/>
    <mergeCell ref="AB289:AE289"/>
    <mergeCell ref="Z254:AB254"/>
    <mergeCell ref="C197:D197"/>
    <mergeCell ref="Z248:AB248"/>
    <mergeCell ref="E261:G261"/>
    <mergeCell ref="H262:J262"/>
    <mergeCell ref="Z247:AB247"/>
    <mergeCell ref="Q166:R166"/>
    <mergeCell ref="N186:P186"/>
    <mergeCell ref="O12:W12"/>
    <mergeCell ref="Z249:AB249"/>
    <mergeCell ref="E256:G256"/>
    <mergeCell ref="V266:W266"/>
    <mergeCell ref="O14:W14"/>
    <mergeCell ref="N183:P183"/>
    <mergeCell ref="X201:Z201"/>
    <mergeCell ref="O13:W13"/>
    <mergeCell ref="V268:W268"/>
    <mergeCell ref="X26:Y26"/>
    <mergeCell ref="C39:D39"/>
    <mergeCell ref="N54:P54"/>
    <mergeCell ref="X203:Z203"/>
    <mergeCell ref="O15:W15"/>
    <mergeCell ref="AB219:AE219"/>
    <mergeCell ref="K55:M55"/>
    <mergeCell ref="N56:P56"/>
    <mergeCell ref="C281:N281"/>
    <mergeCell ref="Q39:S39"/>
    <mergeCell ref="K169:M169"/>
    <mergeCell ref="X27:Y27"/>
    <mergeCell ref="Z267:AB267"/>
    <mergeCell ref="C280:N280"/>
    <mergeCell ref="E274:G274"/>
    <mergeCell ref="K46:M46"/>
    <mergeCell ref="K40:M40"/>
    <mergeCell ref="Q179:R179"/>
    <mergeCell ref="AA88:AC88"/>
    <mergeCell ref="X52:Y52"/>
    <mergeCell ref="E186:G186"/>
    <mergeCell ref="H187:J187"/>
    <mergeCell ref="Z262:AB262"/>
    <mergeCell ref="X37:Y37"/>
    <mergeCell ref="C50:D50"/>
    <mergeCell ref="T246:U246"/>
    <mergeCell ref="Q241:S241"/>
    <mergeCell ref="AD118:AE118"/>
    <mergeCell ref="N196:P196"/>
    <mergeCell ref="S157:U157"/>
    <mergeCell ref="V158:X158"/>
    <mergeCell ref="V193:X193"/>
    <mergeCell ref="K66:M66"/>
    <mergeCell ref="AB361:AE361"/>
    <mergeCell ref="K197:M197"/>
    <mergeCell ref="N198:P198"/>
    <mergeCell ref="H30:J30"/>
    <mergeCell ref="V160:X160"/>
    <mergeCell ref="X256:Y256"/>
    <mergeCell ref="X38:Y38"/>
    <mergeCell ref="X99:Z99"/>
    <mergeCell ref="T241:U241"/>
    <mergeCell ref="H29:J29"/>
    <mergeCell ref="K68:M68"/>
    <mergeCell ref="AC174:AE174"/>
    <mergeCell ref="T243:U243"/>
    <mergeCell ref="H31:J31"/>
    <mergeCell ref="H58:J58"/>
    <mergeCell ref="Y160:Z160"/>
    <mergeCell ref="C264:D264"/>
    <mergeCell ref="C293:G293"/>
    <mergeCell ref="H60:J60"/>
    <mergeCell ref="AC42:AE42"/>
    <mergeCell ref="Z33:AB33"/>
    <mergeCell ref="E46:G46"/>
    <mergeCell ref="X267:Y267"/>
    <mergeCell ref="C274:D274"/>
    <mergeCell ref="AC44:AE44"/>
    <mergeCell ref="H57:J57"/>
    <mergeCell ref="Z35:AB35"/>
    <mergeCell ref="X269:Y269"/>
    <mergeCell ref="O110:W110"/>
    <mergeCell ref="Q162:R162"/>
    <mergeCell ref="Z34:AB34"/>
    <mergeCell ref="Z28:AB28"/>
    <mergeCell ref="E41:G41"/>
    <mergeCell ref="H42:J42"/>
    <mergeCell ref="Z245:AB245"/>
    <mergeCell ref="X149:AA149"/>
    <mergeCell ref="Z36:AB36"/>
    <mergeCell ref="Z30:AB30"/>
    <mergeCell ref="E43:G43"/>
    <mergeCell ref="Q157:R157"/>
    <mergeCell ref="V53:W53"/>
    <mergeCell ref="X303:Z303"/>
    <mergeCell ref="Z61:AB61"/>
    <mergeCell ref="V46:W46"/>
    <mergeCell ref="O92:W92"/>
    <mergeCell ref="C179:D179"/>
    <mergeCell ref="N185:P185"/>
    <mergeCell ref="E276:G276"/>
    <mergeCell ref="E270:G270"/>
    <mergeCell ref="Q175:R175"/>
    <mergeCell ref="X291:AA291"/>
    <mergeCell ref="E271:G271"/>
    <mergeCell ref="Q177:R177"/>
    <mergeCell ref="C46:D46"/>
    <mergeCell ref="Q176:R176"/>
    <mergeCell ref="Z260:AB260"/>
    <mergeCell ref="E273:G273"/>
    <mergeCell ref="N27:P27"/>
    <mergeCell ref="K158:M158"/>
    <mergeCell ref="AD203:AE203"/>
    <mergeCell ref="C48:D48"/>
    <mergeCell ref="C87:N87"/>
    <mergeCell ref="X51:Y51"/>
    <mergeCell ref="X220:AA220"/>
    <mergeCell ref="T34:U34"/>
    <mergeCell ref="T28:U28"/>
    <mergeCell ref="X36:Y36"/>
    <mergeCell ref="C306:N306"/>
    <mergeCell ref="T245:U245"/>
    <mergeCell ref="T239:U239"/>
    <mergeCell ref="Y162:Z162"/>
    <mergeCell ref="AA226:AC226"/>
    <mergeCell ref="X221:AA221"/>
    <mergeCell ref="T30:U30"/>
    <mergeCell ref="X67:Y67"/>
    <mergeCell ref="AD229:AE229"/>
    <mergeCell ref="X61:Y61"/>
    <mergeCell ref="Y164:Z164"/>
    <mergeCell ref="C250:D250"/>
    <mergeCell ref="N247:P247"/>
    <mergeCell ref="V182:X182"/>
    <mergeCell ref="T240:U240"/>
    <mergeCell ref="N38:P38"/>
    <mergeCell ref="AA99:AC99"/>
    <mergeCell ref="Y157:Z157"/>
    <mergeCell ref="E197:G197"/>
    <mergeCell ref="N249:P249"/>
    <mergeCell ref="X62:Y62"/>
    <mergeCell ref="K179:M179"/>
    <mergeCell ref="C309:AE309"/>
    <mergeCell ref="H170:J170"/>
    <mergeCell ref="Y188:Z188"/>
    <mergeCell ref="V177:X177"/>
    <mergeCell ref="AD105:AE105"/>
    <mergeCell ref="X64:Y64"/>
    <mergeCell ref="AA94:AC94"/>
    <mergeCell ref="C19:N19"/>
    <mergeCell ref="S168:U168"/>
    <mergeCell ref="C311:AE311"/>
    <mergeCell ref="H172:J172"/>
    <mergeCell ref="Y190:Z190"/>
    <mergeCell ref="S167:U167"/>
    <mergeCell ref="AC158:AE158"/>
    <mergeCell ref="X145:AA145"/>
    <mergeCell ref="T258:U258"/>
    <mergeCell ref="Z32:AB32"/>
    <mergeCell ref="Y175:Z175"/>
    <mergeCell ref="E39:G39"/>
    <mergeCell ref="S169:U169"/>
    <mergeCell ref="C14:N14"/>
    <mergeCell ref="S165:U165"/>
    <mergeCell ref="N267:P267"/>
    <mergeCell ref="X147:AA147"/>
    <mergeCell ref="C3:G3"/>
    <mergeCell ref="X238:Y238"/>
    <mergeCell ref="S194:U194"/>
    <mergeCell ref="O88:W88"/>
    <mergeCell ref="C5:G5"/>
    <mergeCell ref="O99:W99"/>
    <mergeCell ref="N262:P262"/>
    <mergeCell ref="C24:AE24"/>
    <mergeCell ref="H66:J66"/>
    <mergeCell ref="C177:D177"/>
    <mergeCell ref="E57:G57"/>
    <mergeCell ref="V44:W44"/>
    <mergeCell ref="Z60:AB60"/>
    <mergeCell ref="E243:G243"/>
    <mergeCell ref="AA172:AB172"/>
    <mergeCell ref="X289:AA289"/>
    <mergeCell ref="Z45:AB45"/>
    <mergeCell ref="E58:G58"/>
    <mergeCell ref="X12:Z12"/>
    <mergeCell ref="S184:U184"/>
    <mergeCell ref="Z55:AB55"/>
    <mergeCell ref="AA173:AB173"/>
    <mergeCell ref="AC237:AE237"/>
    <mergeCell ref="K251:M251"/>
    <mergeCell ref="Q174:R174"/>
    <mergeCell ref="Q168:R168"/>
    <mergeCell ref="AA165:AB165"/>
    <mergeCell ref="X13:Z13"/>
    <mergeCell ref="K253:M253"/>
    <mergeCell ref="C112:N112"/>
    <mergeCell ref="Q199:R199"/>
    <mergeCell ref="N194:P194"/>
    <mergeCell ref="C114:N114"/>
    <mergeCell ref="T53:U53"/>
    <mergeCell ref="Q44:S44"/>
    <mergeCell ref="Q194:R194"/>
    <mergeCell ref="H27:J27"/>
    <mergeCell ref="T55:U55"/>
    <mergeCell ref="AA191:AB191"/>
    <mergeCell ref="AC255:AE255"/>
    <mergeCell ref="N34:P34"/>
    <mergeCell ref="AD227:AE227"/>
    <mergeCell ref="Q45:S45"/>
    <mergeCell ref="C124:AE124"/>
    <mergeCell ref="C188:D188"/>
    <mergeCell ref="X58:Y58"/>
    <mergeCell ref="K175:M175"/>
    <mergeCell ref="N36:P36"/>
    <mergeCell ref="H166:J166"/>
    <mergeCell ref="Q47:S47"/>
    <mergeCell ref="AA96:AC96"/>
    <mergeCell ref="X60:Y60"/>
    <mergeCell ref="AA90:AC90"/>
    <mergeCell ref="K177:M177"/>
    <mergeCell ref="H168:J168"/>
    <mergeCell ref="Y186:Z186"/>
    <mergeCell ref="C104:N104"/>
    <mergeCell ref="T37:U37"/>
    <mergeCell ref="H167:J167"/>
    <mergeCell ref="H161:J161"/>
    <mergeCell ref="AD96:AE96"/>
    <mergeCell ref="X361:AA361"/>
    <mergeCell ref="H169:J169"/>
    <mergeCell ref="N62:P62"/>
    <mergeCell ref="Q63:S63"/>
    <mergeCell ref="AA123:AC123"/>
    <mergeCell ref="Y181:Z181"/>
    <mergeCell ref="C99:N99"/>
    <mergeCell ref="T38:U38"/>
    <mergeCell ref="AD98:AE98"/>
    <mergeCell ref="N176:P176"/>
    <mergeCell ref="AA116:AC116"/>
    <mergeCell ref="N64:P64"/>
    <mergeCell ref="H194:J194"/>
    <mergeCell ref="O95:W95"/>
    <mergeCell ref="T63:U63"/>
    <mergeCell ref="O89:W89"/>
    <mergeCell ref="AA118:AC118"/>
    <mergeCell ref="AC180:AE180"/>
    <mergeCell ref="K48:M48"/>
    <mergeCell ref="AC182:AE182"/>
    <mergeCell ref="AA109:AC109"/>
    <mergeCell ref="H195:J195"/>
    <mergeCell ref="H189:J189"/>
    <mergeCell ref="O90:W90"/>
    <mergeCell ref="Y199:Z199"/>
    <mergeCell ref="S193:U193"/>
    <mergeCell ref="AD116:AE116"/>
    <mergeCell ref="H197:J197"/>
    <mergeCell ref="X110:Z110"/>
    <mergeCell ref="S180:U180"/>
    <mergeCell ref="Y194:Z194"/>
    <mergeCell ref="X247:Y247"/>
    <mergeCell ref="K247:M247"/>
    <mergeCell ref="K277:M277"/>
    <mergeCell ref="S175:U175"/>
    <mergeCell ref="K249:M249"/>
    <mergeCell ref="K276:M276"/>
    <mergeCell ref="K243:M243"/>
    <mergeCell ref="X92:Z92"/>
    <mergeCell ref="AC26:AE26"/>
    <mergeCell ref="E49:G49"/>
    <mergeCell ref="K278:M278"/>
    <mergeCell ref="X94:Z94"/>
    <mergeCell ref="V59:W59"/>
    <mergeCell ref="E163:G163"/>
    <mergeCell ref="AC251:AE251"/>
    <mergeCell ref="T26:U26"/>
    <mergeCell ref="E251:G251"/>
    <mergeCell ref="X275:Y275"/>
    <mergeCell ref="C76:G76"/>
    <mergeCell ref="V54:W54"/>
    <mergeCell ref="AC253:AE253"/>
    <mergeCell ref="C159:D159"/>
    <mergeCell ref="X277:Y277"/>
    <mergeCell ref="AC246:AE246"/>
    <mergeCell ref="H259:J259"/>
    <mergeCell ref="C186:D186"/>
    <mergeCell ref="AC254:AE254"/>
    <mergeCell ref="AC248:AE248"/>
    <mergeCell ref="H261:J261"/>
    <mergeCell ref="K262:M262"/>
    <mergeCell ref="Z238:AB238"/>
    <mergeCell ref="AB146:AE146"/>
    <mergeCell ref="C95:N95"/>
    <mergeCell ref="O301:W301"/>
    <mergeCell ref="Z240:AB240"/>
    <mergeCell ref="C54:D54"/>
    <mergeCell ref="C218:G218"/>
    <mergeCell ref="N60:P60"/>
    <mergeCell ref="AA201:AC201"/>
    <mergeCell ref="C56:D56"/>
    <mergeCell ref="C230:AE230"/>
    <mergeCell ref="X42:Y42"/>
    <mergeCell ref="X202:Z202"/>
    <mergeCell ref="AA203:AC203"/>
    <mergeCell ref="H272:J272"/>
    <mergeCell ref="T61:U61"/>
    <mergeCell ref="N55:P55"/>
    <mergeCell ref="Q56:S56"/>
    <mergeCell ref="C232:AE232"/>
    <mergeCell ref="AC267:AE267"/>
    <mergeCell ref="H274:J274"/>
    <mergeCell ref="AD87:AE87"/>
    <mergeCell ref="H193:J193"/>
    <mergeCell ref="AD122:AE122"/>
    <mergeCell ref="H64:J64"/>
    <mergeCell ref="X43:Y43"/>
    <mergeCell ref="Y165:Z165"/>
    <mergeCell ref="AA229:AC229"/>
    <mergeCell ref="AD107:AE107"/>
    <mergeCell ref="O226:W226"/>
    <mergeCell ref="O201:W201"/>
    <mergeCell ref="C297:N297"/>
    <mergeCell ref="AB73:AE73"/>
    <mergeCell ref="O228:W228"/>
    <mergeCell ref="C299:N299"/>
    <mergeCell ref="T238:U238"/>
    <mergeCell ref="AC191:AE191"/>
    <mergeCell ref="AC51:AE51"/>
    <mergeCell ref="K65:M65"/>
    <mergeCell ref="E159:G159"/>
    <mergeCell ref="E47:G47"/>
    <mergeCell ref="Q258:S258"/>
    <mergeCell ref="X271:Y271"/>
    <mergeCell ref="V175:X175"/>
    <mergeCell ref="V50:W50"/>
    <mergeCell ref="AB220:AE220"/>
    <mergeCell ref="Q260:S260"/>
    <mergeCell ref="N242:P242"/>
    <mergeCell ref="X273:Y273"/>
    <mergeCell ref="H2:W2"/>
    <mergeCell ref="X116:Z116"/>
    <mergeCell ref="E63:G63"/>
    <mergeCell ref="AD280:AE280"/>
    <mergeCell ref="AC33:AE33"/>
    <mergeCell ref="H46:J46"/>
    <mergeCell ref="C157:D157"/>
    <mergeCell ref="X266:Y266"/>
    <mergeCell ref="X118:Z118"/>
    <mergeCell ref="H257:J257"/>
    <mergeCell ref="X300:AE300"/>
    <mergeCell ref="AC35:AE35"/>
    <mergeCell ref="X268:Y268"/>
    <mergeCell ref="AC34:AE34"/>
    <mergeCell ref="AA301:AC301"/>
    <mergeCell ref="AC59:AE59"/>
    <mergeCell ref="AA303:AC303"/>
    <mergeCell ref="AC61:AE61"/>
    <mergeCell ref="N174:P174"/>
    <mergeCell ref="AB145:AE145"/>
    <mergeCell ref="C170:D170"/>
    <mergeCell ref="H276:J276"/>
    <mergeCell ref="H270:J270"/>
    <mergeCell ref="Z53:AB53"/>
    <mergeCell ref="E236:G236"/>
    <mergeCell ref="V254:W254"/>
    <mergeCell ref="V248:W248"/>
    <mergeCell ref="N169:P169"/>
    <mergeCell ref="Z264:AB264"/>
    <mergeCell ref="Q26:S26"/>
    <mergeCell ref="AA16:AC16"/>
    <mergeCell ref="C196:D196"/>
    <mergeCell ref="K157:M157"/>
    <mergeCell ref="N158:P158"/>
    <mergeCell ref="C198:D198"/>
    <mergeCell ref="K28:M28"/>
    <mergeCell ref="K30:M30"/>
    <mergeCell ref="Z275:AB275"/>
    <mergeCell ref="E160:G160"/>
    <mergeCell ref="Q37:S37"/>
    <mergeCell ref="V267:W267"/>
    <mergeCell ref="Q254:S254"/>
    <mergeCell ref="Z277:AB277"/>
    <mergeCell ref="AD106:AE106"/>
    <mergeCell ref="N184:P184"/>
    <mergeCell ref="V171:X171"/>
    <mergeCell ref="X236:Y236"/>
    <mergeCell ref="C249:D249"/>
    <mergeCell ref="V181:X181"/>
    <mergeCell ref="E161:G161"/>
    <mergeCell ref="Q256:S256"/>
    <mergeCell ref="AA98:AC98"/>
    <mergeCell ref="N238:P238"/>
    <mergeCell ref="V173:X173"/>
    <mergeCell ref="X229:Z229"/>
    <mergeCell ref="Q249:S249"/>
    <mergeCell ref="K56:M56"/>
    <mergeCell ref="V166:X166"/>
    <mergeCell ref="X237:Y237"/>
    <mergeCell ref="N240:P240"/>
    <mergeCell ref="AC162:AE162"/>
    <mergeCell ref="K170:M170"/>
    <mergeCell ref="V168:X168"/>
    <mergeCell ref="X298:AE298"/>
    <mergeCell ref="AA302:AC302"/>
    <mergeCell ref="V51:W51"/>
    <mergeCell ref="V192:X192"/>
    <mergeCell ref="N266:P266"/>
    <mergeCell ref="Q267:S267"/>
    <mergeCell ref="X255:Y255"/>
    <mergeCell ref="C262:D262"/>
    <mergeCell ref="AA299:AC299"/>
    <mergeCell ref="AC57:AE57"/>
    <mergeCell ref="V194:X194"/>
    <mergeCell ref="C292:G292"/>
    <mergeCell ref="N268:P268"/>
    <mergeCell ref="Q269:S269"/>
    <mergeCell ref="AA111:AC111"/>
    <mergeCell ref="AC58:AE58"/>
    <mergeCell ref="T275:U275"/>
    <mergeCell ref="V33:W33"/>
    <mergeCell ref="H241:J241"/>
    <mergeCell ref="T269:U269"/>
    <mergeCell ref="AA167:AB167"/>
    <mergeCell ref="T277:U277"/>
    <mergeCell ref="V35:W35"/>
    <mergeCell ref="H243:J243"/>
    <mergeCell ref="Z51:AB51"/>
    <mergeCell ref="AA12:AC12"/>
    <mergeCell ref="V245:W245"/>
    <mergeCell ref="C192:D192"/>
    <mergeCell ref="AA162:AB162"/>
    <mergeCell ref="X301:Z301"/>
    <mergeCell ref="AA14:AC14"/>
    <mergeCell ref="C194:D194"/>
    <mergeCell ref="E258:G258"/>
    <mergeCell ref="AA164:AB164"/>
    <mergeCell ref="K242:M242"/>
    <mergeCell ref="X146:AA146"/>
    <mergeCell ref="N193:P193"/>
    <mergeCell ref="Z246:AB246"/>
    <mergeCell ref="E259:G259"/>
    <mergeCell ref="C189:D189"/>
    <mergeCell ref="E253:G253"/>
    <mergeCell ref="AA188:AB188"/>
    <mergeCell ref="V263:W263"/>
    <mergeCell ref="C34:D34"/>
    <mergeCell ref="AA180:AB180"/>
    <mergeCell ref="N180:P180"/>
    <mergeCell ref="Q35:S35"/>
    <mergeCell ref="V265:W265"/>
    <mergeCell ref="Q34:S34"/>
    <mergeCell ref="N182:P182"/>
    <mergeCell ref="V258:W258"/>
    <mergeCell ref="C29:D29"/>
    <mergeCell ref="C65:D65"/>
    <mergeCell ref="Q36:S36"/>
    <mergeCell ref="Q30:S30"/>
    <mergeCell ref="K166:M166"/>
    <mergeCell ref="V260:W260"/>
    <mergeCell ref="C31:D31"/>
    <mergeCell ref="AC247:AE247"/>
    <mergeCell ref="N177:P177"/>
    <mergeCell ref="K168:M168"/>
    <mergeCell ref="K167:M167"/>
    <mergeCell ref="V195:X195"/>
    <mergeCell ref="AD113:AE113"/>
    <mergeCell ref="E272:G272"/>
    <mergeCell ref="E185:G185"/>
    <mergeCell ref="Q62:S62"/>
    <mergeCell ref="AD115:AE115"/>
    <mergeCell ref="X73:AA73"/>
    <mergeCell ref="K192:M192"/>
    <mergeCell ref="N53:P53"/>
    <mergeCell ref="Q54:S54"/>
    <mergeCell ref="C258:D258"/>
    <mergeCell ref="H39:J39"/>
    <mergeCell ref="C49:D49"/>
    <mergeCell ref="Q64:S64"/>
    <mergeCell ref="V190:X190"/>
    <mergeCell ref="K63:M63"/>
    <mergeCell ref="N264:P264"/>
    <mergeCell ref="N46:P46"/>
    <mergeCell ref="K194:M194"/>
    <mergeCell ref="AA107:AC107"/>
    <mergeCell ref="S181:U181"/>
    <mergeCell ref="C266:D266"/>
    <mergeCell ref="C260:D260"/>
    <mergeCell ref="C305:N305"/>
    <mergeCell ref="C42:D42"/>
    <mergeCell ref="N48:P48"/>
    <mergeCell ref="C259:D259"/>
    <mergeCell ref="AC171:AE171"/>
    <mergeCell ref="T271:U271"/>
    <mergeCell ref="V29:W29"/>
    <mergeCell ref="E27:G27"/>
    <mergeCell ref="H28:J28"/>
    <mergeCell ref="X248:Y248"/>
    <mergeCell ref="C261:D261"/>
    <mergeCell ref="AC173:AE173"/>
    <mergeCell ref="H186:J186"/>
    <mergeCell ref="T273:U273"/>
    <mergeCell ref="V31:W31"/>
    <mergeCell ref="AA110:AC110"/>
    <mergeCell ref="E196:G196"/>
    <mergeCell ref="T266:U266"/>
    <mergeCell ref="V60:W60"/>
    <mergeCell ref="E198:G198"/>
    <mergeCell ref="O106:W106"/>
    <mergeCell ref="V32:W32"/>
    <mergeCell ref="X96:Z96"/>
    <mergeCell ref="N250:P250"/>
    <mergeCell ref="V26:W26"/>
    <mergeCell ref="T268:U268"/>
    <mergeCell ref="N275:P275"/>
    <mergeCell ref="O105:W105"/>
    <mergeCell ref="H54:J54"/>
    <mergeCell ref="X98:Z98"/>
    <mergeCell ref="AC199:AE199"/>
    <mergeCell ref="K238:M238"/>
    <mergeCell ref="N277:P277"/>
    <mergeCell ref="V57:W57"/>
    <mergeCell ref="O107:W107"/>
    <mergeCell ref="N276:P276"/>
    <mergeCell ref="H56:J56"/>
    <mergeCell ref="S166:U166"/>
    <mergeCell ref="E38:G38"/>
    <mergeCell ref="K240:M240"/>
    <mergeCell ref="AC67:AE67"/>
    <mergeCell ref="V42:W42"/>
    <mergeCell ref="E249:G249"/>
    <mergeCell ref="N278:P278"/>
    <mergeCell ref="E40:G40"/>
    <mergeCell ref="V58:W58"/>
    <mergeCell ref="V52:W52"/>
    <mergeCell ref="E257:G257"/>
    <mergeCell ref="C4:G4"/>
    <mergeCell ref="AA186:AB186"/>
    <mergeCell ref="AB3:AE3"/>
    <mergeCell ref="AB5:AE5"/>
    <mergeCell ref="X109:Z109"/>
    <mergeCell ref="C25:AE25"/>
    <mergeCell ref="X22:Z22"/>
    <mergeCell ref="K259:M259"/>
    <mergeCell ref="Z59:AB59"/>
    <mergeCell ref="C27:D27"/>
    <mergeCell ref="T41:U41"/>
    <mergeCell ref="AC245:AE245"/>
    <mergeCell ref="Q182:R182"/>
    <mergeCell ref="T43:U43"/>
    <mergeCell ref="E262:G262"/>
    <mergeCell ref="Q58:S58"/>
    <mergeCell ref="X40:Y40"/>
    <mergeCell ref="AA199:AB199"/>
    <mergeCell ref="C45:D45"/>
    <mergeCell ref="Q60:S60"/>
    <mergeCell ref="AB147:AE147"/>
    <mergeCell ref="AC271:AE271"/>
    <mergeCell ref="O21:W21"/>
    <mergeCell ref="AC265:AE265"/>
    <mergeCell ref="C47:D47"/>
    <mergeCell ref="C40:D40"/>
    <mergeCell ref="C75:G75"/>
    <mergeCell ref="T236:U236"/>
    <mergeCell ref="Y159:Z159"/>
    <mergeCell ref="K274:M274"/>
    <mergeCell ref="K62:M62"/>
    <mergeCell ref="AD86:AE86"/>
    <mergeCell ref="K193:M193"/>
    <mergeCell ref="C298:N298"/>
    <mergeCell ref="T237:U237"/>
    <mergeCell ref="N246:P246"/>
    <mergeCell ref="C8:AE8"/>
    <mergeCell ref="X59:Y59"/>
    <mergeCell ref="N37:P37"/>
    <mergeCell ref="C66:D66"/>
    <mergeCell ref="AB77:AE77"/>
    <mergeCell ref="AC195:AE195"/>
    <mergeCell ref="N248:P248"/>
    <mergeCell ref="C308:AE308"/>
    <mergeCell ref="C16:N16"/>
    <mergeCell ref="C68:D68"/>
    <mergeCell ref="H52:J52"/>
    <mergeCell ref="H149:W149"/>
    <mergeCell ref="E34:G34"/>
    <mergeCell ref="AC197:AE197"/>
    <mergeCell ref="H45:J45"/>
    <mergeCell ref="T255:U255"/>
    <mergeCell ref="E36:G36"/>
    <mergeCell ref="H47:J47"/>
    <mergeCell ref="Q247:S247"/>
    <mergeCell ref="T250:U250"/>
    <mergeCell ref="C2:G2"/>
    <mergeCell ref="X105:Z105"/>
    <mergeCell ref="C96:N96"/>
    <mergeCell ref="O87:W87"/>
    <mergeCell ref="Z49:AB49"/>
    <mergeCell ref="E62:G62"/>
    <mergeCell ref="H63:J63"/>
    <mergeCell ref="AC32:AE32"/>
    <mergeCell ref="K266:M266"/>
    <mergeCell ref="X107:Z107"/>
    <mergeCell ref="H291:W291"/>
    <mergeCell ref="C98:N98"/>
    <mergeCell ref="O116:W116"/>
    <mergeCell ref="Z57:AB57"/>
    <mergeCell ref="E64:G64"/>
    <mergeCell ref="T39:U39"/>
    <mergeCell ref="AD21:AE21"/>
    <mergeCell ref="Z50:AB50"/>
    <mergeCell ref="V68:W68"/>
    <mergeCell ref="H292:W292"/>
    <mergeCell ref="C18:AE18"/>
    <mergeCell ref="C93:N93"/>
    <mergeCell ref="V67:W67"/>
    <mergeCell ref="T32:U32"/>
    <mergeCell ref="O113:W113"/>
    <mergeCell ref="Z52:AB52"/>
    <mergeCell ref="H76:W76"/>
    <mergeCell ref="AA170:AB170"/>
    <mergeCell ref="AC50:AE50"/>
    <mergeCell ref="C168:D168"/>
    <mergeCell ref="Q181:R181"/>
    <mergeCell ref="AC236:AE236"/>
    <mergeCell ref="K250:M250"/>
    <mergeCell ref="C103:AE103"/>
    <mergeCell ref="C167:D167"/>
    <mergeCell ref="H221:W221"/>
    <mergeCell ref="C169:D169"/>
    <mergeCell ref="C111:N111"/>
    <mergeCell ref="Q191:R191"/>
    <mergeCell ref="T52:U52"/>
    <mergeCell ref="AC264:AE264"/>
    <mergeCell ref="Q163:R163"/>
    <mergeCell ref="H218:W218"/>
    <mergeCell ref="V238:W238"/>
    <mergeCell ref="K32:M32"/>
    <mergeCell ref="N33:P33"/>
    <mergeCell ref="C62:D62"/>
    <mergeCell ref="T49:U49"/>
    <mergeCell ref="C187:D187"/>
    <mergeCell ref="C64:D64"/>
    <mergeCell ref="N157:P157"/>
    <mergeCell ref="T42:U42"/>
    <mergeCell ref="AC274:AE274"/>
    <mergeCell ref="K27:M27"/>
    <mergeCell ref="N28:P28"/>
    <mergeCell ref="T50:U50"/>
    <mergeCell ref="H158:J158"/>
    <mergeCell ref="T44:U44"/>
    <mergeCell ref="S162:U162"/>
    <mergeCell ref="N30:P30"/>
    <mergeCell ref="H160:J160"/>
    <mergeCell ref="Y178:Z178"/>
    <mergeCell ref="AD95:AE95"/>
    <mergeCell ref="AA113:AC113"/>
    <mergeCell ref="AB218:AE218"/>
    <mergeCell ref="S187:U187"/>
    <mergeCell ref="H148:W148"/>
    <mergeCell ref="AC277:AE277"/>
    <mergeCell ref="AD97:AE97"/>
    <mergeCell ref="N175:P175"/>
    <mergeCell ref="C240:D240"/>
    <mergeCell ref="AA115:AC115"/>
    <mergeCell ref="S189:U189"/>
    <mergeCell ref="Q238:S238"/>
    <mergeCell ref="K45:M45"/>
    <mergeCell ref="S182:U182"/>
    <mergeCell ref="K256:M256"/>
    <mergeCell ref="AC179:AE179"/>
    <mergeCell ref="H192:J192"/>
    <mergeCell ref="K47:M47"/>
    <mergeCell ref="E177:G177"/>
    <mergeCell ref="E60:G60"/>
    <mergeCell ref="S190:U190"/>
    <mergeCell ref="Y196:Z196"/>
    <mergeCell ref="K264:M264"/>
    <mergeCell ref="E176:G176"/>
    <mergeCell ref="AD123:AE123"/>
    <mergeCell ref="K257:M257"/>
    <mergeCell ref="E178:G178"/>
    <mergeCell ref="Z48:AB48"/>
    <mergeCell ref="Y191:Z191"/>
    <mergeCell ref="H290:W290"/>
    <mergeCell ref="Q266:S266"/>
    <mergeCell ref="X254:Y254"/>
    <mergeCell ref="K246:M246"/>
    <mergeCell ref="Q268:S268"/>
    <mergeCell ref="AC48:AE48"/>
    <mergeCell ref="O115:W115"/>
    <mergeCell ref="O229:W229"/>
    <mergeCell ref="AD22:AE22"/>
    <mergeCell ref="X3:AA3"/>
    <mergeCell ref="H240:J240"/>
    <mergeCell ref="K241:M241"/>
    <mergeCell ref="X5:AA5"/>
    <mergeCell ref="X272:Y272"/>
    <mergeCell ref="O280:W280"/>
    <mergeCell ref="AA179:AB179"/>
    <mergeCell ref="C183:D183"/>
    <mergeCell ref="Q190:R190"/>
    <mergeCell ref="C193:D193"/>
    <mergeCell ref="H258:J258"/>
    <mergeCell ref="C176:D176"/>
    <mergeCell ref="X302:Z302"/>
    <mergeCell ref="T40:U40"/>
    <mergeCell ref="H260:J260"/>
    <mergeCell ref="C178:D178"/>
    <mergeCell ref="E242:G242"/>
    <mergeCell ref="Z237:AB237"/>
    <mergeCell ref="V264:W264"/>
    <mergeCell ref="K41:M41"/>
    <mergeCell ref="N52:P52"/>
    <mergeCell ref="H182:J182"/>
    <mergeCell ref="K43:M43"/>
    <mergeCell ref="N166:P166"/>
    <mergeCell ref="Z263:AB263"/>
    <mergeCell ref="H190:J190"/>
    <mergeCell ref="T59:U59"/>
    <mergeCell ref="Z265:AB265"/>
    <mergeCell ref="X77:AA77"/>
    <mergeCell ref="H183:J183"/>
    <mergeCell ref="E174:G174"/>
    <mergeCell ref="AC172:AE172"/>
    <mergeCell ref="H185:J185"/>
    <mergeCell ref="V275:W275"/>
    <mergeCell ref="X33:Y33"/>
    <mergeCell ref="N192:P192"/>
    <mergeCell ref="Q53:S53"/>
    <mergeCell ref="K183:M183"/>
    <mergeCell ref="X41:Y41"/>
    <mergeCell ref="V277:W277"/>
    <mergeCell ref="X35:Y35"/>
    <mergeCell ref="N63:P63"/>
    <mergeCell ref="Q239:S239"/>
    <mergeCell ref="Q264:S264"/>
    <mergeCell ref="X252:Y252"/>
    <mergeCell ref="K54:M54"/>
    <mergeCell ref="C153:AE153"/>
    <mergeCell ref="O225:W225"/>
    <mergeCell ref="K64:M64"/>
    <mergeCell ref="O227:W227"/>
    <mergeCell ref="C202:N202"/>
    <mergeCell ref="C154:AE154"/>
    <mergeCell ref="E158:G158"/>
    <mergeCell ref="C156:AE156"/>
    <mergeCell ref="K268:M268"/>
    <mergeCell ref="H198:J198"/>
    <mergeCell ref="C277:D277"/>
    <mergeCell ref="X113:Z113"/>
    <mergeCell ref="Q275:S275"/>
    <mergeCell ref="Q250:S250"/>
    <mergeCell ref="X263:Y263"/>
    <mergeCell ref="C276:D276"/>
    <mergeCell ref="AC188:AE188"/>
    <mergeCell ref="N241:P241"/>
    <mergeCell ref="X115:Z115"/>
    <mergeCell ref="Q277:S277"/>
    <mergeCell ref="E184:G184"/>
    <mergeCell ref="Z31:AB31"/>
    <mergeCell ref="X265:Y265"/>
    <mergeCell ref="C278:D278"/>
    <mergeCell ref="H38:J38"/>
    <mergeCell ref="AD301:AE301"/>
    <mergeCell ref="Z26:AB26"/>
    <mergeCell ref="H40:J40"/>
    <mergeCell ref="V43:W43"/>
    <mergeCell ref="AA20:AC20"/>
    <mergeCell ref="AB292:AE292"/>
    <mergeCell ref="Z42:AB42"/>
    <mergeCell ref="Z259:AB259"/>
    <mergeCell ref="H267:J267"/>
    <mergeCell ref="Z44:AB44"/>
    <mergeCell ref="Q171:R171"/>
    <mergeCell ref="Z261:AB261"/>
    <mergeCell ref="E268:G268"/>
    <mergeCell ref="H269:J269"/>
    <mergeCell ref="Q173:R173"/>
    <mergeCell ref="V271:W271"/>
    <mergeCell ref="V246:W246"/>
    <mergeCell ref="O19:W19"/>
    <mergeCell ref="AA163:AB163"/>
    <mergeCell ref="N188:P188"/>
    <mergeCell ref="Z256:AB256"/>
    <mergeCell ref="V273:W273"/>
    <mergeCell ref="X31:Y31"/>
    <mergeCell ref="N165:P165"/>
    <mergeCell ref="Q51:S51"/>
    <mergeCell ref="O20:W20"/>
    <mergeCell ref="X39:Y39"/>
    <mergeCell ref="X218:AA218"/>
    <mergeCell ref="X32:Y32"/>
    <mergeCell ref="O22:W22"/>
    <mergeCell ref="C74:G74"/>
    <mergeCell ref="Z272:AB272"/>
    <mergeCell ref="Q251:S251"/>
    <mergeCell ref="Z274:AB274"/>
    <mergeCell ref="AD225:AE225"/>
    <mergeCell ref="X122:Z122"/>
    <mergeCell ref="X219:AA219"/>
    <mergeCell ref="C152:AE152"/>
    <mergeCell ref="X65:Y65"/>
    <mergeCell ref="AA95:AC95"/>
    <mergeCell ref="E193:G193"/>
    <mergeCell ref="Q246:S246"/>
    <mergeCell ref="C13:N13"/>
    <mergeCell ref="V163:X163"/>
    <mergeCell ref="AA97:AC97"/>
    <mergeCell ref="AC159:AE159"/>
    <mergeCell ref="N237:P237"/>
    <mergeCell ref="C241:D241"/>
    <mergeCell ref="X50:Y50"/>
    <mergeCell ref="T253:U253"/>
    <mergeCell ref="Q248:S248"/>
    <mergeCell ref="Z27:AB27"/>
    <mergeCell ref="C15:N15"/>
    <mergeCell ref="S164:U164"/>
    <mergeCell ref="V165:X165"/>
    <mergeCell ref="AC186:AE186"/>
    <mergeCell ref="N239:P239"/>
    <mergeCell ref="C243:D243"/>
    <mergeCell ref="H34:J34"/>
    <mergeCell ref="T254:U254"/>
    <mergeCell ref="T248:U248"/>
    <mergeCell ref="Y171:Z171"/>
    <mergeCell ref="H36:J36"/>
    <mergeCell ref="N263:P263"/>
    <mergeCell ref="T256:U256"/>
    <mergeCell ref="Y173:Z173"/>
    <mergeCell ref="AD299:AE299"/>
    <mergeCell ref="AC54:AE54"/>
    <mergeCell ref="V191:X191"/>
    <mergeCell ref="N265:P265"/>
    <mergeCell ref="AA108:AC108"/>
    <mergeCell ref="AC56:AE56"/>
    <mergeCell ref="N258:P258"/>
    <mergeCell ref="X280:Z280"/>
    <mergeCell ref="C291:G291"/>
    <mergeCell ref="O122:W122"/>
    <mergeCell ref="AC49:AE49"/>
    <mergeCell ref="H62:J62"/>
    <mergeCell ref="Z46:AB46"/>
    <mergeCell ref="N260:P260"/>
    <mergeCell ref="Z40:AB40"/>
    <mergeCell ref="E53:G53"/>
    <mergeCell ref="S183:U183"/>
    <mergeCell ref="AA22:AC22"/>
    <mergeCell ref="E55:G55"/>
    <mergeCell ref="V243:W243"/>
    <mergeCell ref="Q169:R169"/>
    <mergeCell ref="T267:U267"/>
    <mergeCell ref="Z41:AB41"/>
    <mergeCell ref="AA160:AB160"/>
    <mergeCell ref="E48:G48"/>
    <mergeCell ref="V242:W242"/>
    <mergeCell ref="V236:W236"/>
    <mergeCell ref="K248:M248"/>
    <mergeCell ref="AA159:AB159"/>
  </mergeCells>
  <printOptions horizontalCentered="1"/>
  <pageMargins left="0.5" right="0.5" top="0.6" bottom="0.6" header="0.5" footer="0.5"/>
  <pageSetup orientation="portrait" paperSize="9" scale="66" fitToHeight="0"/>
  <rowBreaks count="4" manualBreakCount="4">
    <brk id="73" min="0" max="16383" man="1"/>
    <brk id="145" min="0" max="16383" man="1"/>
    <brk id="217" min="0" max="16383" man="1"/>
    <brk id="289" min="0" max="16383" man="1"/>
  </rowBreaks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BQ361"/>
  <sheetViews>
    <sheetView showGridLines="0" zoomScale="85" workbookViewId="0">
      <selection activeCell="A1" sqref="A1"/>
    </sheetView>
  </sheetViews>
  <sheetFormatPr baseColWidth="8" defaultRowHeight="13.9"/>
  <cols>
    <col width="3.43" customWidth="1" min="1" max="1"/>
    <col width="4" customWidth="1" min="2" max="2"/>
    <col width="3.57" customWidth="1" min="3" max="3"/>
    <col width="3.57" customWidth="1" min="4" max="4"/>
    <col width="3.57" customWidth="1" min="5" max="5"/>
    <col width="3.57" customWidth="1" min="6" max="6"/>
    <col width="3.57" customWidth="1" min="7" max="7"/>
    <col width="3.57" customWidth="1" min="8" max="8"/>
    <col width="3.57" customWidth="1" min="9" max="9"/>
    <col width="3.86" customWidth="1" min="10" max="10"/>
    <col width="4" customWidth="1" min="11" max="11"/>
    <col width="4.57" customWidth="1" min="12" max="12"/>
    <col width="4.57" customWidth="1" min="13" max="13"/>
    <col width="4.57" customWidth="1" min="14" max="14"/>
    <col width="4.57" customWidth="1" min="15" max="15"/>
    <col width="4.57" customWidth="1" min="16" max="16"/>
    <col width="4.57" customWidth="1" min="17" max="17"/>
    <col width="4.57" customWidth="1" min="18" max="18"/>
    <col width="4.57" customWidth="1" min="19" max="19"/>
    <col width="4.57" customWidth="1" min="20" max="20"/>
    <col width="4.57" customWidth="1" min="21" max="21"/>
    <col width="4.57" customWidth="1" min="22" max="22"/>
    <col width="4.57" customWidth="1" min="23" max="23"/>
    <col width="4.57" customWidth="1" min="24" max="24"/>
    <col width="4.57" customWidth="1" min="25" max="25"/>
    <col width="4.57" customWidth="1" min="26" max="26"/>
    <col width="4.57" customWidth="1" min="27" max="27"/>
    <col width="4.57" customWidth="1" min="28" max="28"/>
    <col width="4.57" customWidth="1" min="29" max="29"/>
    <col width="4.57" customWidth="1" min="30" max="30"/>
    <col width="4.57" customWidth="1" min="31" max="31"/>
    <col width="3.43" customWidth="1" min="32" max="32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40" customWidth="1" min="69" max="69"/>
  </cols>
  <sheetData>
    <row r="2">
      <c r="B2" s="1" t="n"/>
      <c r="C2" s="2" t="inlineStr">
        <is>
          <t>PROJECT :</t>
        </is>
      </c>
      <c r="D2" s="3" t="n"/>
      <c r="E2" s="3" t="n"/>
      <c r="F2" s="3" t="n"/>
      <c r="G2" s="3" t="n"/>
      <c r="H2" s="4" t="inlineStr">
        <is>
          <t>GEOTHERMAL WELLPAD PSPE BORA PULU - SIGI, CENTRAL SULAWESI</t>
        </is>
      </c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5" t="inlineStr">
        <is>
          <t>Prepared by :</t>
        </is>
      </c>
      <c r="Y2" s="6" t="n"/>
      <c r="Z2" s="6" t="n"/>
      <c r="AA2" s="6" t="n"/>
      <c r="AB2" s="7" t="inlineStr">
        <is>
          <t>Date</t>
        </is>
      </c>
      <c r="AC2" s="6" t="n"/>
      <c r="AD2" s="6" t="n"/>
      <c r="AE2" s="6" t="n"/>
      <c r="AF2" s="8" t="n"/>
    </row>
    <row r="3">
      <c r="B3" s="9" t="n"/>
      <c r="C3" s="10" t="inlineStr">
        <is>
          <t>CLIENT :</t>
        </is>
      </c>
      <c r="H3" s="11" t="inlineStr">
        <is>
          <t>PT EDC PANAS BUMI INDONESIA</t>
        </is>
      </c>
      <c r="X3" s="12" t="inlineStr">
        <is>
          <t>DF</t>
        </is>
      </c>
      <c r="Y3" s="13" t="n"/>
      <c r="Z3" s="13" t="n"/>
      <c r="AA3" s="13" t="n"/>
      <c r="AB3" s="14" t="n">
        <v>46301</v>
      </c>
      <c r="AC3" s="13" t="n"/>
      <c r="AD3" s="13" t="n"/>
      <c r="AE3" s="13" t="n"/>
      <c r="AF3" s="15" t="n"/>
    </row>
    <row r="4">
      <c r="B4" s="9" t="n"/>
      <c r="C4" s="10" t="inlineStr">
        <is>
          <t>LOCATION :</t>
        </is>
      </c>
      <c r="H4" s="11" t="inlineStr">
        <is>
          <t>BH-02 (Wellpad A)</t>
        </is>
      </c>
      <c r="X4" s="12" t="inlineStr">
        <is>
          <t>Verified by :</t>
        </is>
      </c>
      <c r="Y4" s="13" t="n"/>
      <c r="Z4" s="13" t="n"/>
      <c r="AA4" s="13" t="n"/>
      <c r="AB4" s="14" t="inlineStr">
        <is>
          <t>Date</t>
        </is>
      </c>
      <c r="AC4" s="13" t="n"/>
      <c r="AD4" s="13" t="n"/>
      <c r="AE4" s="13" t="n"/>
      <c r="AF4" s="15" t="n"/>
    </row>
    <row r="5">
      <c r="B5" s="16" t="n"/>
      <c r="C5" s="17" t="inlineStr">
        <is>
          <t>SHEET :</t>
        </is>
      </c>
      <c r="D5" s="18" t="n"/>
      <c r="E5" s="18" t="n"/>
      <c r="F5" s="18" t="n"/>
      <c r="G5" s="18" t="n"/>
      <c r="H5" s="19" t="inlineStr">
        <is>
          <t>BEARING CAPACITY AND SETTLEMENT OF SUBGRADE</t>
        </is>
      </c>
      <c r="I5" s="18" t="n"/>
      <c r="J5" s="18" t="n"/>
      <c r="K5" s="18" t="n"/>
      <c r="L5" s="18" t="n"/>
      <c r="M5" s="18" t="n"/>
      <c r="N5" s="18" t="n"/>
      <c r="O5" s="18" t="n"/>
      <c r="P5" s="18" t="n"/>
      <c r="Q5" s="18" t="n"/>
      <c r="R5" s="18" t="n"/>
      <c r="S5" s="18" t="n"/>
      <c r="T5" s="18" t="n"/>
      <c r="U5" s="18" t="n"/>
      <c r="V5" s="18" t="n"/>
      <c r="W5" s="18" t="n"/>
      <c r="X5" s="20" t="inlineStr">
        <is>
          <t>BC</t>
        </is>
      </c>
      <c r="Y5" s="21" t="n"/>
      <c r="Z5" s="21" t="n"/>
      <c r="AA5" s="21" t="n"/>
      <c r="AB5" s="22" t="n">
        <v>46301</v>
      </c>
      <c r="AC5" s="21" t="n"/>
      <c r="AD5" s="21" t="n"/>
      <c r="AE5" s="21" t="n"/>
      <c r="AF5" s="23" t="n"/>
    </row>
    <row r="6">
      <c r="B6" s="9" t="n"/>
      <c r="AF6" s="15" t="n"/>
    </row>
    <row r="7">
      <c r="B7" s="9" t="n"/>
      <c r="C7" s="11" t="inlineStr">
        <is>
          <t>1. GENERAL</t>
        </is>
      </c>
      <c r="AF7" s="15" t="n"/>
    </row>
    <row r="8">
      <c r="B8" s="9" t="n"/>
      <c r="C8" s="25" t="inlineStr">
        <is>
          <t>This sheet evaluates the bearing capacity, immediate settlement and primary consolidation settlement of the subgrade</t>
        </is>
      </c>
      <c r="AF8" s="15" t="n"/>
    </row>
    <row r="9">
      <c r="B9" s="9" t="n"/>
      <c r="C9" s="25" t="inlineStr">
        <is>
          <t>below the wellpad embankment (2 m fill + 100 kPa uniform surcharge) at the borehole location.</t>
        </is>
      </c>
      <c r="AF9" s="15" t="n"/>
    </row>
    <row r="10">
      <c r="B10" s="9" t="n"/>
      <c r="AF10" s="15" t="n"/>
    </row>
    <row r="11">
      <c r="B11" s="9" t="n"/>
      <c r="C11" s="11" t="inlineStr">
        <is>
          <t>1.1. Load and loaded area</t>
        </is>
      </c>
      <c r="AF11" s="15" t="n"/>
    </row>
    <row r="12">
      <c r="B12" s="9" t="n"/>
      <c r="C12" s="25" t="inlineStr">
        <is>
          <t>Height of embankment fill</t>
        </is>
      </c>
      <c r="O12" s="26" t="inlineStr">
        <is>
          <t>(Input)</t>
        </is>
      </c>
      <c r="X12" s="27" t="inlineStr">
        <is>
          <t>Hf =</t>
        </is>
      </c>
      <c r="Y12" s="13" t="n"/>
      <c r="Z12" s="13" t="n"/>
      <c r="AA12" s="61">
        <f>Input!$AA$11</f>
        <v/>
      </c>
      <c r="AB12" s="13" t="n"/>
      <c r="AC12" s="13" t="n"/>
      <c r="AD12" s="25" t="inlineStr">
        <is>
          <t>m</t>
        </is>
      </c>
      <c r="AF12" s="15" t="n"/>
    </row>
    <row r="13">
      <c r="B13" s="9" t="n"/>
      <c r="C13" s="25" t="inlineStr">
        <is>
          <t>Uniform surcharge</t>
        </is>
      </c>
      <c r="O13" s="26" t="inlineStr">
        <is>
          <t>(Input)</t>
        </is>
      </c>
      <c r="X13" s="27" t="inlineStr">
        <is>
          <t>qs =</t>
        </is>
      </c>
      <c r="Y13" s="13" t="n"/>
      <c r="Z13" s="13" t="n"/>
      <c r="AA13" s="62">
        <f>Input!$AA$13</f>
        <v/>
      </c>
      <c r="AB13" s="13" t="n"/>
      <c r="AC13" s="13" t="n"/>
      <c r="AD13" s="25" t="inlineStr">
        <is>
          <t>kPa</t>
        </is>
      </c>
      <c r="AF13" s="15" t="n"/>
    </row>
    <row r="14">
      <c r="B14" s="9" t="n"/>
      <c r="C14" s="25" t="inlineStr">
        <is>
          <t>Total pressure on subgrade</t>
        </is>
      </c>
      <c r="O14" s="26" t="inlineStr">
        <is>
          <t>q = Hf·γf + qs</t>
        </is>
      </c>
      <c r="X14" s="27" t="inlineStr">
        <is>
          <t>q =</t>
        </is>
      </c>
      <c r="Y14" s="13" t="n"/>
      <c r="Z14" s="13" t="n"/>
      <c r="AA14" s="62">
        <f>Input!$AA$14</f>
        <v/>
      </c>
      <c r="AB14" s="13" t="n"/>
      <c r="AC14" s="13" t="n"/>
      <c r="AD14" s="25" t="inlineStr">
        <is>
          <t>kPa</t>
        </is>
      </c>
      <c r="AF14" s="15" t="n"/>
    </row>
    <row r="15">
      <c r="B15" s="9" t="n"/>
      <c r="C15" s="25" t="inlineStr">
        <is>
          <t>Loaded area (assumed)</t>
        </is>
      </c>
      <c r="O15" s="26" t="inlineStr">
        <is>
          <t>B × L</t>
        </is>
      </c>
      <c r="X15" s="27" t="inlineStr">
        <is>
          <t>B =</t>
        </is>
      </c>
      <c r="Y15" s="13" t="n"/>
      <c r="Z15" s="13" t="n"/>
      <c r="AA15" s="62">
        <f>Input!$AA$15</f>
        <v/>
      </c>
      <c r="AB15" s="13" t="n"/>
      <c r="AC15" s="13" t="n"/>
      <c r="AD15" s="25" t="inlineStr">
        <is>
          <t>m</t>
        </is>
      </c>
      <c r="AF15" s="15" t="n"/>
    </row>
    <row r="16">
      <c r="B16" s="9" t="n"/>
      <c r="C16" s="25" t="inlineStr"/>
      <c r="O16" s="26" t="inlineStr"/>
      <c r="X16" s="27" t="inlineStr">
        <is>
          <t>L =</t>
        </is>
      </c>
      <c r="Y16" s="13" t="n"/>
      <c r="Z16" s="13" t="n"/>
      <c r="AA16" s="62">
        <f>Input!$AA$16</f>
        <v/>
      </c>
      <c r="AB16" s="13" t="n"/>
      <c r="AC16" s="13" t="n"/>
      <c r="AD16" s="25" t="inlineStr">
        <is>
          <t>m</t>
        </is>
      </c>
      <c r="AF16" s="15" t="n"/>
    </row>
    <row r="17">
      <c r="B17" s="9" t="n"/>
      <c r="AF17" s="15" t="n"/>
    </row>
    <row r="18">
      <c r="B18" s="9" t="n"/>
      <c r="C18" s="11" t="inlineStr">
        <is>
          <t>1.2. Borehole data</t>
        </is>
      </c>
      <c r="AF18" s="15" t="n"/>
    </row>
    <row r="19">
      <c r="B19" s="9" t="n"/>
      <c r="C19" s="25" t="inlineStr">
        <is>
          <t>Design groundwater level (below ground)</t>
        </is>
      </c>
      <c r="O19" s="26" t="inlineStr">
        <is>
          <t>liquefaction report</t>
        </is>
      </c>
      <c r="X19" s="27" t="inlineStr">
        <is>
          <t>GWL =</t>
        </is>
      </c>
      <c r="Y19" s="13" t="n"/>
      <c r="Z19" s="13" t="n"/>
      <c r="AA19" s="63" t="n">
        <v>7</v>
      </c>
      <c r="AB19" s="29" t="n"/>
      <c r="AC19" s="29" t="n"/>
      <c r="AD19" s="25" t="inlineStr">
        <is>
          <t>m</t>
        </is>
      </c>
      <c r="AF19" s="15" t="n"/>
    </row>
    <row r="20">
      <c r="B20" s="9" t="n"/>
      <c r="C20" s="25" t="inlineStr">
        <is>
          <t>Unit weight above GWL</t>
        </is>
      </c>
      <c r="O20" s="26" t="inlineStr">
        <is>
          <t>report Table 5.1</t>
        </is>
      </c>
      <c r="X20" s="27" t="inlineStr">
        <is>
          <t>γ =</t>
        </is>
      </c>
      <c r="Y20" s="13" t="n"/>
      <c r="Z20" s="13" t="n"/>
      <c r="AA20" s="63" t="n">
        <v>18.5</v>
      </c>
      <c r="AB20" s="29" t="n"/>
      <c r="AC20" s="29" t="n"/>
      <c r="AD20" s="25" t="inlineStr">
        <is>
          <t>kN/m³</t>
        </is>
      </c>
      <c r="AF20" s="15" t="n"/>
    </row>
    <row r="21">
      <c r="B21" s="9" t="n"/>
      <c r="C21" s="25" t="inlineStr">
        <is>
          <t>Unit weight below GWL</t>
        </is>
      </c>
      <c r="O21" s="26" t="inlineStr">
        <is>
          <t>report Table 5.1</t>
        </is>
      </c>
      <c r="X21" s="27" t="inlineStr">
        <is>
          <t>γsat =</t>
        </is>
      </c>
      <c r="Y21" s="13" t="n"/>
      <c r="Z21" s="13" t="n"/>
      <c r="AA21" s="63" t="n">
        <v>18.4</v>
      </c>
      <c r="AB21" s="29" t="n"/>
      <c r="AC21" s="29" t="n"/>
      <c r="AD21" s="25" t="inlineStr">
        <is>
          <t>kN/m³</t>
        </is>
      </c>
      <c r="AF21" s="15" t="n"/>
    </row>
    <row r="22">
      <c r="B22" s="9" t="n"/>
      <c r="C22" s="25" t="inlineStr">
        <is>
          <t>Replacement depth (design condition)</t>
        </is>
      </c>
      <c r="O22" s="26" t="inlineStr">
        <is>
          <t>0 = no improvement</t>
        </is>
      </c>
      <c r="X22" s="27" t="inlineStr">
        <is>
          <t>Dr =</t>
        </is>
      </c>
      <c r="Y22" s="13" t="n"/>
      <c r="Z22" s="13" t="n"/>
      <c r="AA22" s="63" t="n">
        <v>0</v>
      </c>
      <c r="AB22" s="29" t="n"/>
      <c r="AC22" s="29" t="n"/>
      <c r="AD22" s="25" t="inlineStr">
        <is>
          <t>m</t>
        </is>
      </c>
      <c r="AF22" s="15" t="n"/>
    </row>
    <row r="23">
      <c r="B23" s="9" t="n"/>
      <c r="AF23" s="15" t="n"/>
    </row>
    <row r="24">
      <c r="B24" s="9" t="n"/>
      <c r="C24" s="11" t="inlineStr">
        <is>
          <t>2. SOIL PARAMETERS</t>
        </is>
      </c>
      <c r="AF24" s="15" t="n"/>
    </row>
    <row r="25">
      <c r="B25" s="9" t="n"/>
      <c r="C25" s="25" t="inlineStr">
        <is>
          <t>Table 1. Soil parameters of BH-02 (sub-layers = SPT intervals)</t>
        </is>
      </c>
      <c r="AF25" s="15" t="n"/>
      <c r="AI25" s="64" t="inlineStr">
        <is>
          <t>Helper calculation per sub-layer (not printed)</t>
        </is>
      </c>
    </row>
    <row r="26" ht="27" customHeight="1">
      <c r="B26" s="9" t="n"/>
      <c r="C26" s="33" t="inlineStr">
        <is>
          <t>No</t>
        </is>
      </c>
      <c r="D26" s="34" t="n"/>
      <c r="E26" s="33" t="inlineStr">
        <is>
          <t>Top</t>
        </is>
      </c>
      <c r="F26" s="34" t="n"/>
      <c r="G26" s="34" t="n"/>
      <c r="H26" s="33" t="inlineStr">
        <is>
          <t>Bottom</t>
        </is>
      </c>
      <c r="I26" s="34" t="n"/>
      <c r="J26" s="34" t="n"/>
      <c r="K26" s="33" t="inlineStr">
        <is>
          <t>Soil</t>
        </is>
      </c>
      <c r="L26" s="34" t="n"/>
      <c r="M26" s="34" t="n"/>
      <c r="N26" s="33" t="inlineStr">
        <is>
          <t>N-SPT</t>
        </is>
      </c>
      <c r="O26" s="34" t="n"/>
      <c r="P26" s="34" t="n"/>
      <c r="Q26" s="33" t="inlineStr">
        <is>
          <t>γ</t>
        </is>
      </c>
      <c r="R26" s="34" t="n"/>
      <c r="S26" s="34" t="n"/>
      <c r="T26" s="33" t="inlineStr">
        <is>
          <t>LL</t>
        </is>
      </c>
      <c r="U26" s="34" t="n"/>
      <c r="V26" s="33" t="inlineStr">
        <is>
          <t>PI</t>
        </is>
      </c>
      <c r="W26" s="34" t="n"/>
      <c r="X26" s="33" t="inlineStr">
        <is>
          <t>e0</t>
        </is>
      </c>
      <c r="Y26" s="34" t="n"/>
      <c r="Z26" s="33" t="inlineStr">
        <is>
          <t>cu</t>
        </is>
      </c>
      <c r="AA26" s="34" t="n"/>
      <c r="AB26" s="34" t="n"/>
      <c r="AC26" s="33" t="inlineStr">
        <is>
          <t>φ'</t>
        </is>
      </c>
      <c r="AD26" s="34" t="n"/>
      <c r="AE26" s="34" t="n"/>
      <c r="AF26" s="15" t="n"/>
      <c r="AI26" s="65" t="inlineStr">
        <is>
          <t>top</t>
        </is>
      </c>
      <c r="AJ26" s="65" t="inlineStr">
        <is>
          <t>bot</t>
        </is>
      </c>
      <c r="AK26" s="65" t="inlineStr">
        <is>
          <t>h</t>
        </is>
      </c>
      <c r="AL26" s="65" t="inlineStr">
        <is>
          <t>z</t>
        </is>
      </c>
      <c r="AM26" s="65" t="inlineStr">
        <is>
          <t>typ</t>
        </is>
      </c>
      <c r="AN26" s="65" t="inlineStr">
        <is>
          <t>N</t>
        </is>
      </c>
      <c r="AO26" s="65" t="inlineStr">
        <is>
          <t>g</t>
        </is>
      </c>
      <c r="AP26" s="65" t="inlineStr">
        <is>
          <t>sv</t>
        </is>
      </c>
      <c r="AQ26" s="65" t="inlineStr">
        <is>
          <t>s0</t>
        </is>
      </c>
      <c r="AR26" s="65" t="inlineStr">
        <is>
          <t>LL</t>
        </is>
      </c>
      <c r="AS26" s="65" t="inlineStr">
        <is>
          <t>PL</t>
        </is>
      </c>
      <c r="AT26" s="65" t="inlineStr">
        <is>
          <t>PI</t>
        </is>
      </c>
      <c r="AU26" s="65" t="inlineStr">
        <is>
          <t>e0</t>
        </is>
      </c>
      <c r="AV26" s="65" t="inlineStr">
        <is>
          <t>cu</t>
        </is>
      </c>
      <c r="AW26" s="65" t="inlineStr">
        <is>
          <t>phi</t>
        </is>
      </c>
      <c r="AX26" s="65" t="inlineStr">
        <is>
          <t>E</t>
        </is>
      </c>
      <c r="AY26" s="65" t="inlineStr">
        <is>
          <t>nu</t>
        </is>
      </c>
      <c r="AZ26" s="65" t="inlineStr">
        <is>
          <t>m</t>
        </is>
      </c>
      <c r="BA26" s="65" t="inlineStr">
        <is>
          <t>n</t>
        </is>
      </c>
      <c r="BB26" s="65" t="inlineStr">
        <is>
          <t>I</t>
        </is>
      </c>
      <c r="BC26" s="65" t="inlineStr">
        <is>
          <t>ds</t>
        </is>
      </c>
      <c r="BD26" s="65" t="inlineStr">
        <is>
          <t>F1</t>
        </is>
      </c>
      <c r="BE26" s="65" t="inlineStr">
        <is>
          <t>F2</t>
        </is>
      </c>
      <c r="BF26" s="65" t="inlineStr">
        <is>
          <t>keep</t>
        </is>
      </c>
      <c r="BG26" s="65" t="inlineStr">
        <is>
          <t>Si</t>
        </is>
      </c>
      <c r="BH26" s="65" t="inlineStr">
        <is>
          <t>Cc</t>
        </is>
      </c>
      <c r="BI26" s="65" t="inlineStr">
        <is>
          <t>Cr</t>
        </is>
      </c>
      <c r="BJ26" s="65" t="inlineStr">
        <is>
          <t>sp</t>
        </is>
      </c>
      <c r="BK26" s="65" t="inlineStr">
        <is>
          <t>Sc</t>
        </is>
      </c>
      <c r="BL26" s="65" t="inlineStr">
        <is>
          <t>Cv</t>
        </is>
      </c>
      <c r="BM26" s="65" t="inlineStr">
        <is>
          <t>t90</t>
        </is>
      </c>
      <c r="BN26" s="65" t="inlineStr">
        <is>
          <t>hb0</t>
        </is>
      </c>
      <c r="BO26" s="65" t="inlineStr">
        <is>
          <t>hbr</t>
        </is>
      </c>
      <c r="BP26" s="65" t="inlineStr">
        <is>
          <t>hzi</t>
        </is>
      </c>
      <c r="BQ26" s="65" t="inlineStr">
        <is>
          <t>ket</t>
        </is>
      </c>
    </row>
    <row r="27">
      <c r="B27" s="9" t="n"/>
      <c r="C27" s="35" t="inlineStr"/>
      <c r="D27" s="36" t="n"/>
      <c r="E27" s="35" t="inlineStr">
        <is>
          <t>m</t>
        </is>
      </c>
      <c r="F27" s="36" t="n"/>
      <c r="G27" s="36" t="n"/>
      <c r="H27" s="35" t="inlineStr">
        <is>
          <t>m</t>
        </is>
      </c>
      <c r="I27" s="36" t="n"/>
      <c r="J27" s="36" t="n"/>
      <c r="K27" s="35" t="inlineStr"/>
      <c r="L27" s="36" t="n"/>
      <c r="M27" s="36" t="n"/>
      <c r="N27" s="35" t="inlineStr"/>
      <c r="O27" s="36" t="n"/>
      <c r="P27" s="36" t="n"/>
      <c r="Q27" s="35" t="inlineStr">
        <is>
          <t>kN/m³</t>
        </is>
      </c>
      <c r="R27" s="36" t="n"/>
      <c r="S27" s="36" t="n"/>
      <c r="T27" s="35" t="inlineStr">
        <is>
          <t>%</t>
        </is>
      </c>
      <c r="U27" s="36" t="n"/>
      <c r="V27" s="35" t="inlineStr">
        <is>
          <t>%</t>
        </is>
      </c>
      <c r="W27" s="36" t="n"/>
      <c r="X27" s="35" t="inlineStr">
        <is>
          <t>-</t>
        </is>
      </c>
      <c r="Y27" s="36" t="n"/>
      <c r="Z27" s="35" t="inlineStr">
        <is>
          <t>kPa</t>
        </is>
      </c>
      <c r="AA27" s="36" t="n"/>
      <c r="AB27" s="36" t="n"/>
      <c r="AC27" s="35" t="inlineStr">
        <is>
          <t>°</t>
        </is>
      </c>
      <c r="AD27" s="36" t="n"/>
      <c r="AE27" s="36" t="n"/>
      <c r="AF27" s="15" t="n"/>
    </row>
    <row r="28">
      <c r="B28" s="9" t="n"/>
      <c r="C28" s="57" t="n">
        <v>1</v>
      </c>
      <c r="D28" s="41" t="n"/>
      <c r="E28" s="55">
        <f>AI28</f>
        <v/>
      </c>
      <c r="F28" s="41" t="n"/>
      <c r="G28" s="41" t="n"/>
      <c r="H28" s="55">
        <f>AJ28</f>
        <v/>
      </c>
      <c r="I28" s="41" t="n"/>
      <c r="J28" s="41" t="n"/>
      <c r="K28" s="52">
        <f>AM28</f>
        <v/>
      </c>
      <c r="L28" s="41" t="n"/>
      <c r="M28" s="41" t="n"/>
      <c r="N28" s="57">
        <f>AN28</f>
        <v/>
      </c>
      <c r="O28" s="41" t="n"/>
      <c r="P28" s="41" t="n"/>
      <c r="Q28" s="53">
        <f>AO28</f>
        <v/>
      </c>
      <c r="R28" s="41" t="n"/>
      <c r="S28" s="41" t="n"/>
      <c r="T28" s="57">
        <f>IF(AR28="","-",AR28)</f>
        <v/>
      </c>
      <c r="U28" s="41" t="n"/>
      <c r="V28" s="57">
        <f>IF(AT28="","-",AT28)</f>
        <v/>
      </c>
      <c r="W28" s="41" t="n"/>
      <c r="X28" s="55">
        <f>AU28</f>
        <v/>
      </c>
      <c r="Y28" s="41" t="n"/>
      <c r="Z28" s="66">
        <f>AV28</f>
        <v/>
      </c>
      <c r="AA28" s="41" t="n"/>
      <c r="AB28" s="41" t="n"/>
      <c r="AC28" s="53">
        <f>AW28</f>
        <v/>
      </c>
      <c r="AD28" s="41" t="n"/>
      <c r="AE28" s="41" t="n"/>
      <c r="AF28" s="15" t="n"/>
      <c r="AI28" s="67" t="n">
        <v>0</v>
      </c>
      <c r="AJ28" s="67" t="n">
        <v>1.5</v>
      </c>
      <c r="AK28" s="68">
        <f>AJ28-AI28</f>
        <v/>
      </c>
      <c r="AL28" s="68">
        <f>(AI28+AJ28)/2</f>
        <v/>
      </c>
      <c r="AM28" s="67" t="inlineStr">
        <is>
          <t>Sand</t>
        </is>
      </c>
      <c r="AN28" s="67" t="n">
        <v>50</v>
      </c>
      <c r="AO28" s="68">
        <f>IF(AL28&gt;$AA$19,$AA$21,$AA$20)</f>
        <v/>
      </c>
      <c r="AP28" s="68">
        <f>AO28*AK28</f>
        <v/>
      </c>
      <c r="AQ28" s="68">
        <f>AP28-AO28*AK28/2-10*MAX(AL28-$AA$19,0)</f>
        <v/>
      </c>
      <c r="AR28" s="67" t="n"/>
      <c r="AS28" s="67" t="n"/>
      <c r="AT28" s="68">
        <f>IF(AR28="","",AR28-AS28)</f>
        <v/>
      </c>
      <c r="AU28" s="67" t="n">
        <v>0.65</v>
      </c>
      <c r="AV28" s="68">
        <f>IF(AM28="Sand",0,Input!$AA$31*AN28)</f>
        <v/>
      </c>
      <c r="AW28" s="68">
        <f>IF(AM28="Sand",27.1+0.3*MIN(Input!$AA$32*AN28,60)-0.00054*MIN(Input!$AA$32*AN28,60)^2,MIN(MAX(DEGREES(ASIN(0.8-0.094*LN(MAX(IF(AT28="",10,AT28),5)))),20),30))</f>
        <v/>
      </c>
      <c r="AX28" s="68">
        <f>IF(AM28="Sand",Input!$AA$33*Input!$AA$32*AN28,Input!$AA$34*AV28)</f>
        <v/>
      </c>
      <c r="AY28" s="68">
        <f>IF(AM28="Sand",Input!$AA$35,0.5)</f>
        <v/>
      </c>
      <c r="AZ28" s="68">
        <f>Input!$AA$15/2/AL28</f>
        <v/>
      </c>
      <c r="BA28" s="68">
        <f>Input!$AA$16/2/AL28</f>
        <v/>
      </c>
      <c r="BB28" s="68">
        <f>1/(4*PI())*(2*AZ28*BA28*SQRT(AZ28^2+BA28^2+1)/(AZ28^2+BA28^2+1+AZ28^2*BA28^2)*(AZ28^2+BA28^2+2)/(AZ28^2+BA28^2+1)+ATAN2(AZ28^2+BA28^2+1-AZ28^2*BA28^2,2*AZ28*BA28*SQRT(AZ28^2+BA28^2+1)))</f>
        <v/>
      </c>
      <c r="BC28" s="68">
        <f>4*Input!$AA$14*BB28</f>
        <v/>
      </c>
      <c r="BD28" s="68">
        <f>((Input!$AA$16/Input!$AA$15)*LN((1+SQRT((Input!$AA$16/Input!$AA$15)^2+1))*SQRT((Input!$AA$16/Input!$AA$15)^2+(AJ28/(Input!$AA$15/2))^2)/((Input!$AA$16/Input!$AA$15)*(1+SQRT((Input!$AA$16/Input!$AA$15)^2+(AJ28/(Input!$AA$15/2))^2+1))))+LN(((Input!$AA$16/Input!$AA$15)+SQRT((Input!$AA$16/Input!$AA$15)^2+1))*SQRT(1+(AJ28/(Input!$AA$15/2))^2)/((Input!$AA$16/Input!$AA$15)+SQRT((Input!$AA$16/Input!$AA$15)^2+(AJ28/(Input!$AA$15/2))^2+1))))/PI()</f>
        <v/>
      </c>
      <c r="BE28" s="68">
        <f>(AJ28/(Input!$AA$15/2))/(2*PI())*ATAN((Input!$AA$16/Input!$AA$15)/((AJ28/(Input!$AA$15/2))*SQRT((Input!$AA$16/Input!$AA$15)^2+(AJ28/(Input!$AA$15/2))^2+1)))</f>
        <v/>
      </c>
      <c r="BF28" s="68">
        <f>MAX(0,AJ28-MAX(AI28,$AA$22))/AK28*IF(BC28&gt;=Input!$AA$21*AQ28,1,0)</f>
        <v/>
      </c>
      <c r="BG28" s="68">
        <f>4*Input!$AA$14*(Input!$AA$15/2)*(1-AY28^2)/AX28*((BD28-0)+(1-2*AY28)/(1-AY28)*(BE28-0))*1000*BF28</f>
        <v/>
      </c>
      <c r="BH28" s="68">
        <f>IF(AM28="Sand",0,0.009*(AR28-10))</f>
        <v/>
      </c>
      <c r="BI28" s="68">
        <f>BH28*Input!$AA$36</f>
        <v/>
      </c>
      <c r="BJ28" s="68">
        <f>IF(AM28="Sand",0,MAX(AV28/Input!$AA$37,AQ28))</f>
        <v/>
      </c>
      <c r="BK28" s="68">
        <f>IF(AM28="Sand",0,1000*AK28/(1+AU28)*IF(AQ28+BC28&lt;=BJ28,BI28*LOG10((AQ28+BC28)/AQ28),BI28*LOG10(BJ28/AQ28)+BH28*LOG10((AQ28+BC28)/BJ28)))*BF28</f>
        <v/>
      </c>
      <c r="BL28" s="68">
        <f>IF(AM28="Sand",0,10^(INDEX(Input!$Q$48:$Q$54,MIN(MATCH(MIN(MAX(AR28,30),120),Input!$C$48:$C$54,1),6))+(MIN(MAX(AR28,30),120)-INDEX(Input!$C$48:$C$54,MIN(MATCH(MIN(MAX(AR28,30),120),Input!$C$48:$C$54,1),6)))/(INDEX(Input!$C$48:$C$54,MIN(MATCH(MIN(MAX(AR28,30),120),Input!$C$48:$C$54,1),6)+1)-INDEX(Input!$C$48:$C$54,MIN(MATCH(MIN(MAX(AR28,30),120),Input!$C$48:$C$54,1),6)))*(INDEX(Input!$Q$48:$Q$54,MIN(MATCH(MIN(MAX(AR28,30),120),Input!$C$48:$C$54,1),6)+1)-INDEX(Input!$Q$48:$Q$54,MIN(MATCH(MIN(MAX(AR28,30),120),Input!$C$48:$C$54,1),6)))))</f>
        <v/>
      </c>
      <c r="BM28" s="68">
        <f>IF(OR(AM28="Sand",BF28=0),0,Input!$AA$38*(AK28/2)^2/(BL28*1E-4*31536000))</f>
        <v/>
      </c>
      <c r="BN28" s="68">
        <f>MAX(0,MIN(AJ28,Input!$AA$20)-AI28)</f>
        <v/>
      </c>
      <c r="BO28" s="68">
        <f>MAX(0,MIN(AJ28,Input!$AA$20)-MAX(AI28,$AA$22))</f>
        <v/>
      </c>
      <c r="BP28" s="68">
        <f>MAX(0,MIN(AJ28,$AA$225)-AI28)</f>
        <v/>
      </c>
      <c r="BQ28" s="68" t="inlineStr">
        <is>
          <t>0-1.5 m not tested: N of next layer</t>
        </is>
      </c>
    </row>
    <row r="29">
      <c r="B29" s="9" t="n"/>
      <c r="C29" s="57" t="n">
        <v>2</v>
      </c>
      <c r="D29" s="41" t="n"/>
      <c r="E29" s="55">
        <f>AI29</f>
        <v/>
      </c>
      <c r="F29" s="41" t="n"/>
      <c r="G29" s="41" t="n"/>
      <c r="H29" s="55">
        <f>AJ29</f>
        <v/>
      </c>
      <c r="I29" s="41" t="n"/>
      <c r="J29" s="41" t="n"/>
      <c r="K29" s="52">
        <f>AM29</f>
        <v/>
      </c>
      <c r="L29" s="41" t="n"/>
      <c r="M29" s="41" t="n"/>
      <c r="N29" s="57">
        <f>AN29</f>
        <v/>
      </c>
      <c r="O29" s="41" t="n"/>
      <c r="P29" s="41" t="n"/>
      <c r="Q29" s="53">
        <f>AO29</f>
        <v/>
      </c>
      <c r="R29" s="41" t="n"/>
      <c r="S29" s="41" t="n"/>
      <c r="T29" s="57">
        <f>IF(AR29="","-",AR29)</f>
        <v/>
      </c>
      <c r="U29" s="41" t="n"/>
      <c r="V29" s="57">
        <f>IF(AT29="","-",AT29)</f>
        <v/>
      </c>
      <c r="W29" s="41" t="n"/>
      <c r="X29" s="55">
        <f>AU29</f>
        <v/>
      </c>
      <c r="Y29" s="41" t="n"/>
      <c r="Z29" s="66">
        <f>AV29</f>
        <v/>
      </c>
      <c r="AA29" s="41" t="n"/>
      <c r="AB29" s="41" t="n"/>
      <c r="AC29" s="53">
        <f>AW29</f>
        <v/>
      </c>
      <c r="AD29" s="41" t="n"/>
      <c r="AE29" s="41" t="n"/>
      <c r="AF29" s="15" t="n"/>
      <c r="AI29" s="67" t="n">
        <v>1.5</v>
      </c>
      <c r="AJ29" s="67" t="n">
        <v>3</v>
      </c>
      <c r="AK29" s="68">
        <f>AJ29-AI29</f>
        <v/>
      </c>
      <c r="AL29" s="68">
        <f>(AI29+AJ29)/2</f>
        <v/>
      </c>
      <c r="AM29" s="67" t="inlineStr">
        <is>
          <t>Sand</t>
        </is>
      </c>
      <c r="AN29" s="67" t="n">
        <v>50</v>
      </c>
      <c r="AO29" s="68">
        <f>IF(AL29&gt;$AA$19,$AA$21,$AA$20)</f>
        <v/>
      </c>
      <c r="AP29" s="68">
        <f>AP28+AO29*AK29</f>
        <v/>
      </c>
      <c r="AQ29" s="68">
        <f>AP29-AO29*AK29/2-10*MAX(AL29-$AA$19,0)</f>
        <v/>
      </c>
      <c r="AR29" s="67" t="n"/>
      <c r="AS29" s="67" t="n"/>
      <c r="AT29" s="68">
        <f>IF(AR29="","",AR29-AS29)</f>
        <v/>
      </c>
      <c r="AU29" s="67" t="n">
        <v>0.65</v>
      </c>
      <c r="AV29" s="68">
        <f>IF(AM29="Sand",0,Input!$AA$31*AN29)</f>
        <v/>
      </c>
      <c r="AW29" s="68">
        <f>IF(AM29="Sand",27.1+0.3*MIN(Input!$AA$32*AN29,60)-0.00054*MIN(Input!$AA$32*AN29,60)^2,MIN(MAX(DEGREES(ASIN(0.8-0.094*LN(MAX(IF(AT29="",10,AT29),5)))),20),30))</f>
        <v/>
      </c>
      <c r="AX29" s="68">
        <f>IF(AM29="Sand",Input!$AA$33*Input!$AA$32*AN29,Input!$AA$34*AV29)</f>
        <v/>
      </c>
      <c r="AY29" s="68">
        <f>IF(AM29="Sand",Input!$AA$35,0.5)</f>
        <v/>
      </c>
      <c r="AZ29" s="68">
        <f>Input!$AA$15/2/AL29</f>
        <v/>
      </c>
      <c r="BA29" s="68">
        <f>Input!$AA$16/2/AL29</f>
        <v/>
      </c>
      <c r="BB29" s="68">
        <f>1/(4*PI())*(2*AZ29*BA29*SQRT(AZ29^2+BA29^2+1)/(AZ29^2+BA29^2+1+AZ29^2*BA29^2)*(AZ29^2+BA29^2+2)/(AZ29^2+BA29^2+1)+ATAN2(AZ29^2+BA29^2+1-AZ29^2*BA29^2,2*AZ29*BA29*SQRT(AZ29^2+BA29^2+1)))</f>
        <v/>
      </c>
      <c r="BC29" s="68">
        <f>4*Input!$AA$14*BB29</f>
        <v/>
      </c>
      <c r="BD29" s="68">
        <f>((Input!$AA$16/Input!$AA$15)*LN((1+SQRT((Input!$AA$16/Input!$AA$15)^2+1))*SQRT((Input!$AA$16/Input!$AA$15)^2+(AJ29/(Input!$AA$15/2))^2)/((Input!$AA$16/Input!$AA$15)*(1+SQRT((Input!$AA$16/Input!$AA$15)^2+(AJ29/(Input!$AA$15/2))^2+1))))+LN(((Input!$AA$16/Input!$AA$15)+SQRT((Input!$AA$16/Input!$AA$15)^2+1))*SQRT(1+(AJ29/(Input!$AA$15/2))^2)/((Input!$AA$16/Input!$AA$15)+SQRT((Input!$AA$16/Input!$AA$15)^2+(AJ29/(Input!$AA$15/2))^2+1))))/PI()</f>
        <v/>
      </c>
      <c r="BE29" s="68">
        <f>(AJ29/(Input!$AA$15/2))/(2*PI())*ATAN((Input!$AA$16/Input!$AA$15)/((AJ29/(Input!$AA$15/2))*SQRT((Input!$AA$16/Input!$AA$15)^2+(AJ29/(Input!$AA$15/2))^2+1)))</f>
        <v/>
      </c>
      <c r="BF29" s="68">
        <f>MAX(0,AJ29-MAX(AI29,$AA$22))/AK29*IF(BC29&gt;=Input!$AA$21*AQ29,1,0)</f>
        <v/>
      </c>
      <c r="BG29" s="68">
        <f>4*Input!$AA$14*(Input!$AA$15/2)*(1-AY29^2)/AX29*((BD29-BD28)+(1-2*AY29)/(1-AY29)*(BE29-BE28))*1000*BF29</f>
        <v/>
      </c>
      <c r="BH29" s="68">
        <f>IF(AM29="Sand",0,0.009*(AR29-10))</f>
        <v/>
      </c>
      <c r="BI29" s="68">
        <f>BH29*Input!$AA$36</f>
        <v/>
      </c>
      <c r="BJ29" s="68">
        <f>IF(AM29="Sand",0,MAX(AV29/Input!$AA$37,AQ29))</f>
        <v/>
      </c>
      <c r="BK29" s="68">
        <f>IF(AM29="Sand",0,1000*AK29/(1+AU29)*IF(AQ29+BC29&lt;=BJ29,BI29*LOG10((AQ29+BC29)/AQ29),BI29*LOG10(BJ29/AQ29)+BH29*LOG10((AQ29+BC29)/BJ29)))*BF29</f>
        <v/>
      </c>
      <c r="BL29" s="68">
        <f>IF(AM29="Sand",0,10^(INDEX(Input!$Q$48:$Q$54,MIN(MATCH(MIN(MAX(AR29,30),120),Input!$C$48:$C$54,1),6))+(MIN(MAX(AR29,30),120)-INDEX(Input!$C$48:$C$54,MIN(MATCH(MIN(MAX(AR29,30),120),Input!$C$48:$C$54,1),6)))/(INDEX(Input!$C$48:$C$54,MIN(MATCH(MIN(MAX(AR29,30),120),Input!$C$48:$C$54,1),6)+1)-INDEX(Input!$C$48:$C$54,MIN(MATCH(MIN(MAX(AR29,30),120),Input!$C$48:$C$54,1),6)))*(INDEX(Input!$Q$48:$Q$54,MIN(MATCH(MIN(MAX(AR29,30),120),Input!$C$48:$C$54,1),6)+1)-INDEX(Input!$Q$48:$Q$54,MIN(MATCH(MIN(MAX(AR29,30),120),Input!$C$48:$C$54,1),6)))))</f>
        <v/>
      </c>
      <c r="BM29" s="68">
        <f>IF(OR(AM29="Sand",BF29=0),0,Input!$AA$38*(AK29/2)^2/(BL29*1E-4*31536000))</f>
        <v/>
      </c>
      <c r="BN29" s="68">
        <f>MAX(0,MIN(AJ29,Input!$AA$20)-AI29)</f>
        <v/>
      </c>
      <c r="BO29" s="68">
        <f>MAX(0,MIN(AJ29,Input!$AA$20)-MAX(AI29,$AA$22))</f>
        <v/>
      </c>
      <c r="BP29" s="68">
        <f>MAX(0,MIN(AJ29,$AA$225)-AI29)</f>
        <v/>
      </c>
      <c r="BQ29" s="68" t="inlineStr"/>
    </row>
    <row r="30">
      <c r="B30" s="9" t="n"/>
      <c r="C30" s="57" t="n">
        <v>3</v>
      </c>
      <c r="D30" s="41" t="n"/>
      <c r="E30" s="55">
        <f>AI30</f>
        <v/>
      </c>
      <c r="F30" s="41" t="n"/>
      <c r="G30" s="41" t="n"/>
      <c r="H30" s="55">
        <f>AJ30</f>
        <v/>
      </c>
      <c r="I30" s="41" t="n"/>
      <c r="J30" s="41" t="n"/>
      <c r="K30" s="52">
        <f>AM30</f>
        <v/>
      </c>
      <c r="L30" s="41" t="n"/>
      <c r="M30" s="41" t="n"/>
      <c r="N30" s="57">
        <f>AN30</f>
        <v/>
      </c>
      <c r="O30" s="41" t="n"/>
      <c r="P30" s="41" t="n"/>
      <c r="Q30" s="53">
        <f>AO30</f>
        <v/>
      </c>
      <c r="R30" s="41" t="n"/>
      <c r="S30" s="41" t="n"/>
      <c r="T30" s="57">
        <f>IF(AR30="","-",AR30)</f>
        <v/>
      </c>
      <c r="U30" s="41" t="n"/>
      <c r="V30" s="57">
        <f>IF(AT30="","-",AT30)</f>
        <v/>
      </c>
      <c r="W30" s="41" t="n"/>
      <c r="X30" s="55">
        <f>AU30</f>
        <v/>
      </c>
      <c r="Y30" s="41" t="n"/>
      <c r="Z30" s="66">
        <f>AV30</f>
        <v/>
      </c>
      <c r="AA30" s="41" t="n"/>
      <c r="AB30" s="41" t="n"/>
      <c r="AC30" s="53">
        <f>AW30</f>
        <v/>
      </c>
      <c r="AD30" s="41" t="n"/>
      <c r="AE30" s="41" t="n"/>
      <c r="AF30" s="15" t="n"/>
      <c r="AI30" s="67" t="n">
        <v>3</v>
      </c>
      <c r="AJ30" s="67" t="n">
        <v>4.5</v>
      </c>
      <c r="AK30" s="68">
        <f>AJ30-AI30</f>
        <v/>
      </c>
      <c r="AL30" s="68">
        <f>(AI30+AJ30)/2</f>
        <v/>
      </c>
      <c r="AM30" s="67" t="inlineStr">
        <is>
          <t>Sand</t>
        </is>
      </c>
      <c r="AN30" s="67" t="n">
        <v>50</v>
      </c>
      <c r="AO30" s="68">
        <f>IF(AL30&gt;$AA$19,$AA$21,$AA$20)</f>
        <v/>
      </c>
      <c r="AP30" s="68">
        <f>AP29+AO30*AK30</f>
        <v/>
      </c>
      <c r="AQ30" s="68">
        <f>AP30-AO30*AK30/2-10*MAX(AL30-$AA$19,0)</f>
        <v/>
      </c>
      <c r="AR30" s="67" t="n"/>
      <c r="AS30" s="67" t="n"/>
      <c r="AT30" s="68">
        <f>IF(AR30="","",AR30-AS30)</f>
        <v/>
      </c>
      <c r="AU30" s="67" t="n">
        <v>0.65</v>
      </c>
      <c r="AV30" s="68">
        <f>IF(AM30="Sand",0,Input!$AA$31*AN30)</f>
        <v/>
      </c>
      <c r="AW30" s="68">
        <f>IF(AM30="Sand",27.1+0.3*MIN(Input!$AA$32*AN30,60)-0.00054*MIN(Input!$AA$32*AN30,60)^2,MIN(MAX(DEGREES(ASIN(0.8-0.094*LN(MAX(IF(AT30="",10,AT30),5)))),20),30))</f>
        <v/>
      </c>
      <c r="AX30" s="68">
        <f>IF(AM30="Sand",Input!$AA$33*Input!$AA$32*AN30,Input!$AA$34*AV30)</f>
        <v/>
      </c>
      <c r="AY30" s="68">
        <f>IF(AM30="Sand",Input!$AA$35,0.5)</f>
        <v/>
      </c>
      <c r="AZ30" s="68">
        <f>Input!$AA$15/2/AL30</f>
        <v/>
      </c>
      <c r="BA30" s="68">
        <f>Input!$AA$16/2/AL30</f>
        <v/>
      </c>
      <c r="BB30" s="68">
        <f>1/(4*PI())*(2*AZ30*BA30*SQRT(AZ30^2+BA30^2+1)/(AZ30^2+BA30^2+1+AZ30^2*BA30^2)*(AZ30^2+BA30^2+2)/(AZ30^2+BA30^2+1)+ATAN2(AZ30^2+BA30^2+1-AZ30^2*BA30^2,2*AZ30*BA30*SQRT(AZ30^2+BA30^2+1)))</f>
        <v/>
      </c>
      <c r="BC30" s="68">
        <f>4*Input!$AA$14*BB30</f>
        <v/>
      </c>
      <c r="BD30" s="68">
        <f>((Input!$AA$16/Input!$AA$15)*LN((1+SQRT((Input!$AA$16/Input!$AA$15)^2+1))*SQRT((Input!$AA$16/Input!$AA$15)^2+(AJ30/(Input!$AA$15/2))^2)/((Input!$AA$16/Input!$AA$15)*(1+SQRT((Input!$AA$16/Input!$AA$15)^2+(AJ30/(Input!$AA$15/2))^2+1))))+LN(((Input!$AA$16/Input!$AA$15)+SQRT((Input!$AA$16/Input!$AA$15)^2+1))*SQRT(1+(AJ30/(Input!$AA$15/2))^2)/((Input!$AA$16/Input!$AA$15)+SQRT((Input!$AA$16/Input!$AA$15)^2+(AJ30/(Input!$AA$15/2))^2+1))))/PI()</f>
        <v/>
      </c>
      <c r="BE30" s="68">
        <f>(AJ30/(Input!$AA$15/2))/(2*PI())*ATAN((Input!$AA$16/Input!$AA$15)/((AJ30/(Input!$AA$15/2))*SQRT((Input!$AA$16/Input!$AA$15)^2+(AJ30/(Input!$AA$15/2))^2+1)))</f>
        <v/>
      </c>
      <c r="BF30" s="68">
        <f>MAX(0,AJ30-MAX(AI30,$AA$22))/AK30*IF(BC30&gt;=Input!$AA$21*AQ30,1,0)</f>
        <v/>
      </c>
      <c r="BG30" s="68">
        <f>4*Input!$AA$14*(Input!$AA$15/2)*(1-AY30^2)/AX30*((BD30-BD29)+(1-2*AY30)/(1-AY30)*(BE30-BE29))*1000*BF30</f>
        <v/>
      </c>
      <c r="BH30" s="68">
        <f>IF(AM30="Sand",0,0.009*(AR30-10))</f>
        <v/>
      </c>
      <c r="BI30" s="68">
        <f>BH30*Input!$AA$36</f>
        <v/>
      </c>
      <c r="BJ30" s="68">
        <f>IF(AM30="Sand",0,MAX(AV30/Input!$AA$37,AQ30))</f>
        <v/>
      </c>
      <c r="BK30" s="68">
        <f>IF(AM30="Sand",0,1000*AK30/(1+AU30)*IF(AQ30+BC30&lt;=BJ30,BI30*LOG10((AQ30+BC30)/AQ30),BI30*LOG10(BJ30/AQ30)+BH30*LOG10((AQ30+BC30)/BJ30)))*BF30</f>
        <v/>
      </c>
      <c r="BL30" s="68">
        <f>IF(AM30="Sand",0,10^(INDEX(Input!$Q$48:$Q$54,MIN(MATCH(MIN(MAX(AR30,30),120),Input!$C$48:$C$54,1),6))+(MIN(MAX(AR30,30),120)-INDEX(Input!$C$48:$C$54,MIN(MATCH(MIN(MAX(AR30,30),120),Input!$C$48:$C$54,1),6)))/(INDEX(Input!$C$48:$C$54,MIN(MATCH(MIN(MAX(AR30,30),120),Input!$C$48:$C$54,1),6)+1)-INDEX(Input!$C$48:$C$54,MIN(MATCH(MIN(MAX(AR30,30),120),Input!$C$48:$C$54,1),6)))*(INDEX(Input!$Q$48:$Q$54,MIN(MATCH(MIN(MAX(AR30,30),120),Input!$C$48:$C$54,1),6)+1)-INDEX(Input!$Q$48:$Q$54,MIN(MATCH(MIN(MAX(AR30,30),120),Input!$C$48:$C$54,1),6)))))</f>
        <v/>
      </c>
      <c r="BM30" s="68">
        <f>IF(OR(AM30="Sand",BF30=0),0,Input!$AA$38*(AK30/2)^2/(BL30*1E-4*31536000))</f>
        <v/>
      </c>
      <c r="BN30" s="68">
        <f>MAX(0,MIN(AJ30,Input!$AA$20)-AI30)</f>
        <v/>
      </c>
      <c r="BO30" s="68">
        <f>MAX(0,MIN(AJ30,Input!$AA$20)-MAX(AI30,$AA$22))</f>
        <v/>
      </c>
      <c r="BP30" s="68">
        <f>MAX(0,MIN(AJ30,$AA$225)-AI30)</f>
        <v/>
      </c>
      <c r="BQ30" s="68" t="inlineStr"/>
    </row>
    <row r="31">
      <c r="B31" s="9" t="n"/>
      <c r="C31" s="57" t="n">
        <v>4</v>
      </c>
      <c r="D31" s="41" t="n"/>
      <c r="E31" s="55">
        <f>AI31</f>
        <v/>
      </c>
      <c r="F31" s="41" t="n"/>
      <c r="G31" s="41" t="n"/>
      <c r="H31" s="55">
        <f>AJ31</f>
        <v/>
      </c>
      <c r="I31" s="41" t="n"/>
      <c r="J31" s="41" t="n"/>
      <c r="K31" s="52">
        <f>AM31</f>
        <v/>
      </c>
      <c r="L31" s="41" t="n"/>
      <c r="M31" s="41" t="n"/>
      <c r="N31" s="57">
        <f>AN31</f>
        <v/>
      </c>
      <c r="O31" s="41" t="n"/>
      <c r="P31" s="41" t="n"/>
      <c r="Q31" s="53">
        <f>AO31</f>
        <v/>
      </c>
      <c r="R31" s="41" t="n"/>
      <c r="S31" s="41" t="n"/>
      <c r="T31" s="57">
        <f>IF(AR31="","-",AR31)</f>
        <v/>
      </c>
      <c r="U31" s="41" t="n"/>
      <c r="V31" s="57">
        <f>IF(AT31="","-",AT31)</f>
        <v/>
      </c>
      <c r="W31" s="41" t="n"/>
      <c r="X31" s="55">
        <f>AU31</f>
        <v/>
      </c>
      <c r="Y31" s="41" t="n"/>
      <c r="Z31" s="66">
        <f>AV31</f>
        <v/>
      </c>
      <c r="AA31" s="41" t="n"/>
      <c r="AB31" s="41" t="n"/>
      <c r="AC31" s="53">
        <f>AW31</f>
        <v/>
      </c>
      <c r="AD31" s="41" t="n"/>
      <c r="AE31" s="41" t="n"/>
      <c r="AF31" s="15" t="n"/>
      <c r="AI31" s="67" t="n">
        <v>4.5</v>
      </c>
      <c r="AJ31" s="67" t="n">
        <v>6</v>
      </c>
      <c r="AK31" s="68">
        <f>AJ31-AI31</f>
        <v/>
      </c>
      <c r="AL31" s="68">
        <f>(AI31+AJ31)/2</f>
        <v/>
      </c>
      <c r="AM31" s="67" t="inlineStr">
        <is>
          <t>Sand</t>
        </is>
      </c>
      <c r="AN31" s="67" t="n">
        <v>41</v>
      </c>
      <c r="AO31" s="68">
        <f>IF(AL31&gt;$AA$19,$AA$21,$AA$20)</f>
        <v/>
      </c>
      <c r="AP31" s="68">
        <f>AP30+AO31*AK31</f>
        <v/>
      </c>
      <c r="AQ31" s="68">
        <f>AP31-AO31*AK31/2-10*MAX(AL31-$AA$19,0)</f>
        <v/>
      </c>
      <c r="AR31" s="67" t="n"/>
      <c r="AS31" s="67" t="n"/>
      <c r="AT31" s="68">
        <f>IF(AR31="","",AR31-AS31)</f>
        <v/>
      </c>
      <c r="AU31" s="67" t="n">
        <v>0.588</v>
      </c>
      <c r="AV31" s="68">
        <f>IF(AM31="Sand",0,Input!$AA$31*AN31)</f>
        <v/>
      </c>
      <c r="AW31" s="68">
        <f>IF(AM31="Sand",27.1+0.3*MIN(Input!$AA$32*AN31,60)-0.00054*MIN(Input!$AA$32*AN31,60)^2,MIN(MAX(DEGREES(ASIN(0.8-0.094*LN(MAX(IF(AT31="",10,AT31),5)))),20),30))</f>
        <v/>
      </c>
      <c r="AX31" s="68">
        <f>IF(AM31="Sand",Input!$AA$33*Input!$AA$32*AN31,Input!$AA$34*AV31)</f>
        <v/>
      </c>
      <c r="AY31" s="68">
        <f>IF(AM31="Sand",Input!$AA$35,0.5)</f>
        <v/>
      </c>
      <c r="AZ31" s="68">
        <f>Input!$AA$15/2/AL31</f>
        <v/>
      </c>
      <c r="BA31" s="68">
        <f>Input!$AA$16/2/AL31</f>
        <v/>
      </c>
      <c r="BB31" s="68">
        <f>1/(4*PI())*(2*AZ31*BA31*SQRT(AZ31^2+BA31^2+1)/(AZ31^2+BA31^2+1+AZ31^2*BA31^2)*(AZ31^2+BA31^2+2)/(AZ31^2+BA31^2+1)+ATAN2(AZ31^2+BA31^2+1-AZ31^2*BA31^2,2*AZ31*BA31*SQRT(AZ31^2+BA31^2+1)))</f>
        <v/>
      </c>
      <c r="BC31" s="68">
        <f>4*Input!$AA$14*BB31</f>
        <v/>
      </c>
      <c r="BD31" s="68">
        <f>((Input!$AA$16/Input!$AA$15)*LN((1+SQRT((Input!$AA$16/Input!$AA$15)^2+1))*SQRT((Input!$AA$16/Input!$AA$15)^2+(AJ31/(Input!$AA$15/2))^2)/((Input!$AA$16/Input!$AA$15)*(1+SQRT((Input!$AA$16/Input!$AA$15)^2+(AJ31/(Input!$AA$15/2))^2+1))))+LN(((Input!$AA$16/Input!$AA$15)+SQRT((Input!$AA$16/Input!$AA$15)^2+1))*SQRT(1+(AJ31/(Input!$AA$15/2))^2)/((Input!$AA$16/Input!$AA$15)+SQRT((Input!$AA$16/Input!$AA$15)^2+(AJ31/(Input!$AA$15/2))^2+1))))/PI()</f>
        <v/>
      </c>
      <c r="BE31" s="68">
        <f>(AJ31/(Input!$AA$15/2))/(2*PI())*ATAN((Input!$AA$16/Input!$AA$15)/((AJ31/(Input!$AA$15/2))*SQRT((Input!$AA$16/Input!$AA$15)^2+(AJ31/(Input!$AA$15/2))^2+1)))</f>
        <v/>
      </c>
      <c r="BF31" s="68">
        <f>MAX(0,AJ31-MAX(AI31,$AA$22))/AK31*IF(BC31&gt;=Input!$AA$21*AQ31,1,0)</f>
        <v/>
      </c>
      <c r="BG31" s="68">
        <f>4*Input!$AA$14*(Input!$AA$15/2)*(1-AY31^2)/AX31*((BD31-BD30)+(1-2*AY31)/(1-AY31)*(BE31-BE30))*1000*BF31</f>
        <v/>
      </c>
      <c r="BH31" s="68">
        <f>IF(AM31="Sand",0,0.009*(AR31-10))</f>
        <v/>
      </c>
      <c r="BI31" s="68">
        <f>BH31*Input!$AA$36</f>
        <v/>
      </c>
      <c r="BJ31" s="68">
        <f>IF(AM31="Sand",0,MAX(AV31/Input!$AA$37,AQ31))</f>
        <v/>
      </c>
      <c r="BK31" s="68">
        <f>IF(AM31="Sand",0,1000*AK31/(1+AU31)*IF(AQ31+BC31&lt;=BJ31,BI31*LOG10((AQ31+BC31)/AQ31),BI31*LOG10(BJ31/AQ31)+BH31*LOG10((AQ31+BC31)/BJ31)))*BF31</f>
        <v/>
      </c>
      <c r="BL31" s="68">
        <f>IF(AM31="Sand",0,10^(INDEX(Input!$Q$48:$Q$54,MIN(MATCH(MIN(MAX(AR31,30),120),Input!$C$48:$C$54,1),6))+(MIN(MAX(AR31,30),120)-INDEX(Input!$C$48:$C$54,MIN(MATCH(MIN(MAX(AR31,30),120),Input!$C$48:$C$54,1),6)))/(INDEX(Input!$C$48:$C$54,MIN(MATCH(MIN(MAX(AR31,30),120),Input!$C$48:$C$54,1),6)+1)-INDEX(Input!$C$48:$C$54,MIN(MATCH(MIN(MAX(AR31,30),120),Input!$C$48:$C$54,1),6)))*(INDEX(Input!$Q$48:$Q$54,MIN(MATCH(MIN(MAX(AR31,30),120),Input!$C$48:$C$54,1),6)+1)-INDEX(Input!$Q$48:$Q$54,MIN(MATCH(MIN(MAX(AR31,30),120),Input!$C$48:$C$54,1),6)))))</f>
        <v/>
      </c>
      <c r="BM31" s="68">
        <f>IF(OR(AM31="Sand",BF31=0),0,Input!$AA$38*(AK31/2)^2/(BL31*1E-4*31536000))</f>
        <v/>
      </c>
      <c r="BN31" s="68">
        <f>MAX(0,MIN(AJ31,Input!$AA$20)-AI31)</f>
        <v/>
      </c>
      <c r="BO31" s="68">
        <f>MAX(0,MIN(AJ31,Input!$AA$20)-MAX(AI31,$AA$22))</f>
        <v/>
      </c>
      <c r="BP31" s="68">
        <f>MAX(0,MIN(AJ31,$AA$225)-AI31)</f>
        <v/>
      </c>
      <c r="BQ31" s="68" t="inlineStr"/>
    </row>
    <row r="32">
      <c r="B32" s="9" t="n"/>
      <c r="C32" s="57" t="n">
        <v>5</v>
      </c>
      <c r="D32" s="41" t="n"/>
      <c r="E32" s="55">
        <f>AI32</f>
        <v/>
      </c>
      <c r="F32" s="41" t="n"/>
      <c r="G32" s="41" t="n"/>
      <c r="H32" s="55">
        <f>AJ32</f>
        <v/>
      </c>
      <c r="I32" s="41" t="n"/>
      <c r="J32" s="41" t="n"/>
      <c r="K32" s="52">
        <f>AM32</f>
        <v/>
      </c>
      <c r="L32" s="41" t="n"/>
      <c r="M32" s="41" t="n"/>
      <c r="N32" s="57">
        <f>AN32</f>
        <v/>
      </c>
      <c r="O32" s="41" t="n"/>
      <c r="P32" s="41" t="n"/>
      <c r="Q32" s="53">
        <f>AO32</f>
        <v/>
      </c>
      <c r="R32" s="41" t="n"/>
      <c r="S32" s="41" t="n"/>
      <c r="T32" s="57">
        <f>IF(AR32="","-",AR32)</f>
        <v/>
      </c>
      <c r="U32" s="41" t="n"/>
      <c r="V32" s="57">
        <f>IF(AT32="","-",AT32)</f>
        <v/>
      </c>
      <c r="W32" s="41" t="n"/>
      <c r="X32" s="55">
        <f>AU32</f>
        <v/>
      </c>
      <c r="Y32" s="41" t="n"/>
      <c r="Z32" s="66">
        <f>AV32</f>
        <v/>
      </c>
      <c r="AA32" s="41" t="n"/>
      <c r="AB32" s="41" t="n"/>
      <c r="AC32" s="53">
        <f>AW32</f>
        <v/>
      </c>
      <c r="AD32" s="41" t="n"/>
      <c r="AE32" s="41" t="n"/>
      <c r="AF32" s="15" t="n"/>
      <c r="AI32" s="67" t="n">
        <v>6</v>
      </c>
      <c r="AJ32" s="67" t="n">
        <v>7.5</v>
      </c>
      <c r="AK32" s="68">
        <f>AJ32-AI32</f>
        <v/>
      </c>
      <c r="AL32" s="68">
        <f>(AI32+AJ32)/2</f>
        <v/>
      </c>
      <c r="AM32" s="67" t="inlineStr">
        <is>
          <t>Sand</t>
        </is>
      </c>
      <c r="AN32" s="67" t="n">
        <v>50</v>
      </c>
      <c r="AO32" s="68">
        <f>IF(AL32&gt;$AA$19,$AA$21,$AA$20)</f>
        <v/>
      </c>
      <c r="AP32" s="68">
        <f>AP31+AO32*AK32</f>
        <v/>
      </c>
      <c r="AQ32" s="68">
        <f>AP32-AO32*AK32/2-10*MAX(AL32-$AA$19,0)</f>
        <v/>
      </c>
      <c r="AR32" s="67" t="n"/>
      <c r="AS32" s="67" t="n"/>
      <c r="AT32" s="68">
        <f>IF(AR32="","",AR32-AS32)</f>
        <v/>
      </c>
      <c r="AU32" s="67" t="n">
        <v>0.503</v>
      </c>
      <c r="AV32" s="68">
        <f>IF(AM32="Sand",0,Input!$AA$31*AN32)</f>
        <v/>
      </c>
      <c r="AW32" s="68">
        <f>IF(AM32="Sand",27.1+0.3*MIN(Input!$AA$32*AN32,60)-0.00054*MIN(Input!$AA$32*AN32,60)^2,MIN(MAX(DEGREES(ASIN(0.8-0.094*LN(MAX(IF(AT32="",10,AT32),5)))),20),30))</f>
        <v/>
      </c>
      <c r="AX32" s="68">
        <f>IF(AM32="Sand",Input!$AA$33*Input!$AA$32*AN32,Input!$AA$34*AV32)</f>
        <v/>
      </c>
      <c r="AY32" s="68">
        <f>IF(AM32="Sand",Input!$AA$35,0.5)</f>
        <v/>
      </c>
      <c r="AZ32" s="68">
        <f>Input!$AA$15/2/AL32</f>
        <v/>
      </c>
      <c r="BA32" s="68">
        <f>Input!$AA$16/2/AL32</f>
        <v/>
      </c>
      <c r="BB32" s="68">
        <f>1/(4*PI())*(2*AZ32*BA32*SQRT(AZ32^2+BA32^2+1)/(AZ32^2+BA32^2+1+AZ32^2*BA32^2)*(AZ32^2+BA32^2+2)/(AZ32^2+BA32^2+1)+ATAN2(AZ32^2+BA32^2+1-AZ32^2*BA32^2,2*AZ32*BA32*SQRT(AZ32^2+BA32^2+1)))</f>
        <v/>
      </c>
      <c r="BC32" s="68">
        <f>4*Input!$AA$14*BB32</f>
        <v/>
      </c>
      <c r="BD32" s="68">
        <f>((Input!$AA$16/Input!$AA$15)*LN((1+SQRT((Input!$AA$16/Input!$AA$15)^2+1))*SQRT((Input!$AA$16/Input!$AA$15)^2+(AJ32/(Input!$AA$15/2))^2)/((Input!$AA$16/Input!$AA$15)*(1+SQRT((Input!$AA$16/Input!$AA$15)^2+(AJ32/(Input!$AA$15/2))^2+1))))+LN(((Input!$AA$16/Input!$AA$15)+SQRT((Input!$AA$16/Input!$AA$15)^2+1))*SQRT(1+(AJ32/(Input!$AA$15/2))^2)/((Input!$AA$16/Input!$AA$15)+SQRT((Input!$AA$16/Input!$AA$15)^2+(AJ32/(Input!$AA$15/2))^2+1))))/PI()</f>
        <v/>
      </c>
      <c r="BE32" s="68">
        <f>(AJ32/(Input!$AA$15/2))/(2*PI())*ATAN((Input!$AA$16/Input!$AA$15)/((AJ32/(Input!$AA$15/2))*SQRT((Input!$AA$16/Input!$AA$15)^2+(AJ32/(Input!$AA$15/2))^2+1)))</f>
        <v/>
      </c>
      <c r="BF32" s="68">
        <f>MAX(0,AJ32-MAX(AI32,$AA$22))/AK32*IF(BC32&gt;=Input!$AA$21*AQ32,1,0)</f>
        <v/>
      </c>
      <c r="BG32" s="68">
        <f>4*Input!$AA$14*(Input!$AA$15/2)*(1-AY32^2)/AX32*((BD32-BD31)+(1-2*AY32)/(1-AY32)*(BE32-BE31))*1000*BF32</f>
        <v/>
      </c>
      <c r="BH32" s="68">
        <f>IF(AM32="Sand",0,0.009*(AR32-10))</f>
        <v/>
      </c>
      <c r="BI32" s="68">
        <f>BH32*Input!$AA$36</f>
        <v/>
      </c>
      <c r="BJ32" s="68">
        <f>IF(AM32="Sand",0,MAX(AV32/Input!$AA$37,AQ32))</f>
        <v/>
      </c>
      <c r="BK32" s="68">
        <f>IF(AM32="Sand",0,1000*AK32/(1+AU32)*IF(AQ32+BC32&lt;=BJ32,BI32*LOG10((AQ32+BC32)/AQ32),BI32*LOG10(BJ32/AQ32)+BH32*LOG10((AQ32+BC32)/BJ32)))*BF32</f>
        <v/>
      </c>
      <c r="BL32" s="68">
        <f>IF(AM32="Sand",0,10^(INDEX(Input!$Q$48:$Q$54,MIN(MATCH(MIN(MAX(AR32,30),120),Input!$C$48:$C$54,1),6))+(MIN(MAX(AR32,30),120)-INDEX(Input!$C$48:$C$54,MIN(MATCH(MIN(MAX(AR32,30),120),Input!$C$48:$C$54,1),6)))/(INDEX(Input!$C$48:$C$54,MIN(MATCH(MIN(MAX(AR32,30),120),Input!$C$48:$C$54,1),6)+1)-INDEX(Input!$C$48:$C$54,MIN(MATCH(MIN(MAX(AR32,30),120),Input!$C$48:$C$54,1),6)))*(INDEX(Input!$Q$48:$Q$54,MIN(MATCH(MIN(MAX(AR32,30),120),Input!$C$48:$C$54,1),6)+1)-INDEX(Input!$Q$48:$Q$54,MIN(MATCH(MIN(MAX(AR32,30),120),Input!$C$48:$C$54,1),6)))))</f>
        <v/>
      </c>
      <c r="BM32" s="68">
        <f>IF(OR(AM32="Sand",BF32=0),0,Input!$AA$38*(AK32/2)^2/(BL32*1E-4*31536000))</f>
        <v/>
      </c>
      <c r="BN32" s="68">
        <f>MAX(0,MIN(AJ32,Input!$AA$20)-AI32)</f>
        <v/>
      </c>
      <c r="BO32" s="68">
        <f>MAX(0,MIN(AJ32,Input!$AA$20)-MAX(AI32,$AA$22))</f>
        <v/>
      </c>
      <c r="BP32" s="68">
        <f>MAX(0,MIN(AJ32,$AA$225)-AI32)</f>
        <v/>
      </c>
      <c r="BQ32" s="68" t="inlineStr"/>
    </row>
    <row r="33">
      <c r="B33" s="9" t="n"/>
      <c r="C33" s="57" t="n">
        <v>6</v>
      </c>
      <c r="D33" s="41" t="n"/>
      <c r="E33" s="55">
        <f>AI33</f>
        <v/>
      </c>
      <c r="F33" s="41" t="n"/>
      <c r="G33" s="41" t="n"/>
      <c r="H33" s="55">
        <f>AJ33</f>
        <v/>
      </c>
      <c r="I33" s="41" t="n"/>
      <c r="J33" s="41" t="n"/>
      <c r="K33" s="52">
        <f>AM33</f>
        <v/>
      </c>
      <c r="L33" s="41" t="n"/>
      <c r="M33" s="41" t="n"/>
      <c r="N33" s="57">
        <f>AN33</f>
        <v/>
      </c>
      <c r="O33" s="41" t="n"/>
      <c r="P33" s="41" t="n"/>
      <c r="Q33" s="53">
        <f>AO33</f>
        <v/>
      </c>
      <c r="R33" s="41" t="n"/>
      <c r="S33" s="41" t="n"/>
      <c r="T33" s="57">
        <f>IF(AR33="","-",AR33)</f>
        <v/>
      </c>
      <c r="U33" s="41" t="n"/>
      <c r="V33" s="57">
        <f>IF(AT33="","-",AT33)</f>
        <v/>
      </c>
      <c r="W33" s="41" t="n"/>
      <c r="X33" s="55">
        <f>AU33</f>
        <v/>
      </c>
      <c r="Y33" s="41" t="n"/>
      <c r="Z33" s="66">
        <f>AV33</f>
        <v/>
      </c>
      <c r="AA33" s="41" t="n"/>
      <c r="AB33" s="41" t="n"/>
      <c r="AC33" s="53">
        <f>AW33</f>
        <v/>
      </c>
      <c r="AD33" s="41" t="n"/>
      <c r="AE33" s="41" t="n"/>
      <c r="AF33" s="15" t="n"/>
      <c r="AI33" s="67" t="n">
        <v>7.5</v>
      </c>
      <c r="AJ33" s="67" t="n">
        <v>9</v>
      </c>
      <c r="AK33" s="68">
        <f>AJ33-AI33</f>
        <v/>
      </c>
      <c r="AL33" s="68">
        <f>(AI33+AJ33)/2</f>
        <v/>
      </c>
      <c r="AM33" s="67" t="inlineStr">
        <is>
          <t>Sand</t>
        </is>
      </c>
      <c r="AN33" s="67" t="n">
        <v>26</v>
      </c>
      <c r="AO33" s="68">
        <f>IF(AL33&gt;$AA$19,$AA$21,$AA$20)</f>
        <v/>
      </c>
      <c r="AP33" s="68">
        <f>AP32+AO33*AK33</f>
        <v/>
      </c>
      <c r="AQ33" s="68">
        <f>AP33-AO33*AK33/2-10*MAX(AL33-$AA$19,0)</f>
        <v/>
      </c>
      <c r="AR33" s="67" t="n"/>
      <c r="AS33" s="67" t="n"/>
      <c r="AT33" s="68">
        <f>IF(AR33="","",AR33-AS33)</f>
        <v/>
      </c>
      <c r="AU33" s="67" t="n">
        <v>0.65</v>
      </c>
      <c r="AV33" s="68">
        <f>IF(AM33="Sand",0,Input!$AA$31*AN33)</f>
        <v/>
      </c>
      <c r="AW33" s="68">
        <f>IF(AM33="Sand",27.1+0.3*MIN(Input!$AA$32*AN33,60)-0.00054*MIN(Input!$AA$32*AN33,60)^2,MIN(MAX(DEGREES(ASIN(0.8-0.094*LN(MAX(IF(AT33="",10,AT33),5)))),20),30))</f>
        <v/>
      </c>
      <c r="AX33" s="68">
        <f>IF(AM33="Sand",Input!$AA$33*Input!$AA$32*AN33,Input!$AA$34*AV33)</f>
        <v/>
      </c>
      <c r="AY33" s="68">
        <f>IF(AM33="Sand",Input!$AA$35,0.5)</f>
        <v/>
      </c>
      <c r="AZ33" s="68">
        <f>Input!$AA$15/2/AL33</f>
        <v/>
      </c>
      <c r="BA33" s="68">
        <f>Input!$AA$16/2/AL33</f>
        <v/>
      </c>
      <c r="BB33" s="68">
        <f>1/(4*PI())*(2*AZ33*BA33*SQRT(AZ33^2+BA33^2+1)/(AZ33^2+BA33^2+1+AZ33^2*BA33^2)*(AZ33^2+BA33^2+2)/(AZ33^2+BA33^2+1)+ATAN2(AZ33^2+BA33^2+1-AZ33^2*BA33^2,2*AZ33*BA33*SQRT(AZ33^2+BA33^2+1)))</f>
        <v/>
      </c>
      <c r="BC33" s="68">
        <f>4*Input!$AA$14*BB33</f>
        <v/>
      </c>
      <c r="BD33" s="68">
        <f>((Input!$AA$16/Input!$AA$15)*LN((1+SQRT((Input!$AA$16/Input!$AA$15)^2+1))*SQRT((Input!$AA$16/Input!$AA$15)^2+(AJ33/(Input!$AA$15/2))^2)/((Input!$AA$16/Input!$AA$15)*(1+SQRT((Input!$AA$16/Input!$AA$15)^2+(AJ33/(Input!$AA$15/2))^2+1))))+LN(((Input!$AA$16/Input!$AA$15)+SQRT((Input!$AA$16/Input!$AA$15)^2+1))*SQRT(1+(AJ33/(Input!$AA$15/2))^2)/((Input!$AA$16/Input!$AA$15)+SQRT((Input!$AA$16/Input!$AA$15)^2+(AJ33/(Input!$AA$15/2))^2+1))))/PI()</f>
        <v/>
      </c>
      <c r="BE33" s="68">
        <f>(AJ33/(Input!$AA$15/2))/(2*PI())*ATAN((Input!$AA$16/Input!$AA$15)/((AJ33/(Input!$AA$15/2))*SQRT((Input!$AA$16/Input!$AA$15)^2+(AJ33/(Input!$AA$15/2))^2+1)))</f>
        <v/>
      </c>
      <c r="BF33" s="68">
        <f>MAX(0,AJ33-MAX(AI33,$AA$22))/AK33*IF(BC33&gt;=Input!$AA$21*AQ33,1,0)</f>
        <v/>
      </c>
      <c r="BG33" s="68">
        <f>4*Input!$AA$14*(Input!$AA$15/2)*(1-AY33^2)/AX33*((BD33-BD32)+(1-2*AY33)/(1-AY33)*(BE33-BE32))*1000*BF33</f>
        <v/>
      </c>
      <c r="BH33" s="68">
        <f>IF(AM33="Sand",0,0.009*(AR33-10))</f>
        <v/>
      </c>
      <c r="BI33" s="68">
        <f>BH33*Input!$AA$36</f>
        <v/>
      </c>
      <c r="BJ33" s="68">
        <f>IF(AM33="Sand",0,MAX(AV33/Input!$AA$37,AQ33))</f>
        <v/>
      </c>
      <c r="BK33" s="68">
        <f>IF(AM33="Sand",0,1000*AK33/(1+AU33)*IF(AQ33+BC33&lt;=BJ33,BI33*LOG10((AQ33+BC33)/AQ33),BI33*LOG10(BJ33/AQ33)+BH33*LOG10((AQ33+BC33)/BJ33)))*BF33</f>
        <v/>
      </c>
      <c r="BL33" s="68">
        <f>IF(AM33="Sand",0,10^(INDEX(Input!$Q$48:$Q$54,MIN(MATCH(MIN(MAX(AR33,30),120),Input!$C$48:$C$54,1),6))+(MIN(MAX(AR33,30),120)-INDEX(Input!$C$48:$C$54,MIN(MATCH(MIN(MAX(AR33,30),120),Input!$C$48:$C$54,1),6)))/(INDEX(Input!$C$48:$C$54,MIN(MATCH(MIN(MAX(AR33,30),120),Input!$C$48:$C$54,1),6)+1)-INDEX(Input!$C$48:$C$54,MIN(MATCH(MIN(MAX(AR33,30),120),Input!$C$48:$C$54,1),6)))*(INDEX(Input!$Q$48:$Q$54,MIN(MATCH(MIN(MAX(AR33,30),120),Input!$C$48:$C$54,1),6)+1)-INDEX(Input!$Q$48:$Q$54,MIN(MATCH(MIN(MAX(AR33,30),120),Input!$C$48:$C$54,1),6)))))</f>
        <v/>
      </c>
      <c r="BM33" s="68">
        <f>IF(OR(AM33="Sand",BF33=0),0,Input!$AA$38*(AK33/2)^2/(BL33*1E-4*31536000))</f>
        <v/>
      </c>
      <c r="BN33" s="68">
        <f>MAX(0,MIN(AJ33,Input!$AA$20)-AI33)</f>
        <v/>
      </c>
      <c r="BO33" s="68">
        <f>MAX(0,MIN(AJ33,Input!$AA$20)-MAX(AI33,$AA$22))</f>
        <v/>
      </c>
      <c r="BP33" s="68">
        <f>MAX(0,MIN(AJ33,$AA$225)-AI33)</f>
        <v/>
      </c>
      <c r="BQ33" s="68" t="inlineStr"/>
    </row>
    <row r="34">
      <c r="B34" s="9" t="n"/>
      <c r="C34" s="57" t="n">
        <v>7</v>
      </c>
      <c r="D34" s="41" t="n"/>
      <c r="E34" s="55">
        <f>AI34</f>
        <v/>
      </c>
      <c r="F34" s="41" t="n"/>
      <c r="G34" s="41" t="n"/>
      <c r="H34" s="55">
        <f>AJ34</f>
        <v/>
      </c>
      <c r="I34" s="41" t="n"/>
      <c r="J34" s="41" t="n"/>
      <c r="K34" s="52">
        <f>AM34</f>
        <v/>
      </c>
      <c r="L34" s="41" t="n"/>
      <c r="M34" s="41" t="n"/>
      <c r="N34" s="57">
        <f>AN34</f>
        <v/>
      </c>
      <c r="O34" s="41" t="n"/>
      <c r="P34" s="41" t="n"/>
      <c r="Q34" s="53">
        <f>AO34</f>
        <v/>
      </c>
      <c r="R34" s="41" t="n"/>
      <c r="S34" s="41" t="n"/>
      <c r="T34" s="57">
        <f>IF(AR34="","-",AR34)</f>
        <v/>
      </c>
      <c r="U34" s="41" t="n"/>
      <c r="V34" s="57">
        <f>IF(AT34="","-",AT34)</f>
        <v/>
      </c>
      <c r="W34" s="41" t="n"/>
      <c r="X34" s="55">
        <f>AU34</f>
        <v/>
      </c>
      <c r="Y34" s="41" t="n"/>
      <c r="Z34" s="66">
        <f>AV34</f>
        <v/>
      </c>
      <c r="AA34" s="41" t="n"/>
      <c r="AB34" s="41" t="n"/>
      <c r="AC34" s="53">
        <f>AW34</f>
        <v/>
      </c>
      <c r="AD34" s="41" t="n"/>
      <c r="AE34" s="41" t="n"/>
      <c r="AF34" s="15" t="n"/>
      <c r="AI34" s="67" t="n">
        <v>9</v>
      </c>
      <c r="AJ34" s="67" t="n">
        <v>10.5</v>
      </c>
      <c r="AK34" s="68">
        <f>AJ34-AI34</f>
        <v/>
      </c>
      <c r="AL34" s="68">
        <f>(AI34+AJ34)/2</f>
        <v/>
      </c>
      <c r="AM34" s="67" t="inlineStr">
        <is>
          <t>Sand</t>
        </is>
      </c>
      <c r="AN34" s="67" t="n">
        <v>15</v>
      </c>
      <c r="AO34" s="68">
        <f>IF(AL34&gt;$AA$19,$AA$21,$AA$20)</f>
        <v/>
      </c>
      <c r="AP34" s="68">
        <f>AP33+AO34*AK34</f>
        <v/>
      </c>
      <c r="AQ34" s="68">
        <f>AP34-AO34*AK34/2-10*MAX(AL34-$AA$19,0)</f>
        <v/>
      </c>
      <c r="AR34" s="67" t="n"/>
      <c r="AS34" s="67" t="n"/>
      <c r="AT34" s="68">
        <f>IF(AR34="","",AR34-AS34)</f>
        <v/>
      </c>
      <c r="AU34" s="67" t="n">
        <v>0.787</v>
      </c>
      <c r="AV34" s="68">
        <f>IF(AM34="Sand",0,Input!$AA$31*AN34)</f>
        <v/>
      </c>
      <c r="AW34" s="68">
        <f>IF(AM34="Sand",27.1+0.3*MIN(Input!$AA$32*AN34,60)-0.00054*MIN(Input!$AA$32*AN34,60)^2,MIN(MAX(DEGREES(ASIN(0.8-0.094*LN(MAX(IF(AT34="",10,AT34),5)))),20),30))</f>
        <v/>
      </c>
      <c r="AX34" s="68">
        <f>IF(AM34="Sand",Input!$AA$33*Input!$AA$32*AN34,Input!$AA$34*AV34)</f>
        <v/>
      </c>
      <c r="AY34" s="68">
        <f>IF(AM34="Sand",Input!$AA$35,0.5)</f>
        <v/>
      </c>
      <c r="AZ34" s="68">
        <f>Input!$AA$15/2/AL34</f>
        <v/>
      </c>
      <c r="BA34" s="68">
        <f>Input!$AA$16/2/AL34</f>
        <v/>
      </c>
      <c r="BB34" s="68">
        <f>1/(4*PI())*(2*AZ34*BA34*SQRT(AZ34^2+BA34^2+1)/(AZ34^2+BA34^2+1+AZ34^2*BA34^2)*(AZ34^2+BA34^2+2)/(AZ34^2+BA34^2+1)+ATAN2(AZ34^2+BA34^2+1-AZ34^2*BA34^2,2*AZ34*BA34*SQRT(AZ34^2+BA34^2+1)))</f>
        <v/>
      </c>
      <c r="BC34" s="68">
        <f>4*Input!$AA$14*BB34</f>
        <v/>
      </c>
      <c r="BD34" s="68">
        <f>((Input!$AA$16/Input!$AA$15)*LN((1+SQRT((Input!$AA$16/Input!$AA$15)^2+1))*SQRT((Input!$AA$16/Input!$AA$15)^2+(AJ34/(Input!$AA$15/2))^2)/((Input!$AA$16/Input!$AA$15)*(1+SQRT((Input!$AA$16/Input!$AA$15)^2+(AJ34/(Input!$AA$15/2))^2+1))))+LN(((Input!$AA$16/Input!$AA$15)+SQRT((Input!$AA$16/Input!$AA$15)^2+1))*SQRT(1+(AJ34/(Input!$AA$15/2))^2)/((Input!$AA$16/Input!$AA$15)+SQRT((Input!$AA$16/Input!$AA$15)^2+(AJ34/(Input!$AA$15/2))^2+1))))/PI()</f>
        <v/>
      </c>
      <c r="BE34" s="68">
        <f>(AJ34/(Input!$AA$15/2))/(2*PI())*ATAN((Input!$AA$16/Input!$AA$15)/((AJ34/(Input!$AA$15/2))*SQRT((Input!$AA$16/Input!$AA$15)^2+(AJ34/(Input!$AA$15/2))^2+1)))</f>
        <v/>
      </c>
      <c r="BF34" s="68">
        <f>MAX(0,AJ34-MAX(AI34,$AA$22))/AK34*IF(BC34&gt;=Input!$AA$21*AQ34,1,0)</f>
        <v/>
      </c>
      <c r="BG34" s="68">
        <f>4*Input!$AA$14*(Input!$AA$15/2)*(1-AY34^2)/AX34*((BD34-BD33)+(1-2*AY34)/(1-AY34)*(BE34-BE33))*1000*BF34</f>
        <v/>
      </c>
      <c r="BH34" s="68">
        <f>IF(AM34="Sand",0,0.009*(AR34-10))</f>
        <v/>
      </c>
      <c r="BI34" s="68">
        <f>BH34*Input!$AA$36</f>
        <v/>
      </c>
      <c r="BJ34" s="68">
        <f>IF(AM34="Sand",0,MAX(AV34/Input!$AA$37,AQ34))</f>
        <v/>
      </c>
      <c r="BK34" s="68">
        <f>IF(AM34="Sand",0,1000*AK34/(1+AU34)*IF(AQ34+BC34&lt;=BJ34,BI34*LOG10((AQ34+BC34)/AQ34),BI34*LOG10(BJ34/AQ34)+BH34*LOG10((AQ34+BC34)/BJ34)))*BF34</f>
        <v/>
      </c>
      <c r="BL34" s="68">
        <f>IF(AM34="Sand",0,10^(INDEX(Input!$Q$48:$Q$54,MIN(MATCH(MIN(MAX(AR34,30),120),Input!$C$48:$C$54,1),6))+(MIN(MAX(AR34,30),120)-INDEX(Input!$C$48:$C$54,MIN(MATCH(MIN(MAX(AR34,30),120),Input!$C$48:$C$54,1),6)))/(INDEX(Input!$C$48:$C$54,MIN(MATCH(MIN(MAX(AR34,30),120),Input!$C$48:$C$54,1),6)+1)-INDEX(Input!$C$48:$C$54,MIN(MATCH(MIN(MAX(AR34,30),120),Input!$C$48:$C$54,1),6)))*(INDEX(Input!$Q$48:$Q$54,MIN(MATCH(MIN(MAX(AR34,30),120),Input!$C$48:$C$54,1),6)+1)-INDEX(Input!$Q$48:$Q$54,MIN(MATCH(MIN(MAX(AR34,30),120),Input!$C$48:$C$54,1),6)))))</f>
        <v/>
      </c>
      <c r="BM34" s="68">
        <f>IF(OR(AM34="Sand",BF34=0),0,Input!$AA$38*(AK34/2)^2/(BL34*1E-4*31536000))</f>
        <v/>
      </c>
      <c r="BN34" s="68">
        <f>MAX(0,MIN(AJ34,Input!$AA$20)-AI34)</f>
        <v/>
      </c>
      <c r="BO34" s="68">
        <f>MAX(0,MIN(AJ34,Input!$AA$20)-MAX(AI34,$AA$22))</f>
        <v/>
      </c>
      <c r="BP34" s="68">
        <f>MAX(0,MIN(AJ34,$AA$225)-AI34)</f>
        <v/>
      </c>
      <c r="BQ34" s="68" t="inlineStr"/>
    </row>
    <row r="35">
      <c r="B35" s="9" t="n"/>
      <c r="C35" s="57" t="n">
        <v>8</v>
      </c>
      <c r="D35" s="41" t="n"/>
      <c r="E35" s="55">
        <f>AI35</f>
        <v/>
      </c>
      <c r="F35" s="41" t="n"/>
      <c r="G35" s="41" t="n"/>
      <c r="H35" s="55">
        <f>AJ35</f>
        <v/>
      </c>
      <c r="I35" s="41" t="n"/>
      <c r="J35" s="41" t="n"/>
      <c r="K35" s="52">
        <f>AM35</f>
        <v/>
      </c>
      <c r="L35" s="41" t="n"/>
      <c r="M35" s="41" t="n"/>
      <c r="N35" s="57">
        <f>AN35</f>
        <v/>
      </c>
      <c r="O35" s="41" t="n"/>
      <c r="P35" s="41" t="n"/>
      <c r="Q35" s="53">
        <f>AO35</f>
        <v/>
      </c>
      <c r="R35" s="41" t="n"/>
      <c r="S35" s="41" t="n"/>
      <c r="T35" s="57">
        <f>IF(AR35="","-",AR35)</f>
        <v/>
      </c>
      <c r="U35" s="41" t="n"/>
      <c r="V35" s="57">
        <f>IF(AT35="","-",AT35)</f>
        <v/>
      </c>
      <c r="W35" s="41" t="n"/>
      <c r="X35" s="55">
        <f>AU35</f>
        <v/>
      </c>
      <c r="Y35" s="41" t="n"/>
      <c r="Z35" s="66">
        <f>AV35</f>
        <v/>
      </c>
      <c r="AA35" s="41" t="n"/>
      <c r="AB35" s="41" t="n"/>
      <c r="AC35" s="53">
        <f>AW35</f>
        <v/>
      </c>
      <c r="AD35" s="41" t="n"/>
      <c r="AE35" s="41" t="n"/>
      <c r="AF35" s="15" t="n"/>
      <c r="AI35" s="67" t="n">
        <v>10.5</v>
      </c>
      <c r="AJ35" s="67" t="n">
        <v>12</v>
      </c>
      <c r="AK35" s="68">
        <f>AJ35-AI35</f>
        <v/>
      </c>
      <c r="AL35" s="68">
        <f>(AI35+AJ35)/2</f>
        <v/>
      </c>
      <c r="AM35" s="67" t="inlineStr">
        <is>
          <t>Sand</t>
        </is>
      </c>
      <c r="AN35" s="67" t="n">
        <v>25</v>
      </c>
      <c r="AO35" s="68">
        <f>IF(AL35&gt;$AA$19,$AA$21,$AA$20)</f>
        <v/>
      </c>
      <c r="AP35" s="68">
        <f>AP34+AO35*AK35</f>
        <v/>
      </c>
      <c r="AQ35" s="68">
        <f>AP35-AO35*AK35/2-10*MAX(AL35-$AA$19,0)</f>
        <v/>
      </c>
      <c r="AR35" s="67" t="n"/>
      <c r="AS35" s="67" t="n"/>
      <c r="AT35" s="68">
        <f>IF(AR35="","",AR35-AS35)</f>
        <v/>
      </c>
      <c r="AU35" s="67" t="n">
        <v>0.645</v>
      </c>
      <c r="AV35" s="68">
        <f>IF(AM35="Sand",0,Input!$AA$31*AN35)</f>
        <v/>
      </c>
      <c r="AW35" s="68">
        <f>IF(AM35="Sand",27.1+0.3*MIN(Input!$AA$32*AN35,60)-0.00054*MIN(Input!$AA$32*AN35,60)^2,MIN(MAX(DEGREES(ASIN(0.8-0.094*LN(MAX(IF(AT35="",10,AT35),5)))),20),30))</f>
        <v/>
      </c>
      <c r="AX35" s="68">
        <f>IF(AM35="Sand",Input!$AA$33*Input!$AA$32*AN35,Input!$AA$34*AV35)</f>
        <v/>
      </c>
      <c r="AY35" s="68">
        <f>IF(AM35="Sand",Input!$AA$35,0.5)</f>
        <v/>
      </c>
      <c r="AZ35" s="68">
        <f>Input!$AA$15/2/AL35</f>
        <v/>
      </c>
      <c r="BA35" s="68">
        <f>Input!$AA$16/2/AL35</f>
        <v/>
      </c>
      <c r="BB35" s="68">
        <f>1/(4*PI())*(2*AZ35*BA35*SQRT(AZ35^2+BA35^2+1)/(AZ35^2+BA35^2+1+AZ35^2*BA35^2)*(AZ35^2+BA35^2+2)/(AZ35^2+BA35^2+1)+ATAN2(AZ35^2+BA35^2+1-AZ35^2*BA35^2,2*AZ35*BA35*SQRT(AZ35^2+BA35^2+1)))</f>
        <v/>
      </c>
      <c r="BC35" s="68">
        <f>4*Input!$AA$14*BB35</f>
        <v/>
      </c>
      <c r="BD35" s="68">
        <f>((Input!$AA$16/Input!$AA$15)*LN((1+SQRT((Input!$AA$16/Input!$AA$15)^2+1))*SQRT((Input!$AA$16/Input!$AA$15)^2+(AJ35/(Input!$AA$15/2))^2)/((Input!$AA$16/Input!$AA$15)*(1+SQRT((Input!$AA$16/Input!$AA$15)^2+(AJ35/(Input!$AA$15/2))^2+1))))+LN(((Input!$AA$16/Input!$AA$15)+SQRT((Input!$AA$16/Input!$AA$15)^2+1))*SQRT(1+(AJ35/(Input!$AA$15/2))^2)/((Input!$AA$16/Input!$AA$15)+SQRT((Input!$AA$16/Input!$AA$15)^2+(AJ35/(Input!$AA$15/2))^2+1))))/PI()</f>
        <v/>
      </c>
      <c r="BE35" s="68">
        <f>(AJ35/(Input!$AA$15/2))/(2*PI())*ATAN((Input!$AA$16/Input!$AA$15)/((AJ35/(Input!$AA$15/2))*SQRT((Input!$AA$16/Input!$AA$15)^2+(AJ35/(Input!$AA$15/2))^2+1)))</f>
        <v/>
      </c>
      <c r="BF35" s="68">
        <f>MAX(0,AJ35-MAX(AI35,$AA$22))/AK35*IF(BC35&gt;=Input!$AA$21*AQ35,1,0)</f>
        <v/>
      </c>
      <c r="BG35" s="68">
        <f>4*Input!$AA$14*(Input!$AA$15/2)*(1-AY35^2)/AX35*((BD35-BD34)+(1-2*AY35)/(1-AY35)*(BE35-BE34))*1000*BF35</f>
        <v/>
      </c>
      <c r="BH35" s="68">
        <f>IF(AM35="Sand",0,0.009*(AR35-10))</f>
        <v/>
      </c>
      <c r="BI35" s="68">
        <f>BH35*Input!$AA$36</f>
        <v/>
      </c>
      <c r="BJ35" s="68">
        <f>IF(AM35="Sand",0,MAX(AV35/Input!$AA$37,AQ35))</f>
        <v/>
      </c>
      <c r="BK35" s="68">
        <f>IF(AM35="Sand",0,1000*AK35/(1+AU35)*IF(AQ35+BC35&lt;=BJ35,BI35*LOG10((AQ35+BC35)/AQ35),BI35*LOG10(BJ35/AQ35)+BH35*LOG10((AQ35+BC35)/BJ35)))*BF35</f>
        <v/>
      </c>
      <c r="BL35" s="68">
        <f>IF(AM35="Sand",0,10^(INDEX(Input!$Q$48:$Q$54,MIN(MATCH(MIN(MAX(AR35,30),120),Input!$C$48:$C$54,1),6))+(MIN(MAX(AR35,30),120)-INDEX(Input!$C$48:$C$54,MIN(MATCH(MIN(MAX(AR35,30),120),Input!$C$48:$C$54,1),6)))/(INDEX(Input!$C$48:$C$54,MIN(MATCH(MIN(MAX(AR35,30),120),Input!$C$48:$C$54,1),6)+1)-INDEX(Input!$C$48:$C$54,MIN(MATCH(MIN(MAX(AR35,30),120),Input!$C$48:$C$54,1),6)))*(INDEX(Input!$Q$48:$Q$54,MIN(MATCH(MIN(MAX(AR35,30),120),Input!$C$48:$C$54,1),6)+1)-INDEX(Input!$Q$48:$Q$54,MIN(MATCH(MIN(MAX(AR35,30),120),Input!$C$48:$C$54,1),6)))))</f>
        <v/>
      </c>
      <c r="BM35" s="68">
        <f>IF(OR(AM35="Sand",BF35=0),0,Input!$AA$38*(AK35/2)^2/(BL35*1E-4*31536000))</f>
        <v/>
      </c>
      <c r="BN35" s="68">
        <f>MAX(0,MIN(AJ35,Input!$AA$20)-AI35)</f>
        <v/>
      </c>
      <c r="BO35" s="68">
        <f>MAX(0,MIN(AJ35,Input!$AA$20)-MAX(AI35,$AA$22))</f>
        <v/>
      </c>
      <c r="BP35" s="68">
        <f>MAX(0,MIN(AJ35,$AA$225)-AI35)</f>
        <v/>
      </c>
      <c r="BQ35" s="68" t="inlineStr"/>
    </row>
    <row r="36">
      <c r="B36" s="9" t="n"/>
      <c r="C36" s="57" t="n">
        <v>9</v>
      </c>
      <c r="D36" s="41" t="n"/>
      <c r="E36" s="55">
        <f>AI36</f>
        <v/>
      </c>
      <c r="F36" s="41" t="n"/>
      <c r="G36" s="41" t="n"/>
      <c r="H36" s="55">
        <f>AJ36</f>
        <v/>
      </c>
      <c r="I36" s="41" t="n"/>
      <c r="J36" s="41" t="n"/>
      <c r="K36" s="52">
        <f>AM36</f>
        <v/>
      </c>
      <c r="L36" s="41" t="n"/>
      <c r="M36" s="41" t="n"/>
      <c r="N36" s="57">
        <f>AN36</f>
        <v/>
      </c>
      <c r="O36" s="41" t="n"/>
      <c r="P36" s="41" t="n"/>
      <c r="Q36" s="53">
        <f>AO36</f>
        <v/>
      </c>
      <c r="R36" s="41" t="n"/>
      <c r="S36" s="41" t="n"/>
      <c r="T36" s="57">
        <f>IF(AR36="","-",AR36)</f>
        <v/>
      </c>
      <c r="U36" s="41" t="n"/>
      <c r="V36" s="57">
        <f>IF(AT36="","-",AT36)</f>
        <v/>
      </c>
      <c r="W36" s="41" t="n"/>
      <c r="X36" s="55">
        <f>AU36</f>
        <v/>
      </c>
      <c r="Y36" s="41" t="n"/>
      <c r="Z36" s="66">
        <f>AV36</f>
        <v/>
      </c>
      <c r="AA36" s="41" t="n"/>
      <c r="AB36" s="41" t="n"/>
      <c r="AC36" s="53">
        <f>AW36</f>
        <v/>
      </c>
      <c r="AD36" s="41" t="n"/>
      <c r="AE36" s="41" t="n"/>
      <c r="AF36" s="15" t="n"/>
      <c r="AI36" s="67" t="n">
        <v>12</v>
      </c>
      <c r="AJ36" s="67" t="n">
        <v>13.5</v>
      </c>
      <c r="AK36" s="68">
        <f>AJ36-AI36</f>
        <v/>
      </c>
      <c r="AL36" s="68">
        <f>(AI36+AJ36)/2</f>
        <v/>
      </c>
      <c r="AM36" s="67" t="inlineStr">
        <is>
          <t>Sand</t>
        </is>
      </c>
      <c r="AN36" s="67" t="n">
        <v>20</v>
      </c>
      <c r="AO36" s="68">
        <f>IF(AL36&gt;$AA$19,$AA$21,$AA$20)</f>
        <v/>
      </c>
      <c r="AP36" s="68">
        <f>AP35+AO36*AK36</f>
        <v/>
      </c>
      <c r="AQ36" s="68">
        <f>AP36-AO36*AK36/2-10*MAX(AL36-$AA$19,0)</f>
        <v/>
      </c>
      <c r="AR36" s="67" t="n"/>
      <c r="AS36" s="67" t="n"/>
      <c r="AT36" s="68">
        <f>IF(AR36="","",AR36-AS36)</f>
        <v/>
      </c>
      <c r="AU36" s="67" t="n">
        <v>0.628</v>
      </c>
      <c r="AV36" s="68">
        <f>IF(AM36="Sand",0,Input!$AA$31*AN36)</f>
        <v/>
      </c>
      <c r="AW36" s="68">
        <f>IF(AM36="Sand",27.1+0.3*MIN(Input!$AA$32*AN36,60)-0.00054*MIN(Input!$AA$32*AN36,60)^2,MIN(MAX(DEGREES(ASIN(0.8-0.094*LN(MAX(IF(AT36="",10,AT36),5)))),20),30))</f>
        <v/>
      </c>
      <c r="AX36" s="68">
        <f>IF(AM36="Sand",Input!$AA$33*Input!$AA$32*AN36,Input!$AA$34*AV36)</f>
        <v/>
      </c>
      <c r="AY36" s="68">
        <f>IF(AM36="Sand",Input!$AA$35,0.5)</f>
        <v/>
      </c>
      <c r="AZ36" s="68">
        <f>Input!$AA$15/2/AL36</f>
        <v/>
      </c>
      <c r="BA36" s="68">
        <f>Input!$AA$16/2/AL36</f>
        <v/>
      </c>
      <c r="BB36" s="68">
        <f>1/(4*PI())*(2*AZ36*BA36*SQRT(AZ36^2+BA36^2+1)/(AZ36^2+BA36^2+1+AZ36^2*BA36^2)*(AZ36^2+BA36^2+2)/(AZ36^2+BA36^2+1)+ATAN2(AZ36^2+BA36^2+1-AZ36^2*BA36^2,2*AZ36*BA36*SQRT(AZ36^2+BA36^2+1)))</f>
        <v/>
      </c>
      <c r="BC36" s="68">
        <f>4*Input!$AA$14*BB36</f>
        <v/>
      </c>
      <c r="BD36" s="68">
        <f>((Input!$AA$16/Input!$AA$15)*LN((1+SQRT((Input!$AA$16/Input!$AA$15)^2+1))*SQRT((Input!$AA$16/Input!$AA$15)^2+(AJ36/(Input!$AA$15/2))^2)/((Input!$AA$16/Input!$AA$15)*(1+SQRT((Input!$AA$16/Input!$AA$15)^2+(AJ36/(Input!$AA$15/2))^2+1))))+LN(((Input!$AA$16/Input!$AA$15)+SQRT((Input!$AA$16/Input!$AA$15)^2+1))*SQRT(1+(AJ36/(Input!$AA$15/2))^2)/((Input!$AA$16/Input!$AA$15)+SQRT((Input!$AA$16/Input!$AA$15)^2+(AJ36/(Input!$AA$15/2))^2+1))))/PI()</f>
        <v/>
      </c>
      <c r="BE36" s="68">
        <f>(AJ36/(Input!$AA$15/2))/(2*PI())*ATAN((Input!$AA$16/Input!$AA$15)/((AJ36/(Input!$AA$15/2))*SQRT((Input!$AA$16/Input!$AA$15)^2+(AJ36/(Input!$AA$15/2))^2+1)))</f>
        <v/>
      </c>
      <c r="BF36" s="68">
        <f>MAX(0,AJ36-MAX(AI36,$AA$22))/AK36*IF(BC36&gt;=Input!$AA$21*AQ36,1,0)</f>
        <v/>
      </c>
      <c r="BG36" s="68">
        <f>4*Input!$AA$14*(Input!$AA$15/2)*(1-AY36^2)/AX36*((BD36-BD35)+(1-2*AY36)/(1-AY36)*(BE36-BE35))*1000*BF36</f>
        <v/>
      </c>
      <c r="BH36" s="68">
        <f>IF(AM36="Sand",0,0.009*(AR36-10))</f>
        <v/>
      </c>
      <c r="BI36" s="68">
        <f>BH36*Input!$AA$36</f>
        <v/>
      </c>
      <c r="BJ36" s="68">
        <f>IF(AM36="Sand",0,MAX(AV36/Input!$AA$37,AQ36))</f>
        <v/>
      </c>
      <c r="BK36" s="68">
        <f>IF(AM36="Sand",0,1000*AK36/(1+AU36)*IF(AQ36+BC36&lt;=BJ36,BI36*LOG10((AQ36+BC36)/AQ36),BI36*LOG10(BJ36/AQ36)+BH36*LOG10((AQ36+BC36)/BJ36)))*BF36</f>
        <v/>
      </c>
      <c r="BL36" s="68">
        <f>IF(AM36="Sand",0,10^(INDEX(Input!$Q$48:$Q$54,MIN(MATCH(MIN(MAX(AR36,30),120),Input!$C$48:$C$54,1),6))+(MIN(MAX(AR36,30),120)-INDEX(Input!$C$48:$C$54,MIN(MATCH(MIN(MAX(AR36,30),120),Input!$C$48:$C$54,1),6)))/(INDEX(Input!$C$48:$C$54,MIN(MATCH(MIN(MAX(AR36,30),120),Input!$C$48:$C$54,1),6)+1)-INDEX(Input!$C$48:$C$54,MIN(MATCH(MIN(MAX(AR36,30),120),Input!$C$48:$C$54,1),6)))*(INDEX(Input!$Q$48:$Q$54,MIN(MATCH(MIN(MAX(AR36,30),120),Input!$C$48:$C$54,1),6)+1)-INDEX(Input!$Q$48:$Q$54,MIN(MATCH(MIN(MAX(AR36,30),120),Input!$C$48:$C$54,1),6)))))</f>
        <v/>
      </c>
      <c r="BM36" s="68">
        <f>IF(OR(AM36="Sand",BF36=0),0,Input!$AA$38*(AK36/2)^2/(BL36*1E-4*31536000))</f>
        <v/>
      </c>
      <c r="BN36" s="68">
        <f>MAX(0,MIN(AJ36,Input!$AA$20)-AI36)</f>
        <v/>
      </c>
      <c r="BO36" s="68">
        <f>MAX(0,MIN(AJ36,Input!$AA$20)-MAX(AI36,$AA$22))</f>
        <v/>
      </c>
      <c r="BP36" s="68">
        <f>MAX(0,MIN(AJ36,$AA$225)-AI36)</f>
        <v/>
      </c>
      <c r="BQ36" s="68" t="inlineStr"/>
    </row>
    <row r="37">
      <c r="B37" s="9" t="n"/>
      <c r="C37" s="57" t="n">
        <v>10</v>
      </c>
      <c r="D37" s="41" t="n"/>
      <c r="E37" s="55">
        <f>AI37</f>
        <v/>
      </c>
      <c r="F37" s="41" t="n"/>
      <c r="G37" s="41" t="n"/>
      <c r="H37" s="55">
        <f>AJ37</f>
        <v/>
      </c>
      <c r="I37" s="41" t="n"/>
      <c r="J37" s="41" t="n"/>
      <c r="K37" s="52">
        <f>AM37</f>
        <v/>
      </c>
      <c r="L37" s="41" t="n"/>
      <c r="M37" s="41" t="n"/>
      <c r="N37" s="57">
        <f>AN37</f>
        <v/>
      </c>
      <c r="O37" s="41" t="n"/>
      <c r="P37" s="41" t="n"/>
      <c r="Q37" s="53">
        <f>AO37</f>
        <v/>
      </c>
      <c r="R37" s="41" t="n"/>
      <c r="S37" s="41" t="n"/>
      <c r="T37" s="57">
        <f>IF(AR37="","-",AR37)</f>
        <v/>
      </c>
      <c r="U37" s="41" t="n"/>
      <c r="V37" s="57">
        <f>IF(AT37="","-",AT37)</f>
        <v/>
      </c>
      <c r="W37" s="41" t="n"/>
      <c r="X37" s="55">
        <f>AU37</f>
        <v/>
      </c>
      <c r="Y37" s="41" t="n"/>
      <c r="Z37" s="66">
        <f>AV37</f>
        <v/>
      </c>
      <c r="AA37" s="41" t="n"/>
      <c r="AB37" s="41" t="n"/>
      <c r="AC37" s="53">
        <f>AW37</f>
        <v/>
      </c>
      <c r="AD37" s="41" t="n"/>
      <c r="AE37" s="41" t="n"/>
      <c r="AF37" s="15" t="n"/>
      <c r="AI37" s="67" t="n">
        <v>13.5</v>
      </c>
      <c r="AJ37" s="67" t="n">
        <v>15</v>
      </c>
      <c r="AK37" s="68">
        <f>AJ37-AI37</f>
        <v/>
      </c>
      <c r="AL37" s="68">
        <f>(AI37+AJ37)/2</f>
        <v/>
      </c>
      <c r="AM37" s="67" t="inlineStr">
        <is>
          <t>Sand</t>
        </is>
      </c>
      <c r="AN37" s="67" t="n">
        <v>47</v>
      </c>
      <c r="AO37" s="68">
        <f>IF(AL37&gt;$AA$19,$AA$21,$AA$20)</f>
        <v/>
      </c>
      <c r="AP37" s="68">
        <f>AP36+AO37*AK37</f>
        <v/>
      </c>
      <c r="AQ37" s="68">
        <f>AP37-AO37*AK37/2-10*MAX(AL37-$AA$19,0)</f>
        <v/>
      </c>
      <c r="AR37" s="67" t="n"/>
      <c r="AS37" s="67" t="n"/>
      <c r="AT37" s="68">
        <f>IF(AR37="","",AR37-AS37)</f>
        <v/>
      </c>
      <c r="AU37" s="67" t="n">
        <v>0.5649999999999999</v>
      </c>
      <c r="AV37" s="68">
        <f>IF(AM37="Sand",0,Input!$AA$31*AN37)</f>
        <v/>
      </c>
      <c r="AW37" s="68">
        <f>IF(AM37="Sand",27.1+0.3*MIN(Input!$AA$32*AN37,60)-0.00054*MIN(Input!$AA$32*AN37,60)^2,MIN(MAX(DEGREES(ASIN(0.8-0.094*LN(MAX(IF(AT37="",10,AT37),5)))),20),30))</f>
        <v/>
      </c>
      <c r="AX37" s="68">
        <f>IF(AM37="Sand",Input!$AA$33*Input!$AA$32*AN37,Input!$AA$34*AV37)</f>
        <v/>
      </c>
      <c r="AY37" s="68">
        <f>IF(AM37="Sand",Input!$AA$35,0.5)</f>
        <v/>
      </c>
      <c r="AZ37" s="68">
        <f>Input!$AA$15/2/AL37</f>
        <v/>
      </c>
      <c r="BA37" s="68">
        <f>Input!$AA$16/2/AL37</f>
        <v/>
      </c>
      <c r="BB37" s="68">
        <f>1/(4*PI())*(2*AZ37*BA37*SQRT(AZ37^2+BA37^2+1)/(AZ37^2+BA37^2+1+AZ37^2*BA37^2)*(AZ37^2+BA37^2+2)/(AZ37^2+BA37^2+1)+ATAN2(AZ37^2+BA37^2+1-AZ37^2*BA37^2,2*AZ37*BA37*SQRT(AZ37^2+BA37^2+1)))</f>
        <v/>
      </c>
      <c r="BC37" s="68">
        <f>4*Input!$AA$14*BB37</f>
        <v/>
      </c>
      <c r="BD37" s="68">
        <f>((Input!$AA$16/Input!$AA$15)*LN((1+SQRT((Input!$AA$16/Input!$AA$15)^2+1))*SQRT((Input!$AA$16/Input!$AA$15)^2+(AJ37/(Input!$AA$15/2))^2)/((Input!$AA$16/Input!$AA$15)*(1+SQRT((Input!$AA$16/Input!$AA$15)^2+(AJ37/(Input!$AA$15/2))^2+1))))+LN(((Input!$AA$16/Input!$AA$15)+SQRT((Input!$AA$16/Input!$AA$15)^2+1))*SQRT(1+(AJ37/(Input!$AA$15/2))^2)/((Input!$AA$16/Input!$AA$15)+SQRT((Input!$AA$16/Input!$AA$15)^2+(AJ37/(Input!$AA$15/2))^2+1))))/PI()</f>
        <v/>
      </c>
      <c r="BE37" s="68">
        <f>(AJ37/(Input!$AA$15/2))/(2*PI())*ATAN((Input!$AA$16/Input!$AA$15)/((AJ37/(Input!$AA$15/2))*SQRT((Input!$AA$16/Input!$AA$15)^2+(AJ37/(Input!$AA$15/2))^2+1)))</f>
        <v/>
      </c>
      <c r="BF37" s="68">
        <f>MAX(0,AJ37-MAX(AI37,$AA$22))/AK37*IF(BC37&gt;=Input!$AA$21*AQ37,1,0)</f>
        <v/>
      </c>
      <c r="BG37" s="68">
        <f>4*Input!$AA$14*(Input!$AA$15/2)*(1-AY37^2)/AX37*((BD37-BD36)+(1-2*AY37)/(1-AY37)*(BE37-BE36))*1000*BF37</f>
        <v/>
      </c>
      <c r="BH37" s="68">
        <f>IF(AM37="Sand",0,0.009*(AR37-10))</f>
        <v/>
      </c>
      <c r="BI37" s="68">
        <f>BH37*Input!$AA$36</f>
        <v/>
      </c>
      <c r="BJ37" s="68">
        <f>IF(AM37="Sand",0,MAX(AV37/Input!$AA$37,AQ37))</f>
        <v/>
      </c>
      <c r="BK37" s="68">
        <f>IF(AM37="Sand",0,1000*AK37/(1+AU37)*IF(AQ37+BC37&lt;=BJ37,BI37*LOG10((AQ37+BC37)/AQ37),BI37*LOG10(BJ37/AQ37)+BH37*LOG10((AQ37+BC37)/BJ37)))*BF37</f>
        <v/>
      </c>
      <c r="BL37" s="68">
        <f>IF(AM37="Sand",0,10^(INDEX(Input!$Q$48:$Q$54,MIN(MATCH(MIN(MAX(AR37,30),120),Input!$C$48:$C$54,1),6))+(MIN(MAX(AR37,30),120)-INDEX(Input!$C$48:$C$54,MIN(MATCH(MIN(MAX(AR37,30),120),Input!$C$48:$C$54,1),6)))/(INDEX(Input!$C$48:$C$54,MIN(MATCH(MIN(MAX(AR37,30),120),Input!$C$48:$C$54,1),6)+1)-INDEX(Input!$C$48:$C$54,MIN(MATCH(MIN(MAX(AR37,30),120),Input!$C$48:$C$54,1),6)))*(INDEX(Input!$Q$48:$Q$54,MIN(MATCH(MIN(MAX(AR37,30),120),Input!$C$48:$C$54,1),6)+1)-INDEX(Input!$Q$48:$Q$54,MIN(MATCH(MIN(MAX(AR37,30),120),Input!$C$48:$C$54,1),6)))))</f>
        <v/>
      </c>
      <c r="BM37" s="68">
        <f>IF(OR(AM37="Sand",BF37=0),0,Input!$AA$38*(AK37/2)^2/(BL37*1E-4*31536000))</f>
        <v/>
      </c>
      <c r="BN37" s="68">
        <f>MAX(0,MIN(AJ37,Input!$AA$20)-AI37)</f>
        <v/>
      </c>
      <c r="BO37" s="68">
        <f>MAX(0,MIN(AJ37,Input!$AA$20)-MAX(AI37,$AA$22))</f>
        <v/>
      </c>
      <c r="BP37" s="68">
        <f>MAX(0,MIN(AJ37,$AA$225)-AI37)</f>
        <v/>
      </c>
      <c r="BQ37" s="68" t="inlineStr"/>
    </row>
    <row r="38">
      <c r="B38" s="9" t="n"/>
      <c r="C38" s="57" t="n">
        <v>11</v>
      </c>
      <c r="D38" s="41" t="n"/>
      <c r="E38" s="55">
        <f>AI38</f>
        <v/>
      </c>
      <c r="F38" s="41" t="n"/>
      <c r="G38" s="41" t="n"/>
      <c r="H38" s="55">
        <f>AJ38</f>
        <v/>
      </c>
      <c r="I38" s="41" t="n"/>
      <c r="J38" s="41" t="n"/>
      <c r="K38" s="52">
        <f>AM38</f>
        <v/>
      </c>
      <c r="L38" s="41" t="n"/>
      <c r="M38" s="41" t="n"/>
      <c r="N38" s="57">
        <f>AN38</f>
        <v/>
      </c>
      <c r="O38" s="41" t="n"/>
      <c r="P38" s="41" t="n"/>
      <c r="Q38" s="53">
        <f>AO38</f>
        <v/>
      </c>
      <c r="R38" s="41" t="n"/>
      <c r="S38" s="41" t="n"/>
      <c r="T38" s="57">
        <f>IF(AR38="","-",AR38)</f>
        <v/>
      </c>
      <c r="U38" s="41" t="n"/>
      <c r="V38" s="57">
        <f>IF(AT38="","-",AT38)</f>
        <v/>
      </c>
      <c r="W38" s="41" t="n"/>
      <c r="X38" s="55">
        <f>AU38</f>
        <v/>
      </c>
      <c r="Y38" s="41" t="n"/>
      <c r="Z38" s="66">
        <f>AV38</f>
        <v/>
      </c>
      <c r="AA38" s="41" t="n"/>
      <c r="AB38" s="41" t="n"/>
      <c r="AC38" s="53">
        <f>AW38</f>
        <v/>
      </c>
      <c r="AD38" s="41" t="n"/>
      <c r="AE38" s="41" t="n"/>
      <c r="AF38" s="15" t="n"/>
      <c r="AI38" s="67" t="n">
        <v>15</v>
      </c>
      <c r="AJ38" s="67" t="n">
        <v>16.5</v>
      </c>
      <c r="AK38" s="68">
        <f>AJ38-AI38</f>
        <v/>
      </c>
      <c r="AL38" s="68">
        <f>(AI38+AJ38)/2</f>
        <v/>
      </c>
      <c r="AM38" s="67" t="inlineStr">
        <is>
          <t>Sand</t>
        </is>
      </c>
      <c r="AN38" s="67" t="n">
        <v>12</v>
      </c>
      <c r="AO38" s="68">
        <f>IF(AL38&gt;$AA$19,$AA$21,$AA$20)</f>
        <v/>
      </c>
      <c r="AP38" s="68">
        <f>AP37+AO38*AK38</f>
        <v/>
      </c>
      <c r="AQ38" s="68">
        <f>AP38-AO38*AK38/2-10*MAX(AL38-$AA$19,0)</f>
        <v/>
      </c>
      <c r="AR38" s="67" t="n"/>
      <c r="AS38" s="67" t="n"/>
      <c r="AT38" s="68">
        <f>IF(AR38="","",AR38-AS38)</f>
        <v/>
      </c>
      <c r="AU38" s="67" t="n">
        <v>0.464</v>
      </c>
      <c r="AV38" s="68">
        <f>IF(AM38="Sand",0,Input!$AA$31*AN38)</f>
        <v/>
      </c>
      <c r="AW38" s="68">
        <f>IF(AM38="Sand",27.1+0.3*MIN(Input!$AA$32*AN38,60)-0.00054*MIN(Input!$AA$32*AN38,60)^2,MIN(MAX(DEGREES(ASIN(0.8-0.094*LN(MAX(IF(AT38="",10,AT38),5)))),20),30))</f>
        <v/>
      </c>
      <c r="AX38" s="68">
        <f>IF(AM38="Sand",Input!$AA$33*Input!$AA$32*AN38,Input!$AA$34*AV38)</f>
        <v/>
      </c>
      <c r="AY38" s="68">
        <f>IF(AM38="Sand",Input!$AA$35,0.5)</f>
        <v/>
      </c>
      <c r="AZ38" s="68">
        <f>Input!$AA$15/2/AL38</f>
        <v/>
      </c>
      <c r="BA38" s="68">
        <f>Input!$AA$16/2/AL38</f>
        <v/>
      </c>
      <c r="BB38" s="68">
        <f>1/(4*PI())*(2*AZ38*BA38*SQRT(AZ38^2+BA38^2+1)/(AZ38^2+BA38^2+1+AZ38^2*BA38^2)*(AZ38^2+BA38^2+2)/(AZ38^2+BA38^2+1)+ATAN2(AZ38^2+BA38^2+1-AZ38^2*BA38^2,2*AZ38*BA38*SQRT(AZ38^2+BA38^2+1)))</f>
        <v/>
      </c>
      <c r="BC38" s="68">
        <f>4*Input!$AA$14*BB38</f>
        <v/>
      </c>
      <c r="BD38" s="68">
        <f>((Input!$AA$16/Input!$AA$15)*LN((1+SQRT((Input!$AA$16/Input!$AA$15)^2+1))*SQRT((Input!$AA$16/Input!$AA$15)^2+(AJ38/(Input!$AA$15/2))^2)/((Input!$AA$16/Input!$AA$15)*(1+SQRT((Input!$AA$16/Input!$AA$15)^2+(AJ38/(Input!$AA$15/2))^2+1))))+LN(((Input!$AA$16/Input!$AA$15)+SQRT((Input!$AA$16/Input!$AA$15)^2+1))*SQRT(1+(AJ38/(Input!$AA$15/2))^2)/((Input!$AA$16/Input!$AA$15)+SQRT((Input!$AA$16/Input!$AA$15)^2+(AJ38/(Input!$AA$15/2))^2+1))))/PI()</f>
        <v/>
      </c>
      <c r="BE38" s="68">
        <f>(AJ38/(Input!$AA$15/2))/(2*PI())*ATAN((Input!$AA$16/Input!$AA$15)/((AJ38/(Input!$AA$15/2))*SQRT((Input!$AA$16/Input!$AA$15)^2+(AJ38/(Input!$AA$15/2))^2+1)))</f>
        <v/>
      </c>
      <c r="BF38" s="68">
        <f>MAX(0,AJ38-MAX(AI38,$AA$22))/AK38*IF(BC38&gt;=Input!$AA$21*AQ38,1,0)</f>
        <v/>
      </c>
      <c r="BG38" s="68">
        <f>4*Input!$AA$14*(Input!$AA$15/2)*(1-AY38^2)/AX38*((BD38-BD37)+(1-2*AY38)/(1-AY38)*(BE38-BE37))*1000*BF38</f>
        <v/>
      </c>
      <c r="BH38" s="68">
        <f>IF(AM38="Sand",0,0.009*(AR38-10))</f>
        <v/>
      </c>
      <c r="BI38" s="68">
        <f>BH38*Input!$AA$36</f>
        <v/>
      </c>
      <c r="BJ38" s="68">
        <f>IF(AM38="Sand",0,MAX(AV38/Input!$AA$37,AQ38))</f>
        <v/>
      </c>
      <c r="BK38" s="68">
        <f>IF(AM38="Sand",0,1000*AK38/(1+AU38)*IF(AQ38+BC38&lt;=BJ38,BI38*LOG10((AQ38+BC38)/AQ38),BI38*LOG10(BJ38/AQ38)+BH38*LOG10((AQ38+BC38)/BJ38)))*BF38</f>
        <v/>
      </c>
      <c r="BL38" s="68">
        <f>IF(AM38="Sand",0,10^(INDEX(Input!$Q$48:$Q$54,MIN(MATCH(MIN(MAX(AR38,30),120),Input!$C$48:$C$54,1),6))+(MIN(MAX(AR38,30),120)-INDEX(Input!$C$48:$C$54,MIN(MATCH(MIN(MAX(AR38,30),120),Input!$C$48:$C$54,1),6)))/(INDEX(Input!$C$48:$C$54,MIN(MATCH(MIN(MAX(AR38,30),120),Input!$C$48:$C$54,1),6)+1)-INDEX(Input!$C$48:$C$54,MIN(MATCH(MIN(MAX(AR38,30),120),Input!$C$48:$C$54,1),6)))*(INDEX(Input!$Q$48:$Q$54,MIN(MATCH(MIN(MAX(AR38,30),120),Input!$C$48:$C$54,1),6)+1)-INDEX(Input!$Q$48:$Q$54,MIN(MATCH(MIN(MAX(AR38,30),120),Input!$C$48:$C$54,1),6)))))</f>
        <v/>
      </c>
      <c r="BM38" s="68">
        <f>IF(OR(AM38="Sand",BF38=0),0,Input!$AA$38*(AK38/2)^2/(BL38*1E-4*31536000))</f>
        <v/>
      </c>
      <c r="BN38" s="68">
        <f>MAX(0,MIN(AJ38,Input!$AA$20)-AI38)</f>
        <v/>
      </c>
      <c r="BO38" s="68">
        <f>MAX(0,MIN(AJ38,Input!$AA$20)-MAX(AI38,$AA$22))</f>
        <v/>
      </c>
      <c r="BP38" s="68">
        <f>MAX(0,MIN(AJ38,$AA$225)-AI38)</f>
        <v/>
      </c>
      <c r="BQ38" s="68" t="inlineStr"/>
    </row>
    <row r="39">
      <c r="B39" s="9" t="n"/>
      <c r="C39" s="57" t="n">
        <v>12</v>
      </c>
      <c r="D39" s="41" t="n"/>
      <c r="E39" s="55">
        <f>AI39</f>
        <v/>
      </c>
      <c r="F39" s="41" t="n"/>
      <c r="G39" s="41" t="n"/>
      <c r="H39" s="55">
        <f>AJ39</f>
        <v/>
      </c>
      <c r="I39" s="41" t="n"/>
      <c r="J39" s="41" t="n"/>
      <c r="K39" s="52">
        <f>AM39</f>
        <v/>
      </c>
      <c r="L39" s="41" t="n"/>
      <c r="M39" s="41" t="n"/>
      <c r="N39" s="57">
        <f>AN39</f>
        <v/>
      </c>
      <c r="O39" s="41" t="n"/>
      <c r="P39" s="41" t="n"/>
      <c r="Q39" s="53">
        <f>AO39</f>
        <v/>
      </c>
      <c r="R39" s="41" t="n"/>
      <c r="S39" s="41" t="n"/>
      <c r="T39" s="57">
        <f>IF(AR39="","-",AR39)</f>
        <v/>
      </c>
      <c r="U39" s="41" t="n"/>
      <c r="V39" s="57">
        <f>IF(AT39="","-",AT39)</f>
        <v/>
      </c>
      <c r="W39" s="41" t="n"/>
      <c r="X39" s="55">
        <f>AU39</f>
        <v/>
      </c>
      <c r="Y39" s="41" t="n"/>
      <c r="Z39" s="66">
        <f>AV39</f>
        <v/>
      </c>
      <c r="AA39" s="41" t="n"/>
      <c r="AB39" s="41" t="n"/>
      <c r="AC39" s="53">
        <f>AW39</f>
        <v/>
      </c>
      <c r="AD39" s="41" t="n"/>
      <c r="AE39" s="41" t="n"/>
      <c r="AF39" s="15" t="n"/>
      <c r="AI39" s="67" t="n">
        <v>16.5</v>
      </c>
      <c r="AJ39" s="67" t="n">
        <v>18</v>
      </c>
      <c r="AK39" s="68">
        <f>AJ39-AI39</f>
        <v/>
      </c>
      <c r="AL39" s="68">
        <f>(AI39+AJ39)/2</f>
        <v/>
      </c>
      <c r="AM39" s="67" t="inlineStr">
        <is>
          <t>Sand</t>
        </is>
      </c>
      <c r="AN39" s="67" t="n">
        <v>23</v>
      </c>
      <c r="AO39" s="68">
        <f>IF(AL39&gt;$AA$19,$AA$21,$AA$20)</f>
        <v/>
      </c>
      <c r="AP39" s="68">
        <f>AP38+AO39*AK39</f>
        <v/>
      </c>
      <c r="AQ39" s="68">
        <f>AP39-AO39*AK39/2-10*MAX(AL39-$AA$19,0)</f>
        <v/>
      </c>
      <c r="AR39" s="67" t="n"/>
      <c r="AS39" s="67" t="n"/>
      <c r="AT39" s="68">
        <f>IF(AR39="","",AR39-AS39)</f>
        <v/>
      </c>
      <c r="AU39" s="67" t="n">
        <v>0.65</v>
      </c>
      <c r="AV39" s="68">
        <f>IF(AM39="Sand",0,Input!$AA$31*AN39)</f>
        <v/>
      </c>
      <c r="AW39" s="68">
        <f>IF(AM39="Sand",27.1+0.3*MIN(Input!$AA$32*AN39,60)-0.00054*MIN(Input!$AA$32*AN39,60)^2,MIN(MAX(DEGREES(ASIN(0.8-0.094*LN(MAX(IF(AT39="",10,AT39),5)))),20),30))</f>
        <v/>
      </c>
      <c r="AX39" s="68">
        <f>IF(AM39="Sand",Input!$AA$33*Input!$AA$32*AN39,Input!$AA$34*AV39)</f>
        <v/>
      </c>
      <c r="AY39" s="68">
        <f>IF(AM39="Sand",Input!$AA$35,0.5)</f>
        <v/>
      </c>
      <c r="AZ39" s="68">
        <f>Input!$AA$15/2/AL39</f>
        <v/>
      </c>
      <c r="BA39" s="68">
        <f>Input!$AA$16/2/AL39</f>
        <v/>
      </c>
      <c r="BB39" s="68">
        <f>1/(4*PI())*(2*AZ39*BA39*SQRT(AZ39^2+BA39^2+1)/(AZ39^2+BA39^2+1+AZ39^2*BA39^2)*(AZ39^2+BA39^2+2)/(AZ39^2+BA39^2+1)+ATAN2(AZ39^2+BA39^2+1-AZ39^2*BA39^2,2*AZ39*BA39*SQRT(AZ39^2+BA39^2+1)))</f>
        <v/>
      </c>
      <c r="BC39" s="68">
        <f>4*Input!$AA$14*BB39</f>
        <v/>
      </c>
      <c r="BD39" s="68">
        <f>((Input!$AA$16/Input!$AA$15)*LN((1+SQRT((Input!$AA$16/Input!$AA$15)^2+1))*SQRT((Input!$AA$16/Input!$AA$15)^2+(AJ39/(Input!$AA$15/2))^2)/((Input!$AA$16/Input!$AA$15)*(1+SQRT((Input!$AA$16/Input!$AA$15)^2+(AJ39/(Input!$AA$15/2))^2+1))))+LN(((Input!$AA$16/Input!$AA$15)+SQRT((Input!$AA$16/Input!$AA$15)^2+1))*SQRT(1+(AJ39/(Input!$AA$15/2))^2)/((Input!$AA$16/Input!$AA$15)+SQRT((Input!$AA$16/Input!$AA$15)^2+(AJ39/(Input!$AA$15/2))^2+1))))/PI()</f>
        <v/>
      </c>
      <c r="BE39" s="68">
        <f>(AJ39/(Input!$AA$15/2))/(2*PI())*ATAN((Input!$AA$16/Input!$AA$15)/((AJ39/(Input!$AA$15/2))*SQRT((Input!$AA$16/Input!$AA$15)^2+(AJ39/(Input!$AA$15/2))^2+1)))</f>
        <v/>
      </c>
      <c r="BF39" s="68">
        <f>MAX(0,AJ39-MAX(AI39,$AA$22))/AK39*IF(BC39&gt;=Input!$AA$21*AQ39,1,0)</f>
        <v/>
      </c>
      <c r="BG39" s="68">
        <f>4*Input!$AA$14*(Input!$AA$15/2)*(1-AY39^2)/AX39*((BD39-BD38)+(1-2*AY39)/(1-AY39)*(BE39-BE38))*1000*BF39</f>
        <v/>
      </c>
      <c r="BH39" s="68">
        <f>IF(AM39="Sand",0,0.009*(AR39-10))</f>
        <v/>
      </c>
      <c r="BI39" s="68">
        <f>BH39*Input!$AA$36</f>
        <v/>
      </c>
      <c r="BJ39" s="68">
        <f>IF(AM39="Sand",0,MAX(AV39/Input!$AA$37,AQ39))</f>
        <v/>
      </c>
      <c r="BK39" s="68">
        <f>IF(AM39="Sand",0,1000*AK39/(1+AU39)*IF(AQ39+BC39&lt;=BJ39,BI39*LOG10((AQ39+BC39)/AQ39),BI39*LOG10(BJ39/AQ39)+BH39*LOG10((AQ39+BC39)/BJ39)))*BF39</f>
        <v/>
      </c>
      <c r="BL39" s="68">
        <f>IF(AM39="Sand",0,10^(INDEX(Input!$Q$48:$Q$54,MIN(MATCH(MIN(MAX(AR39,30),120),Input!$C$48:$C$54,1),6))+(MIN(MAX(AR39,30),120)-INDEX(Input!$C$48:$C$54,MIN(MATCH(MIN(MAX(AR39,30),120),Input!$C$48:$C$54,1),6)))/(INDEX(Input!$C$48:$C$54,MIN(MATCH(MIN(MAX(AR39,30),120),Input!$C$48:$C$54,1),6)+1)-INDEX(Input!$C$48:$C$54,MIN(MATCH(MIN(MAX(AR39,30),120),Input!$C$48:$C$54,1),6)))*(INDEX(Input!$Q$48:$Q$54,MIN(MATCH(MIN(MAX(AR39,30),120),Input!$C$48:$C$54,1),6)+1)-INDEX(Input!$Q$48:$Q$54,MIN(MATCH(MIN(MAX(AR39,30),120),Input!$C$48:$C$54,1),6)))))</f>
        <v/>
      </c>
      <c r="BM39" s="68">
        <f>IF(OR(AM39="Sand",BF39=0),0,Input!$AA$38*(AK39/2)^2/(BL39*1E-4*31536000))</f>
        <v/>
      </c>
      <c r="BN39" s="68">
        <f>MAX(0,MIN(AJ39,Input!$AA$20)-AI39)</f>
        <v/>
      </c>
      <c r="BO39" s="68">
        <f>MAX(0,MIN(AJ39,Input!$AA$20)-MAX(AI39,$AA$22))</f>
        <v/>
      </c>
      <c r="BP39" s="68">
        <f>MAX(0,MIN(AJ39,$AA$225)-AI39)</f>
        <v/>
      </c>
      <c r="BQ39" s="68" t="inlineStr"/>
    </row>
    <row r="40">
      <c r="B40" s="9" t="n"/>
      <c r="C40" s="57" t="n">
        <v>13</v>
      </c>
      <c r="D40" s="41" t="n"/>
      <c r="E40" s="55">
        <f>AI40</f>
        <v/>
      </c>
      <c r="F40" s="41" t="n"/>
      <c r="G40" s="41" t="n"/>
      <c r="H40" s="55">
        <f>AJ40</f>
        <v/>
      </c>
      <c r="I40" s="41" t="n"/>
      <c r="J40" s="41" t="n"/>
      <c r="K40" s="52">
        <f>AM40</f>
        <v/>
      </c>
      <c r="L40" s="41" t="n"/>
      <c r="M40" s="41" t="n"/>
      <c r="N40" s="57">
        <f>AN40</f>
        <v/>
      </c>
      <c r="O40" s="41" t="n"/>
      <c r="P40" s="41" t="n"/>
      <c r="Q40" s="53">
        <f>AO40</f>
        <v/>
      </c>
      <c r="R40" s="41" t="n"/>
      <c r="S40" s="41" t="n"/>
      <c r="T40" s="57">
        <f>IF(AR40="","-",AR40)</f>
        <v/>
      </c>
      <c r="U40" s="41" t="n"/>
      <c r="V40" s="57">
        <f>IF(AT40="","-",AT40)</f>
        <v/>
      </c>
      <c r="W40" s="41" t="n"/>
      <c r="X40" s="55">
        <f>AU40</f>
        <v/>
      </c>
      <c r="Y40" s="41" t="n"/>
      <c r="Z40" s="66">
        <f>AV40</f>
        <v/>
      </c>
      <c r="AA40" s="41" t="n"/>
      <c r="AB40" s="41" t="n"/>
      <c r="AC40" s="53">
        <f>AW40</f>
        <v/>
      </c>
      <c r="AD40" s="41" t="n"/>
      <c r="AE40" s="41" t="n"/>
      <c r="AF40" s="15" t="n"/>
      <c r="AI40" s="67" t="n">
        <v>18</v>
      </c>
      <c r="AJ40" s="67" t="n">
        <v>19.5</v>
      </c>
      <c r="AK40" s="68">
        <f>AJ40-AI40</f>
        <v/>
      </c>
      <c r="AL40" s="68">
        <f>(AI40+AJ40)/2</f>
        <v/>
      </c>
      <c r="AM40" s="67" t="inlineStr">
        <is>
          <t>Sand</t>
        </is>
      </c>
      <c r="AN40" s="67" t="n">
        <v>30</v>
      </c>
      <c r="AO40" s="68">
        <f>IF(AL40&gt;$AA$19,$AA$21,$AA$20)</f>
        <v/>
      </c>
      <c r="AP40" s="68">
        <f>AP39+AO40*AK40</f>
        <v/>
      </c>
      <c r="AQ40" s="68">
        <f>AP40-AO40*AK40/2-10*MAX(AL40-$AA$19,0)</f>
        <v/>
      </c>
      <c r="AR40" s="67" t="n"/>
      <c r="AS40" s="67" t="n"/>
      <c r="AT40" s="68">
        <f>IF(AR40="","",AR40-AS40)</f>
        <v/>
      </c>
      <c r="AU40" s="67" t="n">
        <v>0.65</v>
      </c>
      <c r="AV40" s="68">
        <f>IF(AM40="Sand",0,Input!$AA$31*AN40)</f>
        <v/>
      </c>
      <c r="AW40" s="68">
        <f>IF(AM40="Sand",27.1+0.3*MIN(Input!$AA$32*AN40,60)-0.00054*MIN(Input!$AA$32*AN40,60)^2,MIN(MAX(DEGREES(ASIN(0.8-0.094*LN(MAX(IF(AT40="",10,AT40),5)))),20),30))</f>
        <v/>
      </c>
      <c r="AX40" s="68">
        <f>IF(AM40="Sand",Input!$AA$33*Input!$AA$32*AN40,Input!$AA$34*AV40)</f>
        <v/>
      </c>
      <c r="AY40" s="68">
        <f>IF(AM40="Sand",Input!$AA$35,0.5)</f>
        <v/>
      </c>
      <c r="AZ40" s="68">
        <f>Input!$AA$15/2/AL40</f>
        <v/>
      </c>
      <c r="BA40" s="68">
        <f>Input!$AA$16/2/AL40</f>
        <v/>
      </c>
      <c r="BB40" s="68">
        <f>1/(4*PI())*(2*AZ40*BA40*SQRT(AZ40^2+BA40^2+1)/(AZ40^2+BA40^2+1+AZ40^2*BA40^2)*(AZ40^2+BA40^2+2)/(AZ40^2+BA40^2+1)+ATAN2(AZ40^2+BA40^2+1-AZ40^2*BA40^2,2*AZ40*BA40*SQRT(AZ40^2+BA40^2+1)))</f>
        <v/>
      </c>
      <c r="BC40" s="68">
        <f>4*Input!$AA$14*BB40</f>
        <v/>
      </c>
      <c r="BD40" s="68">
        <f>((Input!$AA$16/Input!$AA$15)*LN((1+SQRT((Input!$AA$16/Input!$AA$15)^2+1))*SQRT((Input!$AA$16/Input!$AA$15)^2+(AJ40/(Input!$AA$15/2))^2)/((Input!$AA$16/Input!$AA$15)*(1+SQRT((Input!$AA$16/Input!$AA$15)^2+(AJ40/(Input!$AA$15/2))^2+1))))+LN(((Input!$AA$16/Input!$AA$15)+SQRT((Input!$AA$16/Input!$AA$15)^2+1))*SQRT(1+(AJ40/(Input!$AA$15/2))^2)/((Input!$AA$16/Input!$AA$15)+SQRT((Input!$AA$16/Input!$AA$15)^2+(AJ40/(Input!$AA$15/2))^2+1))))/PI()</f>
        <v/>
      </c>
      <c r="BE40" s="68">
        <f>(AJ40/(Input!$AA$15/2))/(2*PI())*ATAN((Input!$AA$16/Input!$AA$15)/((AJ40/(Input!$AA$15/2))*SQRT((Input!$AA$16/Input!$AA$15)^2+(AJ40/(Input!$AA$15/2))^2+1)))</f>
        <v/>
      </c>
      <c r="BF40" s="68">
        <f>MAX(0,AJ40-MAX(AI40,$AA$22))/AK40*IF(BC40&gt;=Input!$AA$21*AQ40,1,0)</f>
        <v/>
      </c>
      <c r="BG40" s="68">
        <f>4*Input!$AA$14*(Input!$AA$15/2)*(1-AY40^2)/AX40*((BD40-BD39)+(1-2*AY40)/(1-AY40)*(BE40-BE39))*1000*BF40</f>
        <v/>
      </c>
      <c r="BH40" s="68">
        <f>IF(AM40="Sand",0,0.009*(AR40-10))</f>
        <v/>
      </c>
      <c r="BI40" s="68">
        <f>BH40*Input!$AA$36</f>
        <v/>
      </c>
      <c r="BJ40" s="68">
        <f>IF(AM40="Sand",0,MAX(AV40/Input!$AA$37,AQ40))</f>
        <v/>
      </c>
      <c r="BK40" s="68">
        <f>IF(AM40="Sand",0,1000*AK40/(1+AU40)*IF(AQ40+BC40&lt;=BJ40,BI40*LOG10((AQ40+BC40)/AQ40),BI40*LOG10(BJ40/AQ40)+BH40*LOG10((AQ40+BC40)/BJ40)))*BF40</f>
        <v/>
      </c>
      <c r="BL40" s="68">
        <f>IF(AM40="Sand",0,10^(INDEX(Input!$Q$48:$Q$54,MIN(MATCH(MIN(MAX(AR40,30),120),Input!$C$48:$C$54,1),6))+(MIN(MAX(AR40,30),120)-INDEX(Input!$C$48:$C$54,MIN(MATCH(MIN(MAX(AR40,30),120),Input!$C$48:$C$54,1),6)))/(INDEX(Input!$C$48:$C$54,MIN(MATCH(MIN(MAX(AR40,30),120),Input!$C$48:$C$54,1),6)+1)-INDEX(Input!$C$48:$C$54,MIN(MATCH(MIN(MAX(AR40,30),120),Input!$C$48:$C$54,1),6)))*(INDEX(Input!$Q$48:$Q$54,MIN(MATCH(MIN(MAX(AR40,30),120),Input!$C$48:$C$54,1),6)+1)-INDEX(Input!$Q$48:$Q$54,MIN(MATCH(MIN(MAX(AR40,30),120),Input!$C$48:$C$54,1),6)))))</f>
        <v/>
      </c>
      <c r="BM40" s="68">
        <f>IF(OR(AM40="Sand",BF40=0),0,Input!$AA$38*(AK40/2)^2/(BL40*1E-4*31536000))</f>
        <v/>
      </c>
      <c r="BN40" s="68">
        <f>MAX(0,MIN(AJ40,Input!$AA$20)-AI40)</f>
        <v/>
      </c>
      <c r="BO40" s="68">
        <f>MAX(0,MIN(AJ40,Input!$AA$20)-MAX(AI40,$AA$22))</f>
        <v/>
      </c>
      <c r="BP40" s="68">
        <f>MAX(0,MIN(AJ40,$AA$225)-AI40)</f>
        <v/>
      </c>
      <c r="BQ40" s="68" t="inlineStr"/>
    </row>
    <row r="41">
      <c r="B41" s="9" t="n"/>
      <c r="C41" s="57" t="n">
        <v>14</v>
      </c>
      <c r="D41" s="41" t="n"/>
      <c r="E41" s="55">
        <f>AI41</f>
        <v/>
      </c>
      <c r="F41" s="41" t="n"/>
      <c r="G41" s="41" t="n"/>
      <c r="H41" s="55">
        <f>AJ41</f>
        <v/>
      </c>
      <c r="I41" s="41" t="n"/>
      <c r="J41" s="41" t="n"/>
      <c r="K41" s="52">
        <f>AM41</f>
        <v/>
      </c>
      <c r="L41" s="41" t="n"/>
      <c r="M41" s="41" t="n"/>
      <c r="N41" s="57">
        <f>AN41</f>
        <v/>
      </c>
      <c r="O41" s="41" t="n"/>
      <c r="P41" s="41" t="n"/>
      <c r="Q41" s="53">
        <f>AO41</f>
        <v/>
      </c>
      <c r="R41" s="41" t="n"/>
      <c r="S41" s="41" t="n"/>
      <c r="T41" s="57">
        <f>IF(AR41="","-",AR41)</f>
        <v/>
      </c>
      <c r="U41" s="41" t="n"/>
      <c r="V41" s="57">
        <f>IF(AT41="","-",AT41)</f>
        <v/>
      </c>
      <c r="W41" s="41" t="n"/>
      <c r="X41" s="55">
        <f>AU41</f>
        <v/>
      </c>
      <c r="Y41" s="41" t="n"/>
      <c r="Z41" s="66">
        <f>AV41</f>
        <v/>
      </c>
      <c r="AA41" s="41" t="n"/>
      <c r="AB41" s="41" t="n"/>
      <c r="AC41" s="53">
        <f>AW41</f>
        <v/>
      </c>
      <c r="AD41" s="41" t="n"/>
      <c r="AE41" s="41" t="n"/>
      <c r="AF41" s="15" t="n"/>
      <c r="AI41" s="67" t="n">
        <v>19.5</v>
      </c>
      <c r="AJ41" s="67" t="n">
        <v>21</v>
      </c>
      <c r="AK41" s="68">
        <f>AJ41-AI41</f>
        <v/>
      </c>
      <c r="AL41" s="68">
        <f>(AI41+AJ41)/2</f>
        <v/>
      </c>
      <c r="AM41" s="67" t="inlineStr">
        <is>
          <t>Sand</t>
        </is>
      </c>
      <c r="AN41" s="67" t="n">
        <v>27</v>
      </c>
      <c r="AO41" s="68">
        <f>IF(AL41&gt;$AA$19,$AA$21,$AA$20)</f>
        <v/>
      </c>
      <c r="AP41" s="68">
        <f>AP40+AO41*AK41</f>
        <v/>
      </c>
      <c r="AQ41" s="68">
        <f>AP41-AO41*AK41/2-10*MAX(AL41-$AA$19,0)</f>
        <v/>
      </c>
      <c r="AR41" s="67" t="n"/>
      <c r="AS41" s="67" t="n"/>
      <c r="AT41" s="68">
        <f>IF(AR41="","",AR41-AS41)</f>
        <v/>
      </c>
      <c r="AU41" s="67" t="n">
        <v>0.73</v>
      </c>
      <c r="AV41" s="68">
        <f>IF(AM41="Sand",0,Input!$AA$31*AN41)</f>
        <v/>
      </c>
      <c r="AW41" s="68">
        <f>IF(AM41="Sand",27.1+0.3*MIN(Input!$AA$32*AN41,60)-0.00054*MIN(Input!$AA$32*AN41,60)^2,MIN(MAX(DEGREES(ASIN(0.8-0.094*LN(MAX(IF(AT41="",10,AT41),5)))),20),30))</f>
        <v/>
      </c>
      <c r="AX41" s="68">
        <f>IF(AM41="Sand",Input!$AA$33*Input!$AA$32*AN41,Input!$AA$34*AV41)</f>
        <v/>
      </c>
      <c r="AY41" s="68">
        <f>IF(AM41="Sand",Input!$AA$35,0.5)</f>
        <v/>
      </c>
      <c r="AZ41" s="68">
        <f>Input!$AA$15/2/AL41</f>
        <v/>
      </c>
      <c r="BA41" s="68">
        <f>Input!$AA$16/2/AL41</f>
        <v/>
      </c>
      <c r="BB41" s="68">
        <f>1/(4*PI())*(2*AZ41*BA41*SQRT(AZ41^2+BA41^2+1)/(AZ41^2+BA41^2+1+AZ41^2*BA41^2)*(AZ41^2+BA41^2+2)/(AZ41^2+BA41^2+1)+ATAN2(AZ41^2+BA41^2+1-AZ41^2*BA41^2,2*AZ41*BA41*SQRT(AZ41^2+BA41^2+1)))</f>
        <v/>
      </c>
      <c r="BC41" s="68">
        <f>4*Input!$AA$14*BB41</f>
        <v/>
      </c>
      <c r="BD41" s="68">
        <f>((Input!$AA$16/Input!$AA$15)*LN((1+SQRT((Input!$AA$16/Input!$AA$15)^2+1))*SQRT((Input!$AA$16/Input!$AA$15)^2+(AJ41/(Input!$AA$15/2))^2)/((Input!$AA$16/Input!$AA$15)*(1+SQRT((Input!$AA$16/Input!$AA$15)^2+(AJ41/(Input!$AA$15/2))^2+1))))+LN(((Input!$AA$16/Input!$AA$15)+SQRT((Input!$AA$16/Input!$AA$15)^2+1))*SQRT(1+(AJ41/(Input!$AA$15/2))^2)/((Input!$AA$16/Input!$AA$15)+SQRT((Input!$AA$16/Input!$AA$15)^2+(AJ41/(Input!$AA$15/2))^2+1))))/PI()</f>
        <v/>
      </c>
      <c r="BE41" s="68">
        <f>(AJ41/(Input!$AA$15/2))/(2*PI())*ATAN((Input!$AA$16/Input!$AA$15)/((AJ41/(Input!$AA$15/2))*SQRT((Input!$AA$16/Input!$AA$15)^2+(AJ41/(Input!$AA$15/2))^2+1)))</f>
        <v/>
      </c>
      <c r="BF41" s="68">
        <f>MAX(0,AJ41-MAX(AI41,$AA$22))/AK41*IF(BC41&gt;=Input!$AA$21*AQ41,1,0)</f>
        <v/>
      </c>
      <c r="BG41" s="68">
        <f>4*Input!$AA$14*(Input!$AA$15/2)*(1-AY41^2)/AX41*((BD41-BD40)+(1-2*AY41)/(1-AY41)*(BE41-BE40))*1000*BF41</f>
        <v/>
      </c>
      <c r="BH41" s="68">
        <f>IF(AM41="Sand",0,0.009*(AR41-10))</f>
        <v/>
      </c>
      <c r="BI41" s="68">
        <f>BH41*Input!$AA$36</f>
        <v/>
      </c>
      <c r="BJ41" s="68">
        <f>IF(AM41="Sand",0,MAX(AV41/Input!$AA$37,AQ41))</f>
        <v/>
      </c>
      <c r="BK41" s="68">
        <f>IF(AM41="Sand",0,1000*AK41/(1+AU41)*IF(AQ41+BC41&lt;=BJ41,BI41*LOG10((AQ41+BC41)/AQ41),BI41*LOG10(BJ41/AQ41)+BH41*LOG10((AQ41+BC41)/BJ41)))*BF41</f>
        <v/>
      </c>
      <c r="BL41" s="68">
        <f>IF(AM41="Sand",0,10^(INDEX(Input!$Q$48:$Q$54,MIN(MATCH(MIN(MAX(AR41,30),120),Input!$C$48:$C$54,1),6))+(MIN(MAX(AR41,30),120)-INDEX(Input!$C$48:$C$54,MIN(MATCH(MIN(MAX(AR41,30),120),Input!$C$48:$C$54,1),6)))/(INDEX(Input!$C$48:$C$54,MIN(MATCH(MIN(MAX(AR41,30),120),Input!$C$48:$C$54,1),6)+1)-INDEX(Input!$C$48:$C$54,MIN(MATCH(MIN(MAX(AR41,30),120),Input!$C$48:$C$54,1),6)))*(INDEX(Input!$Q$48:$Q$54,MIN(MATCH(MIN(MAX(AR41,30),120),Input!$C$48:$C$54,1),6)+1)-INDEX(Input!$Q$48:$Q$54,MIN(MATCH(MIN(MAX(AR41,30),120),Input!$C$48:$C$54,1),6)))))</f>
        <v/>
      </c>
      <c r="BM41" s="68">
        <f>IF(OR(AM41="Sand",BF41=0),0,Input!$AA$38*(AK41/2)^2/(BL41*1E-4*31536000))</f>
        <v/>
      </c>
      <c r="BN41" s="68">
        <f>MAX(0,MIN(AJ41,Input!$AA$20)-AI41)</f>
        <v/>
      </c>
      <c r="BO41" s="68">
        <f>MAX(0,MIN(AJ41,Input!$AA$20)-MAX(AI41,$AA$22))</f>
        <v/>
      </c>
      <c r="BP41" s="68">
        <f>MAX(0,MIN(AJ41,$AA$225)-AI41)</f>
        <v/>
      </c>
      <c r="BQ41" s="68" t="inlineStr"/>
    </row>
    <row r="42">
      <c r="B42" s="9" t="n"/>
      <c r="C42" s="57" t="n">
        <v>15</v>
      </c>
      <c r="D42" s="41" t="n"/>
      <c r="E42" s="55">
        <f>AI42</f>
        <v/>
      </c>
      <c r="F42" s="41" t="n"/>
      <c r="G42" s="41" t="n"/>
      <c r="H42" s="55">
        <f>AJ42</f>
        <v/>
      </c>
      <c r="I42" s="41" t="n"/>
      <c r="J42" s="41" t="n"/>
      <c r="K42" s="52">
        <f>AM42</f>
        <v/>
      </c>
      <c r="L42" s="41" t="n"/>
      <c r="M42" s="41" t="n"/>
      <c r="N42" s="57">
        <f>AN42</f>
        <v/>
      </c>
      <c r="O42" s="41" t="n"/>
      <c r="P42" s="41" t="n"/>
      <c r="Q42" s="53">
        <f>AO42</f>
        <v/>
      </c>
      <c r="R42" s="41" t="n"/>
      <c r="S42" s="41" t="n"/>
      <c r="T42" s="57">
        <f>IF(AR42="","-",AR42)</f>
        <v/>
      </c>
      <c r="U42" s="41" t="n"/>
      <c r="V42" s="57">
        <f>IF(AT42="","-",AT42)</f>
        <v/>
      </c>
      <c r="W42" s="41" t="n"/>
      <c r="X42" s="55">
        <f>AU42</f>
        <v/>
      </c>
      <c r="Y42" s="41" t="n"/>
      <c r="Z42" s="66">
        <f>AV42</f>
        <v/>
      </c>
      <c r="AA42" s="41" t="n"/>
      <c r="AB42" s="41" t="n"/>
      <c r="AC42" s="53">
        <f>AW42</f>
        <v/>
      </c>
      <c r="AD42" s="41" t="n"/>
      <c r="AE42" s="41" t="n"/>
      <c r="AF42" s="15" t="n"/>
      <c r="AI42" s="67" t="n">
        <v>21</v>
      </c>
      <c r="AJ42" s="67" t="n">
        <v>22.5</v>
      </c>
      <c r="AK42" s="68">
        <f>AJ42-AI42</f>
        <v/>
      </c>
      <c r="AL42" s="68">
        <f>(AI42+AJ42)/2</f>
        <v/>
      </c>
      <c r="AM42" s="67" t="inlineStr">
        <is>
          <t>Sand</t>
        </is>
      </c>
      <c r="AN42" s="67" t="n">
        <v>28</v>
      </c>
      <c r="AO42" s="68">
        <f>IF(AL42&gt;$AA$19,$AA$21,$AA$20)</f>
        <v/>
      </c>
      <c r="AP42" s="68">
        <f>AP41+AO42*AK42</f>
        <v/>
      </c>
      <c r="AQ42" s="68">
        <f>AP42-AO42*AK42/2-10*MAX(AL42-$AA$19,0)</f>
        <v/>
      </c>
      <c r="AR42" s="67" t="n"/>
      <c r="AS42" s="67" t="n"/>
      <c r="AT42" s="68">
        <f>IF(AR42="","",AR42-AS42)</f>
        <v/>
      </c>
      <c r="AU42" s="67" t="n">
        <v>0.65</v>
      </c>
      <c r="AV42" s="68">
        <f>IF(AM42="Sand",0,Input!$AA$31*AN42)</f>
        <v/>
      </c>
      <c r="AW42" s="68">
        <f>IF(AM42="Sand",27.1+0.3*MIN(Input!$AA$32*AN42,60)-0.00054*MIN(Input!$AA$32*AN42,60)^2,MIN(MAX(DEGREES(ASIN(0.8-0.094*LN(MAX(IF(AT42="",10,AT42),5)))),20),30))</f>
        <v/>
      </c>
      <c r="AX42" s="68">
        <f>IF(AM42="Sand",Input!$AA$33*Input!$AA$32*AN42,Input!$AA$34*AV42)</f>
        <v/>
      </c>
      <c r="AY42" s="68">
        <f>IF(AM42="Sand",Input!$AA$35,0.5)</f>
        <v/>
      </c>
      <c r="AZ42" s="68">
        <f>Input!$AA$15/2/AL42</f>
        <v/>
      </c>
      <c r="BA42" s="68">
        <f>Input!$AA$16/2/AL42</f>
        <v/>
      </c>
      <c r="BB42" s="68">
        <f>1/(4*PI())*(2*AZ42*BA42*SQRT(AZ42^2+BA42^2+1)/(AZ42^2+BA42^2+1+AZ42^2*BA42^2)*(AZ42^2+BA42^2+2)/(AZ42^2+BA42^2+1)+ATAN2(AZ42^2+BA42^2+1-AZ42^2*BA42^2,2*AZ42*BA42*SQRT(AZ42^2+BA42^2+1)))</f>
        <v/>
      </c>
      <c r="BC42" s="68">
        <f>4*Input!$AA$14*BB42</f>
        <v/>
      </c>
      <c r="BD42" s="68">
        <f>((Input!$AA$16/Input!$AA$15)*LN((1+SQRT((Input!$AA$16/Input!$AA$15)^2+1))*SQRT((Input!$AA$16/Input!$AA$15)^2+(AJ42/(Input!$AA$15/2))^2)/((Input!$AA$16/Input!$AA$15)*(1+SQRT((Input!$AA$16/Input!$AA$15)^2+(AJ42/(Input!$AA$15/2))^2+1))))+LN(((Input!$AA$16/Input!$AA$15)+SQRT((Input!$AA$16/Input!$AA$15)^2+1))*SQRT(1+(AJ42/(Input!$AA$15/2))^2)/((Input!$AA$16/Input!$AA$15)+SQRT((Input!$AA$16/Input!$AA$15)^2+(AJ42/(Input!$AA$15/2))^2+1))))/PI()</f>
        <v/>
      </c>
      <c r="BE42" s="68">
        <f>(AJ42/(Input!$AA$15/2))/(2*PI())*ATAN((Input!$AA$16/Input!$AA$15)/((AJ42/(Input!$AA$15/2))*SQRT((Input!$AA$16/Input!$AA$15)^2+(AJ42/(Input!$AA$15/2))^2+1)))</f>
        <v/>
      </c>
      <c r="BF42" s="68">
        <f>MAX(0,AJ42-MAX(AI42,$AA$22))/AK42*IF(BC42&gt;=Input!$AA$21*AQ42,1,0)</f>
        <v/>
      </c>
      <c r="BG42" s="68">
        <f>4*Input!$AA$14*(Input!$AA$15/2)*(1-AY42^2)/AX42*((BD42-BD41)+(1-2*AY42)/(1-AY42)*(BE42-BE41))*1000*BF42</f>
        <v/>
      </c>
      <c r="BH42" s="68">
        <f>IF(AM42="Sand",0,0.009*(AR42-10))</f>
        <v/>
      </c>
      <c r="BI42" s="68">
        <f>BH42*Input!$AA$36</f>
        <v/>
      </c>
      <c r="BJ42" s="68">
        <f>IF(AM42="Sand",0,MAX(AV42/Input!$AA$37,AQ42))</f>
        <v/>
      </c>
      <c r="BK42" s="68">
        <f>IF(AM42="Sand",0,1000*AK42/(1+AU42)*IF(AQ42+BC42&lt;=BJ42,BI42*LOG10((AQ42+BC42)/AQ42),BI42*LOG10(BJ42/AQ42)+BH42*LOG10((AQ42+BC42)/BJ42)))*BF42</f>
        <v/>
      </c>
      <c r="BL42" s="68">
        <f>IF(AM42="Sand",0,10^(INDEX(Input!$Q$48:$Q$54,MIN(MATCH(MIN(MAX(AR42,30),120),Input!$C$48:$C$54,1),6))+(MIN(MAX(AR42,30),120)-INDEX(Input!$C$48:$C$54,MIN(MATCH(MIN(MAX(AR42,30),120),Input!$C$48:$C$54,1),6)))/(INDEX(Input!$C$48:$C$54,MIN(MATCH(MIN(MAX(AR42,30),120),Input!$C$48:$C$54,1),6)+1)-INDEX(Input!$C$48:$C$54,MIN(MATCH(MIN(MAX(AR42,30),120),Input!$C$48:$C$54,1),6)))*(INDEX(Input!$Q$48:$Q$54,MIN(MATCH(MIN(MAX(AR42,30),120),Input!$C$48:$C$54,1),6)+1)-INDEX(Input!$Q$48:$Q$54,MIN(MATCH(MIN(MAX(AR42,30),120),Input!$C$48:$C$54,1),6)))))</f>
        <v/>
      </c>
      <c r="BM42" s="68">
        <f>IF(OR(AM42="Sand",BF42=0),0,Input!$AA$38*(AK42/2)^2/(BL42*1E-4*31536000))</f>
        <v/>
      </c>
      <c r="BN42" s="68">
        <f>MAX(0,MIN(AJ42,Input!$AA$20)-AI42)</f>
        <v/>
      </c>
      <c r="BO42" s="68">
        <f>MAX(0,MIN(AJ42,Input!$AA$20)-MAX(AI42,$AA$22))</f>
        <v/>
      </c>
      <c r="BP42" s="68">
        <f>MAX(0,MIN(AJ42,$AA$225)-AI42)</f>
        <v/>
      </c>
      <c r="BQ42" s="68" t="inlineStr"/>
    </row>
    <row r="43">
      <c r="B43" s="9" t="n"/>
      <c r="C43" s="57" t="n">
        <v>16</v>
      </c>
      <c r="D43" s="41" t="n"/>
      <c r="E43" s="55">
        <f>AI43</f>
        <v/>
      </c>
      <c r="F43" s="41" t="n"/>
      <c r="G43" s="41" t="n"/>
      <c r="H43" s="55">
        <f>AJ43</f>
        <v/>
      </c>
      <c r="I43" s="41" t="n"/>
      <c r="J43" s="41" t="n"/>
      <c r="K43" s="52">
        <f>AM43</f>
        <v/>
      </c>
      <c r="L43" s="41" t="n"/>
      <c r="M43" s="41" t="n"/>
      <c r="N43" s="57">
        <f>AN43</f>
        <v/>
      </c>
      <c r="O43" s="41" t="n"/>
      <c r="P43" s="41" t="n"/>
      <c r="Q43" s="53">
        <f>AO43</f>
        <v/>
      </c>
      <c r="R43" s="41" t="n"/>
      <c r="S43" s="41" t="n"/>
      <c r="T43" s="57">
        <f>IF(AR43="","-",AR43)</f>
        <v/>
      </c>
      <c r="U43" s="41" t="n"/>
      <c r="V43" s="57">
        <f>IF(AT43="","-",AT43)</f>
        <v/>
      </c>
      <c r="W43" s="41" t="n"/>
      <c r="X43" s="55">
        <f>AU43</f>
        <v/>
      </c>
      <c r="Y43" s="41" t="n"/>
      <c r="Z43" s="66">
        <f>AV43</f>
        <v/>
      </c>
      <c r="AA43" s="41" t="n"/>
      <c r="AB43" s="41" t="n"/>
      <c r="AC43" s="53">
        <f>AW43</f>
        <v/>
      </c>
      <c r="AD43" s="41" t="n"/>
      <c r="AE43" s="41" t="n"/>
      <c r="AF43" s="15" t="n"/>
      <c r="AI43" s="67" t="n">
        <v>22.5</v>
      </c>
      <c r="AJ43" s="67" t="n">
        <v>24</v>
      </c>
      <c r="AK43" s="68">
        <f>AJ43-AI43</f>
        <v/>
      </c>
      <c r="AL43" s="68">
        <f>(AI43+AJ43)/2</f>
        <v/>
      </c>
      <c r="AM43" s="67" t="inlineStr">
        <is>
          <t>Sand</t>
        </is>
      </c>
      <c r="AN43" s="67" t="n">
        <v>24</v>
      </c>
      <c r="AO43" s="68">
        <f>IF(AL43&gt;$AA$19,$AA$21,$AA$20)</f>
        <v/>
      </c>
      <c r="AP43" s="68">
        <f>AP42+AO43*AK43</f>
        <v/>
      </c>
      <c r="AQ43" s="68">
        <f>AP43-AO43*AK43/2-10*MAX(AL43-$AA$19,0)</f>
        <v/>
      </c>
      <c r="AR43" s="67" t="n"/>
      <c r="AS43" s="67" t="n"/>
      <c r="AT43" s="68">
        <f>IF(AR43="","",AR43-AS43)</f>
        <v/>
      </c>
      <c r="AU43" s="67" t="n">
        <v>0.747</v>
      </c>
      <c r="AV43" s="68">
        <f>IF(AM43="Sand",0,Input!$AA$31*AN43)</f>
        <v/>
      </c>
      <c r="AW43" s="68">
        <f>IF(AM43="Sand",27.1+0.3*MIN(Input!$AA$32*AN43,60)-0.00054*MIN(Input!$AA$32*AN43,60)^2,MIN(MAX(DEGREES(ASIN(0.8-0.094*LN(MAX(IF(AT43="",10,AT43),5)))),20),30))</f>
        <v/>
      </c>
      <c r="AX43" s="68">
        <f>IF(AM43="Sand",Input!$AA$33*Input!$AA$32*AN43,Input!$AA$34*AV43)</f>
        <v/>
      </c>
      <c r="AY43" s="68">
        <f>IF(AM43="Sand",Input!$AA$35,0.5)</f>
        <v/>
      </c>
      <c r="AZ43" s="68">
        <f>Input!$AA$15/2/AL43</f>
        <v/>
      </c>
      <c r="BA43" s="68">
        <f>Input!$AA$16/2/AL43</f>
        <v/>
      </c>
      <c r="BB43" s="68">
        <f>1/(4*PI())*(2*AZ43*BA43*SQRT(AZ43^2+BA43^2+1)/(AZ43^2+BA43^2+1+AZ43^2*BA43^2)*(AZ43^2+BA43^2+2)/(AZ43^2+BA43^2+1)+ATAN2(AZ43^2+BA43^2+1-AZ43^2*BA43^2,2*AZ43*BA43*SQRT(AZ43^2+BA43^2+1)))</f>
        <v/>
      </c>
      <c r="BC43" s="68">
        <f>4*Input!$AA$14*BB43</f>
        <v/>
      </c>
      <c r="BD43" s="68">
        <f>((Input!$AA$16/Input!$AA$15)*LN((1+SQRT((Input!$AA$16/Input!$AA$15)^2+1))*SQRT((Input!$AA$16/Input!$AA$15)^2+(AJ43/(Input!$AA$15/2))^2)/((Input!$AA$16/Input!$AA$15)*(1+SQRT((Input!$AA$16/Input!$AA$15)^2+(AJ43/(Input!$AA$15/2))^2+1))))+LN(((Input!$AA$16/Input!$AA$15)+SQRT((Input!$AA$16/Input!$AA$15)^2+1))*SQRT(1+(AJ43/(Input!$AA$15/2))^2)/((Input!$AA$16/Input!$AA$15)+SQRT((Input!$AA$16/Input!$AA$15)^2+(AJ43/(Input!$AA$15/2))^2+1))))/PI()</f>
        <v/>
      </c>
      <c r="BE43" s="68">
        <f>(AJ43/(Input!$AA$15/2))/(2*PI())*ATAN((Input!$AA$16/Input!$AA$15)/((AJ43/(Input!$AA$15/2))*SQRT((Input!$AA$16/Input!$AA$15)^2+(AJ43/(Input!$AA$15/2))^2+1)))</f>
        <v/>
      </c>
      <c r="BF43" s="68">
        <f>MAX(0,AJ43-MAX(AI43,$AA$22))/AK43*IF(BC43&gt;=Input!$AA$21*AQ43,1,0)</f>
        <v/>
      </c>
      <c r="BG43" s="68">
        <f>4*Input!$AA$14*(Input!$AA$15/2)*(1-AY43^2)/AX43*((BD43-BD42)+(1-2*AY43)/(1-AY43)*(BE43-BE42))*1000*BF43</f>
        <v/>
      </c>
      <c r="BH43" s="68">
        <f>IF(AM43="Sand",0,0.009*(AR43-10))</f>
        <v/>
      </c>
      <c r="BI43" s="68">
        <f>BH43*Input!$AA$36</f>
        <v/>
      </c>
      <c r="BJ43" s="68">
        <f>IF(AM43="Sand",0,MAX(AV43/Input!$AA$37,AQ43))</f>
        <v/>
      </c>
      <c r="BK43" s="68">
        <f>IF(AM43="Sand",0,1000*AK43/(1+AU43)*IF(AQ43+BC43&lt;=BJ43,BI43*LOG10((AQ43+BC43)/AQ43),BI43*LOG10(BJ43/AQ43)+BH43*LOG10((AQ43+BC43)/BJ43)))*BF43</f>
        <v/>
      </c>
      <c r="BL43" s="68">
        <f>IF(AM43="Sand",0,10^(INDEX(Input!$Q$48:$Q$54,MIN(MATCH(MIN(MAX(AR43,30),120),Input!$C$48:$C$54,1),6))+(MIN(MAX(AR43,30),120)-INDEX(Input!$C$48:$C$54,MIN(MATCH(MIN(MAX(AR43,30),120),Input!$C$48:$C$54,1),6)))/(INDEX(Input!$C$48:$C$54,MIN(MATCH(MIN(MAX(AR43,30),120),Input!$C$48:$C$54,1),6)+1)-INDEX(Input!$C$48:$C$54,MIN(MATCH(MIN(MAX(AR43,30),120),Input!$C$48:$C$54,1),6)))*(INDEX(Input!$Q$48:$Q$54,MIN(MATCH(MIN(MAX(AR43,30),120),Input!$C$48:$C$54,1),6)+1)-INDEX(Input!$Q$48:$Q$54,MIN(MATCH(MIN(MAX(AR43,30),120),Input!$C$48:$C$54,1),6)))))</f>
        <v/>
      </c>
      <c r="BM43" s="68">
        <f>IF(OR(AM43="Sand",BF43=0),0,Input!$AA$38*(AK43/2)^2/(BL43*1E-4*31536000))</f>
        <v/>
      </c>
      <c r="BN43" s="68">
        <f>MAX(0,MIN(AJ43,Input!$AA$20)-AI43)</f>
        <v/>
      </c>
      <c r="BO43" s="68">
        <f>MAX(0,MIN(AJ43,Input!$AA$20)-MAX(AI43,$AA$22))</f>
        <v/>
      </c>
      <c r="BP43" s="68">
        <f>MAX(0,MIN(AJ43,$AA$225)-AI43)</f>
        <v/>
      </c>
      <c r="BQ43" s="68" t="inlineStr"/>
    </row>
    <row r="44">
      <c r="B44" s="9" t="n"/>
      <c r="C44" s="57" t="n">
        <v>17</v>
      </c>
      <c r="D44" s="41" t="n"/>
      <c r="E44" s="55">
        <f>AI44</f>
        <v/>
      </c>
      <c r="F44" s="41" t="n"/>
      <c r="G44" s="41" t="n"/>
      <c r="H44" s="55">
        <f>AJ44</f>
        <v/>
      </c>
      <c r="I44" s="41" t="n"/>
      <c r="J44" s="41" t="n"/>
      <c r="K44" s="52">
        <f>AM44</f>
        <v/>
      </c>
      <c r="L44" s="41" t="n"/>
      <c r="M44" s="41" t="n"/>
      <c r="N44" s="57">
        <f>AN44</f>
        <v/>
      </c>
      <c r="O44" s="41" t="n"/>
      <c r="P44" s="41" t="n"/>
      <c r="Q44" s="53">
        <f>AO44</f>
        <v/>
      </c>
      <c r="R44" s="41" t="n"/>
      <c r="S44" s="41" t="n"/>
      <c r="T44" s="57">
        <f>IF(AR44="","-",AR44)</f>
        <v/>
      </c>
      <c r="U44" s="41" t="n"/>
      <c r="V44" s="57">
        <f>IF(AT44="","-",AT44)</f>
        <v/>
      </c>
      <c r="W44" s="41" t="n"/>
      <c r="X44" s="55">
        <f>AU44</f>
        <v/>
      </c>
      <c r="Y44" s="41" t="n"/>
      <c r="Z44" s="66">
        <f>AV44</f>
        <v/>
      </c>
      <c r="AA44" s="41" t="n"/>
      <c r="AB44" s="41" t="n"/>
      <c r="AC44" s="53">
        <f>AW44</f>
        <v/>
      </c>
      <c r="AD44" s="41" t="n"/>
      <c r="AE44" s="41" t="n"/>
      <c r="AF44" s="15" t="n"/>
      <c r="AI44" s="67" t="n">
        <v>24</v>
      </c>
      <c r="AJ44" s="67" t="n">
        <v>25.5</v>
      </c>
      <c r="AK44" s="68">
        <f>AJ44-AI44</f>
        <v/>
      </c>
      <c r="AL44" s="68">
        <f>(AI44+AJ44)/2</f>
        <v/>
      </c>
      <c r="AM44" s="67" t="inlineStr">
        <is>
          <t>Sand</t>
        </is>
      </c>
      <c r="AN44" s="67" t="n">
        <v>44</v>
      </c>
      <c r="AO44" s="68">
        <f>IF(AL44&gt;$AA$19,$AA$21,$AA$20)</f>
        <v/>
      </c>
      <c r="AP44" s="68">
        <f>AP43+AO44*AK44</f>
        <v/>
      </c>
      <c r="AQ44" s="68">
        <f>AP44-AO44*AK44/2-10*MAX(AL44-$AA$19,0)</f>
        <v/>
      </c>
      <c r="AR44" s="67" t="n"/>
      <c r="AS44" s="67" t="n"/>
      <c r="AT44" s="68">
        <f>IF(AR44="","",AR44-AS44)</f>
        <v/>
      </c>
      <c r="AU44" s="67" t="n">
        <v>0.65</v>
      </c>
      <c r="AV44" s="68">
        <f>IF(AM44="Sand",0,Input!$AA$31*AN44)</f>
        <v/>
      </c>
      <c r="AW44" s="68">
        <f>IF(AM44="Sand",27.1+0.3*MIN(Input!$AA$32*AN44,60)-0.00054*MIN(Input!$AA$32*AN44,60)^2,MIN(MAX(DEGREES(ASIN(0.8-0.094*LN(MAX(IF(AT44="",10,AT44),5)))),20),30))</f>
        <v/>
      </c>
      <c r="AX44" s="68">
        <f>IF(AM44="Sand",Input!$AA$33*Input!$AA$32*AN44,Input!$AA$34*AV44)</f>
        <v/>
      </c>
      <c r="AY44" s="68">
        <f>IF(AM44="Sand",Input!$AA$35,0.5)</f>
        <v/>
      </c>
      <c r="AZ44" s="68">
        <f>Input!$AA$15/2/AL44</f>
        <v/>
      </c>
      <c r="BA44" s="68">
        <f>Input!$AA$16/2/AL44</f>
        <v/>
      </c>
      <c r="BB44" s="68">
        <f>1/(4*PI())*(2*AZ44*BA44*SQRT(AZ44^2+BA44^2+1)/(AZ44^2+BA44^2+1+AZ44^2*BA44^2)*(AZ44^2+BA44^2+2)/(AZ44^2+BA44^2+1)+ATAN2(AZ44^2+BA44^2+1-AZ44^2*BA44^2,2*AZ44*BA44*SQRT(AZ44^2+BA44^2+1)))</f>
        <v/>
      </c>
      <c r="BC44" s="68">
        <f>4*Input!$AA$14*BB44</f>
        <v/>
      </c>
      <c r="BD44" s="68">
        <f>((Input!$AA$16/Input!$AA$15)*LN((1+SQRT((Input!$AA$16/Input!$AA$15)^2+1))*SQRT((Input!$AA$16/Input!$AA$15)^2+(AJ44/(Input!$AA$15/2))^2)/((Input!$AA$16/Input!$AA$15)*(1+SQRT((Input!$AA$16/Input!$AA$15)^2+(AJ44/(Input!$AA$15/2))^2+1))))+LN(((Input!$AA$16/Input!$AA$15)+SQRT((Input!$AA$16/Input!$AA$15)^2+1))*SQRT(1+(AJ44/(Input!$AA$15/2))^2)/((Input!$AA$16/Input!$AA$15)+SQRT((Input!$AA$16/Input!$AA$15)^2+(AJ44/(Input!$AA$15/2))^2+1))))/PI()</f>
        <v/>
      </c>
      <c r="BE44" s="68">
        <f>(AJ44/(Input!$AA$15/2))/(2*PI())*ATAN((Input!$AA$16/Input!$AA$15)/((AJ44/(Input!$AA$15/2))*SQRT((Input!$AA$16/Input!$AA$15)^2+(AJ44/(Input!$AA$15/2))^2+1)))</f>
        <v/>
      </c>
      <c r="BF44" s="68">
        <f>MAX(0,AJ44-MAX(AI44,$AA$22))/AK44*IF(BC44&gt;=Input!$AA$21*AQ44,1,0)</f>
        <v/>
      </c>
      <c r="BG44" s="68">
        <f>4*Input!$AA$14*(Input!$AA$15/2)*(1-AY44^2)/AX44*((BD44-BD43)+(1-2*AY44)/(1-AY44)*(BE44-BE43))*1000*BF44</f>
        <v/>
      </c>
      <c r="BH44" s="68">
        <f>IF(AM44="Sand",0,0.009*(AR44-10))</f>
        <v/>
      </c>
      <c r="BI44" s="68">
        <f>BH44*Input!$AA$36</f>
        <v/>
      </c>
      <c r="BJ44" s="68">
        <f>IF(AM44="Sand",0,MAX(AV44/Input!$AA$37,AQ44))</f>
        <v/>
      </c>
      <c r="BK44" s="68">
        <f>IF(AM44="Sand",0,1000*AK44/(1+AU44)*IF(AQ44+BC44&lt;=BJ44,BI44*LOG10((AQ44+BC44)/AQ44),BI44*LOG10(BJ44/AQ44)+BH44*LOG10((AQ44+BC44)/BJ44)))*BF44</f>
        <v/>
      </c>
      <c r="BL44" s="68">
        <f>IF(AM44="Sand",0,10^(INDEX(Input!$Q$48:$Q$54,MIN(MATCH(MIN(MAX(AR44,30),120),Input!$C$48:$C$54,1),6))+(MIN(MAX(AR44,30),120)-INDEX(Input!$C$48:$C$54,MIN(MATCH(MIN(MAX(AR44,30),120),Input!$C$48:$C$54,1),6)))/(INDEX(Input!$C$48:$C$54,MIN(MATCH(MIN(MAX(AR44,30),120),Input!$C$48:$C$54,1),6)+1)-INDEX(Input!$C$48:$C$54,MIN(MATCH(MIN(MAX(AR44,30),120),Input!$C$48:$C$54,1),6)))*(INDEX(Input!$Q$48:$Q$54,MIN(MATCH(MIN(MAX(AR44,30),120),Input!$C$48:$C$54,1),6)+1)-INDEX(Input!$Q$48:$Q$54,MIN(MATCH(MIN(MAX(AR44,30),120),Input!$C$48:$C$54,1),6)))))</f>
        <v/>
      </c>
      <c r="BM44" s="68">
        <f>IF(OR(AM44="Sand",BF44=0),0,Input!$AA$38*(AK44/2)^2/(BL44*1E-4*31536000))</f>
        <v/>
      </c>
      <c r="BN44" s="68">
        <f>MAX(0,MIN(AJ44,Input!$AA$20)-AI44)</f>
        <v/>
      </c>
      <c r="BO44" s="68">
        <f>MAX(0,MIN(AJ44,Input!$AA$20)-MAX(AI44,$AA$22))</f>
        <v/>
      </c>
      <c r="BP44" s="68">
        <f>MAX(0,MIN(AJ44,$AA$225)-AI44)</f>
        <v/>
      </c>
      <c r="BQ44" s="68" t="inlineStr"/>
    </row>
    <row r="45">
      <c r="B45" s="9" t="n"/>
      <c r="C45" s="57" t="n">
        <v>18</v>
      </c>
      <c r="D45" s="41" t="n"/>
      <c r="E45" s="55">
        <f>AI45</f>
        <v/>
      </c>
      <c r="F45" s="41" t="n"/>
      <c r="G45" s="41" t="n"/>
      <c r="H45" s="55">
        <f>AJ45</f>
        <v/>
      </c>
      <c r="I45" s="41" t="n"/>
      <c r="J45" s="41" t="n"/>
      <c r="K45" s="52">
        <f>AM45</f>
        <v/>
      </c>
      <c r="L45" s="41" t="n"/>
      <c r="M45" s="41" t="n"/>
      <c r="N45" s="57">
        <f>AN45</f>
        <v/>
      </c>
      <c r="O45" s="41" t="n"/>
      <c r="P45" s="41" t="n"/>
      <c r="Q45" s="53">
        <f>AO45</f>
        <v/>
      </c>
      <c r="R45" s="41" t="n"/>
      <c r="S45" s="41" t="n"/>
      <c r="T45" s="57">
        <f>IF(AR45="","-",AR45)</f>
        <v/>
      </c>
      <c r="U45" s="41" t="n"/>
      <c r="V45" s="57">
        <f>IF(AT45="","-",AT45)</f>
        <v/>
      </c>
      <c r="W45" s="41" t="n"/>
      <c r="X45" s="55">
        <f>AU45</f>
        <v/>
      </c>
      <c r="Y45" s="41" t="n"/>
      <c r="Z45" s="66">
        <f>AV45</f>
        <v/>
      </c>
      <c r="AA45" s="41" t="n"/>
      <c r="AB45" s="41" t="n"/>
      <c r="AC45" s="53">
        <f>AW45</f>
        <v/>
      </c>
      <c r="AD45" s="41" t="n"/>
      <c r="AE45" s="41" t="n"/>
      <c r="AF45" s="15" t="n"/>
      <c r="AI45" s="67" t="n">
        <v>25.5</v>
      </c>
      <c r="AJ45" s="67" t="n">
        <v>27</v>
      </c>
      <c r="AK45" s="68">
        <f>AJ45-AI45</f>
        <v/>
      </c>
      <c r="AL45" s="68">
        <f>(AI45+AJ45)/2</f>
        <v/>
      </c>
      <c r="AM45" s="67" t="inlineStr">
        <is>
          <t>Sand</t>
        </is>
      </c>
      <c r="AN45" s="67" t="n">
        <v>21</v>
      </c>
      <c r="AO45" s="68">
        <f>IF(AL45&gt;$AA$19,$AA$21,$AA$20)</f>
        <v/>
      </c>
      <c r="AP45" s="68">
        <f>AP44+AO45*AK45</f>
        <v/>
      </c>
      <c r="AQ45" s="68">
        <f>AP45-AO45*AK45/2-10*MAX(AL45-$AA$19,0)</f>
        <v/>
      </c>
      <c r="AR45" s="67" t="n"/>
      <c r="AS45" s="67" t="n"/>
      <c r="AT45" s="68">
        <f>IF(AR45="","",AR45-AS45)</f>
        <v/>
      </c>
      <c r="AU45" s="67" t="n">
        <v>0.73</v>
      </c>
      <c r="AV45" s="68">
        <f>IF(AM45="Sand",0,Input!$AA$31*AN45)</f>
        <v/>
      </c>
      <c r="AW45" s="68">
        <f>IF(AM45="Sand",27.1+0.3*MIN(Input!$AA$32*AN45,60)-0.00054*MIN(Input!$AA$32*AN45,60)^2,MIN(MAX(DEGREES(ASIN(0.8-0.094*LN(MAX(IF(AT45="",10,AT45),5)))),20),30))</f>
        <v/>
      </c>
      <c r="AX45" s="68">
        <f>IF(AM45="Sand",Input!$AA$33*Input!$AA$32*AN45,Input!$AA$34*AV45)</f>
        <v/>
      </c>
      <c r="AY45" s="68">
        <f>IF(AM45="Sand",Input!$AA$35,0.5)</f>
        <v/>
      </c>
      <c r="AZ45" s="68">
        <f>Input!$AA$15/2/AL45</f>
        <v/>
      </c>
      <c r="BA45" s="68">
        <f>Input!$AA$16/2/AL45</f>
        <v/>
      </c>
      <c r="BB45" s="68">
        <f>1/(4*PI())*(2*AZ45*BA45*SQRT(AZ45^2+BA45^2+1)/(AZ45^2+BA45^2+1+AZ45^2*BA45^2)*(AZ45^2+BA45^2+2)/(AZ45^2+BA45^2+1)+ATAN2(AZ45^2+BA45^2+1-AZ45^2*BA45^2,2*AZ45*BA45*SQRT(AZ45^2+BA45^2+1)))</f>
        <v/>
      </c>
      <c r="BC45" s="68">
        <f>4*Input!$AA$14*BB45</f>
        <v/>
      </c>
      <c r="BD45" s="68">
        <f>((Input!$AA$16/Input!$AA$15)*LN((1+SQRT((Input!$AA$16/Input!$AA$15)^2+1))*SQRT((Input!$AA$16/Input!$AA$15)^2+(AJ45/(Input!$AA$15/2))^2)/((Input!$AA$16/Input!$AA$15)*(1+SQRT((Input!$AA$16/Input!$AA$15)^2+(AJ45/(Input!$AA$15/2))^2+1))))+LN(((Input!$AA$16/Input!$AA$15)+SQRT((Input!$AA$16/Input!$AA$15)^2+1))*SQRT(1+(AJ45/(Input!$AA$15/2))^2)/((Input!$AA$16/Input!$AA$15)+SQRT((Input!$AA$16/Input!$AA$15)^2+(AJ45/(Input!$AA$15/2))^2+1))))/PI()</f>
        <v/>
      </c>
      <c r="BE45" s="68">
        <f>(AJ45/(Input!$AA$15/2))/(2*PI())*ATAN((Input!$AA$16/Input!$AA$15)/((AJ45/(Input!$AA$15/2))*SQRT((Input!$AA$16/Input!$AA$15)^2+(AJ45/(Input!$AA$15/2))^2+1)))</f>
        <v/>
      </c>
      <c r="BF45" s="68">
        <f>MAX(0,AJ45-MAX(AI45,$AA$22))/AK45*IF(BC45&gt;=Input!$AA$21*AQ45,1,0)</f>
        <v/>
      </c>
      <c r="BG45" s="68">
        <f>4*Input!$AA$14*(Input!$AA$15/2)*(1-AY45^2)/AX45*((BD45-BD44)+(1-2*AY45)/(1-AY45)*(BE45-BE44))*1000*BF45</f>
        <v/>
      </c>
      <c r="BH45" s="68">
        <f>IF(AM45="Sand",0,0.009*(AR45-10))</f>
        <v/>
      </c>
      <c r="BI45" s="68">
        <f>BH45*Input!$AA$36</f>
        <v/>
      </c>
      <c r="BJ45" s="68">
        <f>IF(AM45="Sand",0,MAX(AV45/Input!$AA$37,AQ45))</f>
        <v/>
      </c>
      <c r="BK45" s="68">
        <f>IF(AM45="Sand",0,1000*AK45/(1+AU45)*IF(AQ45+BC45&lt;=BJ45,BI45*LOG10((AQ45+BC45)/AQ45),BI45*LOG10(BJ45/AQ45)+BH45*LOG10((AQ45+BC45)/BJ45)))*BF45</f>
        <v/>
      </c>
      <c r="BL45" s="68">
        <f>IF(AM45="Sand",0,10^(INDEX(Input!$Q$48:$Q$54,MIN(MATCH(MIN(MAX(AR45,30),120),Input!$C$48:$C$54,1),6))+(MIN(MAX(AR45,30),120)-INDEX(Input!$C$48:$C$54,MIN(MATCH(MIN(MAX(AR45,30),120),Input!$C$48:$C$54,1),6)))/(INDEX(Input!$C$48:$C$54,MIN(MATCH(MIN(MAX(AR45,30),120),Input!$C$48:$C$54,1),6)+1)-INDEX(Input!$C$48:$C$54,MIN(MATCH(MIN(MAX(AR45,30),120),Input!$C$48:$C$54,1),6)))*(INDEX(Input!$Q$48:$Q$54,MIN(MATCH(MIN(MAX(AR45,30),120),Input!$C$48:$C$54,1),6)+1)-INDEX(Input!$Q$48:$Q$54,MIN(MATCH(MIN(MAX(AR45,30),120),Input!$C$48:$C$54,1),6)))))</f>
        <v/>
      </c>
      <c r="BM45" s="68">
        <f>IF(OR(AM45="Sand",BF45=0),0,Input!$AA$38*(AK45/2)^2/(BL45*1E-4*31536000))</f>
        <v/>
      </c>
      <c r="BN45" s="68">
        <f>MAX(0,MIN(AJ45,Input!$AA$20)-AI45)</f>
        <v/>
      </c>
      <c r="BO45" s="68">
        <f>MAX(0,MIN(AJ45,Input!$AA$20)-MAX(AI45,$AA$22))</f>
        <v/>
      </c>
      <c r="BP45" s="68">
        <f>MAX(0,MIN(AJ45,$AA$225)-AI45)</f>
        <v/>
      </c>
      <c r="BQ45" s="68" t="inlineStr"/>
    </row>
    <row r="46">
      <c r="B46" s="9" t="n"/>
      <c r="C46" s="57" t="n">
        <v>19</v>
      </c>
      <c r="D46" s="41" t="n"/>
      <c r="E46" s="55">
        <f>AI46</f>
        <v/>
      </c>
      <c r="F46" s="41" t="n"/>
      <c r="G46" s="41" t="n"/>
      <c r="H46" s="55">
        <f>AJ46</f>
        <v/>
      </c>
      <c r="I46" s="41" t="n"/>
      <c r="J46" s="41" t="n"/>
      <c r="K46" s="52">
        <f>AM46</f>
        <v/>
      </c>
      <c r="L46" s="41" t="n"/>
      <c r="M46" s="41" t="n"/>
      <c r="N46" s="57">
        <f>AN46</f>
        <v/>
      </c>
      <c r="O46" s="41" t="n"/>
      <c r="P46" s="41" t="n"/>
      <c r="Q46" s="53">
        <f>AO46</f>
        <v/>
      </c>
      <c r="R46" s="41" t="n"/>
      <c r="S46" s="41" t="n"/>
      <c r="T46" s="57">
        <f>IF(AR46="","-",AR46)</f>
        <v/>
      </c>
      <c r="U46" s="41" t="n"/>
      <c r="V46" s="57">
        <f>IF(AT46="","-",AT46)</f>
        <v/>
      </c>
      <c r="W46" s="41" t="n"/>
      <c r="X46" s="55">
        <f>AU46</f>
        <v/>
      </c>
      <c r="Y46" s="41" t="n"/>
      <c r="Z46" s="66">
        <f>AV46</f>
        <v/>
      </c>
      <c r="AA46" s="41" t="n"/>
      <c r="AB46" s="41" t="n"/>
      <c r="AC46" s="53">
        <f>AW46</f>
        <v/>
      </c>
      <c r="AD46" s="41" t="n"/>
      <c r="AE46" s="41" t="n"/>
      <c r="AF46" s="15" t="n"/>
      <c r="AI46" s="67" t="n">
        <v>27</v>
      </c>
      <c r="AJ46" s="67" t="n">
        <v>28.5</v>
      </c>
      <c r="AK46" s="68">
        <f>AJ46-AI46</f>
        <v/>
      </c>
      <c r="AL46" s="68">
        <f>(AI46+AJ46)/2</f>
        <v/>
      </c>
      <c r="AM46" s="67" t="inlineStr">
        <is>
          <t>Sand</t>
        </is>
      </c>
      <c r="AN46" s="67" t="n">
        <v>31</v>
      </c>
      <c r="AO46" s="68">
        <f>IF(AL46&gt;$AA$19,$AA$21,$AA$20)</f>
        <v/>
      </c>
      <c r="AP46" s="68">
        <f>AP45+AO46*AK46</f>
        <v/>
      </c>
      <c r="AQ46" s="68">
        <f>AP46-AO46*AK46/2-10*MAX(AL46-$AA$19,0)</f>
        <v/>
      </c>
      <c r="AR46" s="67" t="n"/>
      <c r="AS46" s="67" t="n"/>
      <c r="AT46" s="68">
        <f>IF(AR46="","",AR46-AS46)</f>
        <v/>
      </c>
      <c r="AU46" s="67" t="n">
        <v>0.65</v>
      </c>
      <c r="AV46" s="68">
        <f>IF(AM46="Sand",0,Input!$AA$31*AN46)</f>
        <v/>
      </c>
      <c r="AW46" s="68">
        <f>IF(AM46="Sand",27.1+0.3*MIN(Input!$AA$32*AN46,60)-0.00054*MIN(Input!$AA$32*AN46,60)^2,MIN(MAX(DEGREES(ASIN(0.8-0.094*LN(MAX(IF(AT46="",10,AT46),5)))),20),30))</f>
        <v/>
      </c>
      <c r="AX46" s="68">
        <f>IF(AM46="Sand",Input!$AA$33*Input!$AA$32*AN46,Input!$AA$34*AV46)</f>
        <v/>
      </c>
      <c r="AY46" s="68">
        <f>IF(AM46="Sand",Input!$AA$35,0.5)</f>
        <v/>
      </c>
      <c r="AZ46" s="68">
        <f>Input!$AA$15/2/AL46</f>
        <v/>
      </c>
      <c r="BA46" s="68">
        <f>Input!$AA$16/2/AL46</f>
        <v/>
      </c>
      <c r="BB46" s="68">
        <f>1/(4*PI())*(2*AZ46*BA46*SQRT(AZ46^2+BA46^2+1)/(AZ46^2+BA46^2+1+AZ46^2*BA46^2)*(AZ46^2+BA46^2+2)/(AZ46^2+BA46^2+1)+ATAN2(AZ46^2+BA46^2+1-AZ46^2*BA46^2,2*AZ46*BA46*SQRT(AZ46^2+BA46^2+1)))</f>
        <v/>
      </c>
      <c r="BC46" s="68">
        <f>4*Input!$AA$14*BB46</f>
        <v/>
      </c>
      <c r="BD46" s="68">
        <f>((Input!$AA$16/Input!$AA$15)*LN((1+SQRT((Input!$AA$16/Input!$AA$15)^2+1))*SQRT((Input!$AA$16/Input!$AA$15)^2+(AJ46/(Input!$AA$15/2))^2)/((Input!$AA$16/Input!$AA$15)*(1+SQRT((Input!$AA$16/Input!$AA$15)^2+(AJ46/(Input!$AA$15/2))^2+1))))+LN(((Input!$AA$16/Input!$AA$15)+SQRT((Input!$AA$16/Input!$AA$15)^2+1))*SQRT(1+(AJ46/(Input!$AA$15/2))^2)/((Input!$AA$16/Input!$AA$15)+SQRT((Input!$AA$16/Input!$AA$15)^2+(AJ46/(Input!$AA$15/2))^2+1))))/PI()</f>
        <v/>
      </c>
      <c r="BE46" s="68">
        <f>(AJ46/(Input!$AA$15/2))/(2*PI())*ATAN((Input!$AA$16/Input!$AA$15)/((AJ46/(Input!$AA$15/2))*SQRT((Input!$AA$16/Input!$AA$15)^2+(AJ46/(Input!$AA$15/2))^2+1)))</f>
        <v/>
      </c>
      <c r="BF46" s="68">
        <f>MAX(0,AJ46-MAX(AI46,$AA$22))/AK46*IF(BC46&gt;=Input!$AA$21*AQ46,1,0)</f>
        <v/>
      </c>
      <c r="BG46" s="68">
        <f>4*Input!$AA$14*(Input!$AA$15/2)*(1-AY46^2)/AX46*((BD46-BD45)+(1-2*AY46)/(1-AY46)*(BE46-BE45))*1000*BF46</f>
        <v/>
      </c>
      <c r="BH46" s="68">
        <f>IF(AM46="Sand",0,0.009*(AR46-10))</f>
        <v/>
      </c>
      <c r="BI46" s="68">
        <f>BH46*Input!$AA$36</f>
        <v/>
      </c>
      <c r="BJ46" s="68">
        <f>IF(AM46="Sand",0,MAX(AV46/Input!$AA$37,AQ46))</f>
        <v/>
      </c>
      <c r="BK46" s="68">
        <f>IF(AM46="Sand",0,1000*AK46/(1+AU46)*IF(AQ46+BC46&lt;=BJ46,BI46*LOG10((AQ46+BC46)/AQ46),BI46*LOG10(BJ46/AQ46)+BH46*LOG10((AQ46+BC46)/BJ46)))*BF46</f>
        <v/>
      </c>
      <c r="BL46" s="68">
        <f>IF(AM46="Sand",0,10^(INDEX(Input!$Q$48:$Q$54,MIN(MATCH(MIN(MAX(AR46,30),120),Input!$C$48:$C$54,1),6))+(MIN(MAX(AR46,30),120)-INDEX(Input!$C$48:$C$54,MIN(MATCH(MIN(MAX(AR46,30),120),Input!$C$48:$C$54,1),6)))/(INDEX(Input!$C$48:$C$54,MIN(MATCH(MIN(MAX(AR46,30),120),Input!$C$48:$C$54,1),6)+1)-INDEX(Input!$C$48:$C$54,MIN(MATCH(MIN(MAX(AR46,30),120),Input!$C$48:$C$54,1),6)))*(INDEX(Input!$Q$48:$Q$54,MIN(MATCH(MIN(MAX(AR46,30),120),Input!$C$48:$C$54,1),6)+1)-INDEX(Input!$Q$48:$Q$54,MIN(MATCH(MIN(MAX(AR46,30),120),Input!$C$48:$C$54,1),6)))))</f>
        <v/>
      </c>
      <c r="BM46" s="68">
        <f>IF(OR(AM46="Sand",BF46=0),0,Input!$AA$38*(AK46/2)^2/(BL46*1E-4*31536000))</f>
        <v/>
      </c>
      <c r="BN46" s="68">
        <f>MAX(0,MIN(AJ46,Input!$AA$20)-AI46)</f>
        <v/>
      </c>
      <c r="BO46" s="68">
        <f>MAX(0,MIN(AJ46,Input!$AA$20)-MAX(AI46,$AA$22))</f>
        <v/>
      </c>
      <c r="BP46" s="68">
        <f>MAX(0,MIN(AJ46,$AA$225)-AI46)</f>
        <v/>
      </c>
      <c r="BQ46" s="68" t="inlineStr"/>
    </row>
    <row r="47">
      <c r="B47" s="9" t="n"/>
      <c r="C47" s="57" t="n">
        <v>20</v>
      </c>
      <c r="D47" s="41" t="n"/>
      <c r="E47" s="55">
        <f>AI47</f>
        <v/>
      </c>
      <c r="F47" s="41" t="n"/>
      <c r="G47" s="41" t="n"/>
      <c r="H47" s="55">
        <f>AJ47</f>
        <v/>
      </c>
      <c r="I47" s="41" t="n"/>
      <c r="J47" s="41" t="n"/>
      <c r="K47" s="52">
        <f>AM47</f>
        <v/>
      </c>
      <c r="L47" s="41" t="n"/>
      <c r="M47" s="41" t="n"/>
      <c r="N47" s="57">
        <f>AN47</f>
        <v/>
      </c>
      <c r="O47" s="41" t="n"/>
      <c r="P47" s="41" t="n"/>
      <c r="Q47" s="53">
        <f>AO47</f>
        <v/>
      </c>
      <c r="R47" s="41" t="n"/>
      <c r="S47" s="41" t="n"/>
      <c r="T47" s="57">
        <f>IF(AR47="","-",AR47)</f>
        <v/>
      </c>
      <c r="U47" s="41" t="n"/>
      <c r="V47" s="57">
        <f>IF(AT47="","-",AT47)</f>
        <v/>
      </c>
      <c r="W47" s="41" t="n"/>
      <c r="X47" s="55">
        <f>AU47</f>
        <v/>
      </c>
      <c r="Y47" s="41" t="n"/>
      <c r="Z47" s="66">
        <f>AV47</f>
        <v/>
      </c>
      <c r="AA47" s="41" t="n"/>
      <c r="AB47" s="41" t="n"/>
      <c r="AC47" s="53">
        <f>AW47</f>
        <v/>
      </c>
      <c r="AD47" s="41" t="n"/>
      <c r="AE47" s="41" t="n"/>
      <c r="AF47" s="15" t="n"/>
      <c r="AI47" s="67" t="n">
        <v>28.5</v>
      </c>
      <c r="AJ47" s="67" t="n">
        <v>30</v>
      </c>
      <c r="AK47" s="68">
        <f>AJ47-AI47</f>
        <v/>
      </c>
      <c r="AL47" s="68">
        <f>(AI47+AJ47)/2</f>
        <v/>
      </c>
      <c r="AM47" s="67" t="inlineStr">
        <is>
          <t>Sand</t>
        </is>
      </c>
      <c r="AN47" s="67" t="n">
        <v>50</v>
      </c>
      <c r="AO47" s="68">
        <f>IF(AL47&gt;$AA$19,$AA$21,$AA$20)</f>
        <v/>
      </c>
      <c r="AP47" s="68">
        <f>AP46+AO47*AK47</f>
        <v/>
      </c>
      <c r="AQ47" s="68">
        <f>AP47-AO47*AK47/2-10*MAX(AL47-$AA$19,0)</f>
        <v/>
      </c>
      <c r="AR47" s="67" t="n"/>
      <c r="AS47" s="67" t="n"/>
      <c r="AT47" s="68">
        <f>IF(AR47="","",AR47-AS47)</f>
        <v/>
      </c>
      <c r="AU47" s="67" t="n">
        <v>0.65</v>
      </c>
      <c r="AV47" s="68">
        <f>IF(AM47="Sand",0,Input!$AA$31*AN47)</f>
        <v/>
      </c>
      <c r="AW47" s="68">
        <f>IF(AM47="Sand",27.1+0.3*MIN(Input!$AA$32*AN47,60)-0.00054*MIN(Input!$AA$32*AN47,60)^2,MIN(MAX(DEGREES(ASIN(0.8-0.094*LN(MAX(IF(AT47="",10,AT47),5)))),20),30))</f>
        <v/>
      </c>
      <c r="AX47" s="68">
        <f>IF(AM47="Sand",Input!$AA$33*Input!$AA$32*AN47,Input!$AA$34*AV47)</f>
        <v/>
      </c>
      <c r="AY47" s="68">
        <f>IF(AM47="Sand",Input!$AA$35,0.5)</f>
        <v/>
      </c>
      <c r="AZ47" s="68">
        <f>Input!$AA$15/2/AL47</f>
        <v/>
      </c>
      <c r="BA47" s="68">
        <f>Input!$AA$16/2/AL47</f>
        <v/>
      </c>
      <c r="BB47" s="68">
        <f>1/(4*PI())*(2*AZ47*BA47*SQRT(AZ47^2+BA47^2+1)/(AZ47^2+BA47^2+1+AZ47^2*BA47^2)*(AZ47^2+BA47^2+2)/(AZ47^2+BA47^2+1)+ATAN2(AZ47^2+BA47^2+1-AZ47^2*BA47^2,2*AZ47*BA47*SQRT(AZ47^2+BA47^2+1)))</f>
        <v/>
      </c>
      <c r="BC47" s="68">
        <f>4*Input!$AA$14*BB47</f>
        <v/>
      </c>
      <c r="BD47" s="68">
        <f>((Input!$AA$16/Input!$AA$15)*LN((1+SQRT((Input!$AA$16/Input!$AA$15)^2+1))*SQRT((Input!$AA$16/Input!$AA$15)^2+(AJ47/(Input!$AA$15/2))^2)/((Input!$AA$16/Input!$AA$15)*(1+SQRT((Input!$AA$16/Input!$AA$15)^2+(AJ47/(Input!$AA$15/2))^2+1))))+LN(((Input!$AA$16/Input!$AA$15)+SQRT((Input!$AA$16/Input!$AA$15)^2+1))*SQRT(1+(AJ47/(Input!$AA$15/2))^2)/((Input!$AA$16/Input!$AA$15)+SQRT((Input!$AA$16/Input!$AA$15)^2+(AJ47/(Input!$AA$15/2))^2+1))))/PI()</f>
        <v/>
      </c>
      <c r="BE47" s="68">
        <f>(AJ47/(Input!$AA$15/2))/(2*PI())*ATAN((Input!$AA$16/Input!$AA$15)/((AJ47/(Input!$AA$15/2))*SQRT((Input!$AA$16/Input!$AA$15)^2+(AJ47/(Input!$AA$15/2))^2+1)))</f>
        <v/>
      </c>
      <c r="BF47" s="68">
        <f>MAX(0,AJ47-MAX(AI47,$AA$22))/AK47*IF(BC47&gt;=Input!$AA$21*AQ47,1,0)</f>
        <v/>
      </c>
      <c r="BG47" s="68">
        <f>4*Input!$AA$14*(Input!$AA$15/2)*(1-AY47^2)/AX47*((BD47-BD46)+(1-2*AY47)/(1-AY47)*(BE47-BE46))*1000*BF47</f>
        <v/>
      </c>
      <c r="BH47" s="68">
        <f>IF(AM47="Sand",0,0.009*(AR47-10))</f>
        <v/>
      </c>
      <c r="BI47" s="68">
        <f>BH47*Input!$AA$36</f>
        <v/>
      </c>
      <c r="BJ47" s="68">
        <f>IF(AM47="Sand",0,MAX(AV47/Input!$AA$37,AQ47))</f>
        <v/>
      </c>
      <c r="BK47" s="68">
        <f>IF(AM47="Sand",0,1000*AK47/(1+AU47)*IF(AQ47+BC47&lt;=BJ47,BI47*LOG10((AQ47+BC47)/AQ47),BI47*LOG10(BJ47/AQ47)+BH47*LOG10((AQ47+BC47)/BJ47)))*BF47</f>
        <v/>
      </c>
      <c r="BL47" s="68">
        <f>IF(AM47="Sand",0,10^(INDEX(Input!$Q$48:$Q$54,MIN(MATCH(MIN(MAX(AR47,30),120),Input!$C$48:$C$54,1),6))+(MIN(MAX(AR47,30),120)-INDEX(Input!$C$48:$C$54,MIN(MATCH(MIN(MAX(AR47,30),120),Input!$C$48:$C$54,1),6)))/(INDEX(Input!$C$48:$C$54,MIN(MATCH(MIN(MAX(AR47,30),120),Input!$C$48:$C$54,1),6)+1)-INDEX(Input!$C$48:$C$54,MIN(MATCH(MIN(MAX(AR47,30),120),Input!$C$48:$C$54,1),6)))*(INDEX(Input!$Q$48:$Q$54,MIN(MATCH(MIN(MAX(AR47,30),120),Input!$C$48:$C$54,1),6)+1)-INDEX(Input!$Q$48:$Q$54,MIN(MATCH(MIN(MAX(AR47,30),120),Input!$C$48:$C$54,1),6)))))</f>
        <v/>
      </c>
      <c r="BM47" s="68">
        <f>IF(OR(AM47="Sand",BF47=0),0,Input!$AA$38*(AK47/2)^2/(BL47*1E-4*31536000))</f>
        <v/>
      </c>
      <c r="BN47" s="68">
        <f>MAX(0,MIN(AJ47,Input!$AA$20)-AI47)</f>
        <v/>
      </c>
      <c r="BO47" s="68">
        <f>MAX(0,MIN(AJ47,Input!$AA$20)-MAX(AI47,$AA$22))</f>
        <v/>
      </c>
      <c r="BP47" s="68">
        <f>MAX(0,MIN(AJ47,$AA$225)-AI47)</f>
        <v/>
      </c>
      <c r="BQ47" s="68" t="inlineStr"/>
    </row>
    <row r="48">
      <c r="B48" s="9" t="n"/>
      <c r="C48" s="57" t="n">
        <v>21</v>
      </c>
      <c r="D48" s="41" t="n"/>
      <c r="E48" s="55">
        <f>AI48</f>
        <v/>
      </c>
      <c r="F48" s="41" t="n"/>
      <c r="G48" s="41" t="n"/>
      <c r="H48" s="55">
        <f>AJ48</f>
        <v/>
      </c>
      <c r="I48" s="41" t="n"/>
      <c r="J48" s="41" t="n"/>
      <c r="K48" s="52">
        <f>AM48</f>
        <v/>
      </c>
      <c r="L48" s="41" t="n"/>
      <c r="M48" s="41" t="n"/>
      <c r="N48" s="57">
        <f>AN48</f>
        <v/>
      </c>
      <c r="O48" s="41" t="n"/>
      <c r="P48" s="41" t="n"/>
      <c r="Q48" s="53">
        <f>AO48</f>
        <v/>
      </c>
      <c r="R48" s="41" t="n"/>
      <c r="S48" s="41" t="n"/>
      <c r="T48" s="57">
        <f>IF(AR48="","-",AR48)</f>
        <v/>
      </c>
      <c r="U48" s="41" t="n"/>
      <c r="V48" s="57">
        <f>IF(AT48="","-",AT48)</f>
        <v/>
      </c>
      <c r="W48" s="41" t="n"/>
      <c r="X48" s="55">
        <f>AU48</f>
        <v/>
      </c>
      <c r="Y48" s="41" t="n"/>
      <c r="Z48" s="66">
        <f>AV48</f>
        <v/>
      </c>
      <c r="AA48" s="41" t="n"/>
      <c r="AB48" s="41" t="n"/>
      <c r="AC48" s="53">
        <f>AW48</f>
        <v/>
      </c>
      <c r="AD48" s="41" t="n"/>
      <c r="AE48" s="41" t="n"/>
      <c r="AF48" s="15" t="n"/>
      <c r="AI48" s="67" t="n">
        <v>30</v>
      </c>
      <c r="AJ48" s="67" t="n">
        <v>31.5</v>
      </c>
      <c r="AK48" s="68">
        <f>AJ48-AI48</f>
        <v/>
      </c>
      <c r="AL48" s="68">
        <f>(AI48+AJ48)/2</f>
        <v/>
      </c>
      <c r="AM48" s="67" t="inlineStr">
        <is>
          <t>Sand</t>
        </is>
      </c>
      <c r="AN48" s="67" t="n">
        <v>40</v>
      </c>
      <c r="AO48" s="68">
        <f>IF(AL48&gt;$AA$19,$AA$21,$AA$20)</f>
        <v/>
      </c>
      <c r="AP48" s="68">
        <f>AP47+AO48*AK48</f>
        <v/>
      </c>
      <c r="AQ48" s="68">
        <f>AP48-AO48*AK48/2-10*MAX(AL48-$AA$19,0)</f>
        <v/>
      </c>
      <c r="AR48" s="67" t="n"/>
      <c r="AS48" s="67" t="n"/>
      <c r="AT48" s="68">
        <f>IF(AR48="","",AR48-AS48)</f>
        <v/>
      </c>
      <c r="AU48" s="67" t="n">
        <v>0.65</v>
      </c>
      <c r="AV48" s="68">
        <f>IF(AM48="Sand",0,Input!$AA$31*AN48)</f>
        <v/>
      </c>
      <c r="AW48" s="68">
        <f>IF(AM48="Sand",27.1+0.3*MIN(Input!$AA$32*AN48,60)-0.00054*MIN(Input!$AA$32*AN48,60)^2,MIN(MAX(DEGREES(ASIN(0.8-0.094*LN(MAX(IF(AT48="",10,AT48),5)))),20),30))</f>
        <v/>
      </c>
      <c r="AX48" s="68">
        <f>IF(AM48="Sand",Input!$AA$33*Input!$AA$32*AN48,Input!$AA$34*AV48)</f>
        <v/>
      </c>
      <c r="AY48" s="68">
        <f>IF(AM48="Sand",Input!$AA$35,0.5)</f>
        <v/>
      </c>
      <c r="AZ48" s="68">
        <f>Input!$AA$15/2/AL48</f>
        <v/>
      </c>
      <c r="BA48" s="68">
        <f>Input!$AA$16/2/AL48</f>
        <v/>
      </c>
      <c r="BB48" s="68">
        <f>1/(4*PI())*(2*AZ48*BA48*SQRT(AZ48^2+BA48^2+1)/(AZ48^2+BA48^2+1+AZ48^2*BA48^2)*(AZ48^2+BA48^2+2)/(AZ48^2+BA48^2+1)+ATAN2(AZ48^2+BA48^2+1-AZ48^2*BA48^2,2*AZ48*BA48*SQRT(AZ48^2+BA48^2+1)))</f>
        <v/>
      </c>
      <c r="BC48" s="68">
        <f>4*Input!$AA$14*BB48</f>
        <v/>
      </c>
      <c r="BD48" s="68">
        <f>((Input!$AA$16/Input!$AA$15)*LN((1+SQRT((Input!$AA$16/Input!$AA$15)^2+1))*SQRT((Input!$AA$16/Input!$AA$15)^2+(AJ48/(Input!$AA$15/2))^2)/((Input!$AA$16/Input!$AA$15)*(1+SQRT((Input!$AA$16/Input!$AA$15)^2+(AJ48/(Input!$AA$15/2))^2+1))))+LN(((Input!$AA$16/Input!$AA$15)+SQRT((Input!$AA$16/Input!$AA$15)^2+1))*SQRT(1+(AJ48/(Input!$AA$15/2))^2)/((Input!$AA$16/Input!$AA$15)+SQRT((Input!$AA$16/Input!$AA$15)^2+(AJ48/(Input!$AA$15/2))^2+1))))/PI()</f>
        <v/>
      </c>
      <c r="BE48" s="68">
        <f>(AJ48/(Input!$AA$15/2))/(2*PI())*ATAN((Input!$AA$16/Input!$AA$15)/((AJ48/(Input!$AA$15/2))*SQRT((Input!$AA$16/Input!$AA$15)^2+(AJ48/(Input!$AA$15/2))^2+1)))</f>
        <v/>
      </c>
      <c r="BF48" s="68">
        <f>MAX(0,AJ48-MAX(AI48,$AA$22))/AK48*IF(BC48&gt;=Input!$AA$21*AQ48,1,0)</f>
        <v/>
      </c>
      <c r="BG48" s="68">
        <f>4*Input!$AA$14*(Input!$AA$15/2)*(1-AY48^2)/AX48*((BD48-BD47)+(1-2*AY48)/(1-AY48)*(BE48-BE47))*1000*BF48</f>
        <v/>
      </c>
      <c r="BH48" s="68">
        <f>IF(AM48="Sand",0,0.009*(AR48-10))</f>
        <v/>
      </c>
      <c r="BI48" s="68">
        <f>BH48*Input!$AA$36</f>
        <v/>
      </c>
      <c r="BJ48" s="68">
        <f>IF(AM48="Sand",0,MAX(AV48/Input!$AA$37,AQ48))</f>
        <v/>
      </c>
      <c r="BK48" s="68">
        <f>IF(AM48="Sand",0,1000*AK48/(1+AU48)*IF(AQ48+BC48&lt;=BJ48,BI48*LOG10((AQ48+BC48)/AQ48),BI48*LOG10(BJ48/AQ48)+BH48*LOG10((AQ48+BC48)/BJ48)))*BF48</f>
        <v/>
      </c>
      <c r="BL48" s="68">
        <f>IF(AM48="Sand",0,10^(INDEX(Input!$Q$48:$Q$54,MIN(MATCH(MIN(MAX(AR48,30),120),Input!$C$48:$C$54,1),6))+(MIN(MAX(AR48,30),120)-INDEX(Input!$C$48:$C$54,MIN(MATCH(MIN(MAX(AR48,30),120),Input!$C$48:$C$54,1),6)))/(INDEX(Input!$C$48:$C$54,MIN(MATCH(MIN(MAX(AR48,30),120),Input!$C$48:$C$54,1),6)+1)-INDEX(Input!$C$48:$C$54,MIN(MATCH(MIN(MAX(AR48,30),120),Input!$C$48:$C$54,1),6)))*(INDEX(Input!$Q$48:$Q$54,MIN(MATCH(MIN(MAX(AR48,30),120),Input!$C$48:$C$54,1),6)+1)-INDEX(Input!$Q$48:$Q$54,MIN(MATCH(MIN(MAX(AR48,30),120),Input!$C$48:$C$54,1),6)))))</f>
        <v/>
      </c>
      <c r="BM48" s="68">
        <f>IF(OR(AM48="Sand",BF48=0),0,Input!$AA$38*(AK48/2)^2/(BL48*1E-4*31536000))</f>
        <v/>
      </c>
      <c r="BN48" s="68">
        <f>MAX(0,MIN(AJ48,Input!$AA$20)-AI48)</f>
        <v/>
      </c>
      <c r="BO48" s="68">
        <f>MAX(0,MIN(AJ48,Input!$AA$20)-MAX(AI48,$AA$22))</f>
        <v/>
      </c>
      <c r="BP48" s="68">
        <f>MAX(0,MIN(AJ48,$AA$225)-AI48)</f>
        <v/>
      </c>
      <c r="BQ48" s="68" t="inlineStr"/>
    </row>
    <row r="49">
      <c r="B49" s="9" t="n"/>
      <c r="C49" s="57" t="n">
        <v>22</v>
      </c>
      <c r="D49" s="41" t="n"/>
      <c r="E49" s="55">
        <f>AI49</f>
        <v/>
      </c>
      <c r="F49" s="41" t="n"/>
      <c r="G49" s="41" t="n"/>
      <c r="H49" s="55">
        <f>AJ49</f>
        <v/>
      </c>
      <c r="I49" s="41" t="n"/>
      <c r="J49" s="41" t="n"/>
      <c r="K49" s="52">
        <f>AM49</f>
        <v/>
      </c>
      <c r="L49" s="41" t="n"/>
      <c r="M49" s="41" t="n"/>
      <c r="N49" s="57">
        <f>AN49</f>
        <v/>
      </c>
      <c r="O49" s="41" t="n"/>
      <c r="P49" s="41" t="n"/>
      <c r="Q49" s="53">
        <f>AO49</f>
        <v/>
      </c>
      <c r="R49" s="41" t="n"/>
      <c r="S49" s="41" t="n"/>
      <c r="T49" s="57">
        <f>IF(AR49="","-",AR49)</f>
        <v/>
      </c>
      <c r="U49" s="41" t="n"/>
      <c r="V49" s="57">
        <f>IF(AT49="","-",AT49)</f>
        <v/>
      </c>
      <c r="W49" s="41" t="n"/>
      <c r="X49" s="55">
        <f>AU49</f>
        <v/>
      </c>
      <c r="Y49" s="41" t="n"/>
      <c r="Z49" s="66">
        <f>AV49</f>
        <v/>
      </c>
      <c r="AA49" s="41" t="n"/>
      <c r="AB49" s="41" t="n"/>
      <c r="AC49" s="53">
        <f>AW49</f>
        <v/>
      </c>
      <c r="AD49" s="41" t="n"/>
      <c r="AE49" s="41" t="n"/>
      <c r="AF49" s="15" t="n"/>
      <c r="AI49" s="67" t="n">
        <v>31.5</v>
      </c>
      <c r="AJ49" s="67" t="n">
        <v>33</v>
      </c>
      <c r="AK49" s="68">
        <f>AJ49-AI49</f>
        <v/>
      </c>
      <c r="AL49" s="68">
        <f>(AI49+AJ49)/2</f>
        <v/>
      </c>
      <c r="AM49" s="67" t="inlineStr">
        <is>
          <t>Sand</t>
        </is>
      </c>
      <c r="AN49" s="67" t="n">
        <v>43</v>
      </c>
      <c r="AO49" s="68">
        <f>IF(AL49&gt;$AA$19,$AA$21,$AA$20)</f>
        <v/>
      </c>
      <c r="AP49" s="68">
        <f>AP48+AO49*AK49</f>
        <v/>
      </c>
      <c r="AQ49" s="68">
        <f>AP49-AO49*AK49/2-10*MAX(AL49-$AA$19,0)</f>
        <v/>
      </c>
      <c r="AR49" s="67" t="n"/>
      <c r="AS49" s="67" t="n"/>
      <c r="AT49" s="68">
        <f>IF(AR49="","",AR49-AS49)</f>
        <v/>
      </c>
      <c r="AU49" s="67" t="n">
        <v>0.65</v>
      </c>
      <c r="AV49" s="68">
        <f>IF(AM49="Sand",0,Input!$AA$31*AN49)</f>
        <v/>
      </c>
      <c r="AW49" s="68">
        <f>IF(AM49="Sand",27.1+0.3*MIN(Input!$AA$32*AN49,60)-0.00054*MIN(Input!$AA$32*AN49,60)^2,MIN(MAX(DEGREES(ASIN(0.8-0.094*LN(MAX(IF(AT49="",10,AT49),5)))),20),30))</f>
        <v/>
      </c>
      <c r="AX49" s="68">
        <f>IF(AM49="Sand",Input!$AA$33*Input!$AA$32*AN49,Input!$AA$34*AV49)</f>
        <v/>
      </c>
      <c r="AY49" s="68">
        <f>IF(AM49="Sand",Input!$AA$35,0.5)</f>
        <v/>
      </c>
      <c r="AZ49" s="68">
        <f>Input!$AA$15/2/AL49</f>
        <v/>
      </c>
      <c r="BA49" s="68">
        <f>Input!$AA$16/2/AL49</f>
        <v/>
      </c>
      <c r="BB49" s="68">
        <f>1/(4*PI())*(2*AZ49*BA49*SQRT(AZ49^2+BA49^2+1)/(AZ49^2+BA49^2+1+AZ49^2*BA49^2)*(AZ49^2+BA49^2+2)/(AZ49^2+BA49^2+1)+ATAN2(AZ49^2+BA49^2+1-AZ49^2*BA49^2,2*AZ49*BA49*SQRT(AZ49^2+BA49^2+1)))</f>
        <v/>
      </c>
      <c r="BC49" s="68">
        <f>4*Input!$AA$14*BB49</f>
        <v/>
      </c>
      <c r="BD49" s="68">
        <f>((Input!$AA$16/Input!$AA$15)*LN((1+SQRT((Input!$AA$16/Input!$AA$15)^2+1))*SQRT((Input!$AA$16/Input!$AA$15)^2+(AJ49/(Input!$AA$15/2))^2)/((Input!$AA$16/Input!$AA$15)*(1+SQRT((Input!$AA$16/Input!$AA$15)^2+(AJ49/(Input!$AA$15/2))^2+1))))+LN(((Input!$AA$16/Input!$AA$15)+SQRT((Input!$AA$16/Input!$AA$15)^2+1))*SQRT(1+(AJ49/(Input!$AA$15/2))^2)/((Input!$AA$16/Input!$AA$15)+SQRT((Input!$AA$16/Input!$AA$15)^2+(AJ49/(Input!$AA$15/2))^2+1))))/PI()</f>
        <v/>
      </c>
      <c r="BE49" s="68">
        <f>(AJ49/(Input!$AA$15/2))/(2*PI())*ATAN((Input!$AA$16/Input!$AA$15)/((AJ49/(Input!$AA$15/2))*SQRT((Input!$AA$16/Input!$AA$15)^2+(AJ49/(Input!$AA$15/2))^2+1)))</f>
        <v/>
      </c>
      <c r="BF49" s="68">
        <f>MAX(0,AJ49-MAX(AI49,$AA$22))/AK49*IF(BC49&gt;=Input!$AA$21*AQ49,1,0)</f>
        <v/>
      </c>
      <c r="BG49" s="68">
        <f>4*Input!$AA$14*(Input!$AA$15/2)*(1-AY49^2)/AX49*((BD49-BD48)+(1-2*AY49)/(1-AY49)*(BE49-BE48))*1000*BF49</f>
        <v/>
      </c>
      <c r="BH49" s="68">
        <f>IF(AM49="Sand",0,0.009*(AR49-10))</f>
        <v/>
      </c>
      <c r="BI49" s="68">
        <f>BH49*Input!$AA$36</f>
        <v/>
      </c>
      <c r="BJ49" s="68">
        <f>IF(AM49="Sand",0,MAX(AV49/Input!$AA$37,AQ49))</f>
        <v/>
      </c>
      <c r="BK49" s="68">
        <f>IF(AM49="Sand",0,1000*AK49/(1+AU49)*IF(AQ49+BC49&lt;=BJ49,BI49*LOG10((AQ49+BC49)/AQ49),BI49*LOG10(BJ49/AQ49)+BH49*LOG10((AQ49+BC49)/BJ49)))*BF49</f>
        <v/>
      </c>
      <c r="BL49" s="68">
        <f>IF(AM49="Sand",0,10^(INDEX(Input!$Q$48:$Q$54,MIN(MATCH(MIN(MAX(AR49,30),120),Input!$C$48:$C$54,1),6))+(MIN(MAX(AR49,30),120)-INDEX(Input!$C$48:$C$54,MIN(MATCH(MIN(MAX(AR49,30),120),Input!$C$48:$C$54,1),6)))/(INDEX(Input!$C$48:$C$54,MIN(MATCH(MIN(MAX(AR49,30),120),Input!$C$48:$C$54,1),6)+1)-INDEX(Input!$C$48:$C$54,MIN(MATCH(MIN(MAX(AR49,30),120),Input!$C$48:$C$54,1),6)))*(INDEX(Input!$Q$48:$Q$54,MIN(MATCH(MIN(MAX(AR49,30),120),Input!$C$48:$C$54,1),6)+1)-INDEX(Input!$Q$48:$Q$54,MIN(MATCH(MIN(MAX(AR49,30),120),Input!$C$48:$C$54,1),6)))))</f>
        <v/>
      </c>
      <c r="BM49" s="68">
        <f>IF(OR(AM49="Sand",BF49=0),0,Input!$AA$38*(AK49/2)^2/(BL49*1E-4*31536000))</f>
        <v/>
      </c>
      <c r="BN49" s="68">
        <f>MAX(0,MIN(AJ49,Input!$AA$20)-AI49)</f>
        <v/>
      </c>
      <c r="BO49" s="68">
        <f>MAX(0,MIN(AJ49,Input!$AA$20)-MAX(AI49,$AA$22))</f>
        <v/>
      </c>
      <c r="BP49" s="68">
        <f>MAX(0,MIN(AJ49,$AA$225)-AI49)</f>
        <v/>
      </c>
      <c r="BQ49" s="68" t="inlineStr"/>
    </row>
    <row r="50">
      <c r="B50" s="9" t="n"/>
      <c r="C50" s="57" t="n">
        <v>23</v>
      </c>
      <c r="D50" s="41" t="n"/>
      <c r="E50" s="55">
        <f>AI50</f>
        <v/>
      </c>
      <c r="F50" s="41" t="n"/>
      <c r="G50" s="41" t="n"/>
      <c r="H50" s="55">
        <f>AJ50</f>
        <v/>
      </c>
      <c r="I50" s="41" t="n"/>
      <c r="J50" s="41" t="n"/>
      <c r="K50" s="52">
        <f>AM50</f>
        <v/>
      </c>
      <c r="L50" s="41" t="n"/>
      <c r="M50" s="41" t="n"/>
      <c r="N50" s="57">
        <f>AN50</f>
        <v/>
      </c>
      <c r="O50" s="41" t="n"/>
      <c r="P50" s="41" t="n"/>
      <c r="Q50" s="53">
        <f>AO50</f>
        <v/>
      </c>
      <c r="R50" s="41" t="n"/>
      <c r="S50" s="41" t="n"/>
      <c r="T50" s="57">
        <f>IF(AR50="","-",AR50)</f>
        <v/>
      </c>
      <c r="U50" s="41" t="n"/>
      <c r="V50" s="57">
        <f>IF(AT50="","-",AT50)</f>
        <v/>
      </c>
      <c r="W50" s="41" t="n"/>
      <c r="X50" s="55">
        <f>AU50</f>
        <v/>
      </c>
      <c r="Y50" s="41" t="n"/>
      <c r="Z50" s="66">
        <f>AV50</f>
        <v/>
      </c>
      <c r="AA50" s="41" t="n"/>
      <c r="AB50" s="41" t="n"/>
      <c r="AC50" s="53">
        <f>AW50</f>
        <v/>
      </c>
      <c r="AD50" s="41" t="n"/>
      <c r="AE50" s="41" t="n"/>
      <c r="AF50" s="15" t="n"/>
      <c r="AI50" s="67" t="n">
        <v>33</v>
      </c>
      <c r="AJ50" s="67" t="n">
        <v>34.5</v>
      </c>
      <c r="AK50" s="68">
        <f>AJ50-AI50</f>
        <v/>
      </c>
      <c r="AL50" s="68">
        <f>(AI50+AJ50)/2</f>
        <v/>
      </c>
      <c r="AM50" s="67" t="inlineStr">
        <is>
          <t>Sand</t>
        </is>
      </c>
      <c r="AN50" s="67" t="n">
        <v>26</v>
      </c>
      <c r="AO50" s="68">
        <f>IF(AL50&gt;$AA$19,$AA$21,$AA$20)</f>
        <v/>
      </c>
      <c r="AP50" s="68">
        <f>AP49+AO50*AK50</f>
        <v/>
      </c>
      <c r="AQ50" s="68">
        <f>AP50-AO50*AK50/2-10*MAX(AL50-$AA$19,0)</f>
        <v/>
      </c>
      <c r="AR50" s="67" t="n"/>
      <c r="AS50" s="67" t="n"/>
      <c r="AT50" s="68">
        <f>IF(AR50="","",AR50-AS50)</f>
        <v/>
      </c>
      <c r="AU50" s="67" t="n">
        <v>0.65</v>
      </c>
      <c r="AV50" s="68">
        <f>IF(AM50="Sand",0,Input!$AA$31*AN50)</f>
        <v/>
      </c>
      <c r="AW50" s="68">
        <f>IF(AM50="Sand",27.1+0.3*MIN(Input!$AA$32*AN50,60)-0.00054*MIN(Input!$AA$32*AN50,60)^2,MIN(MAX(DEGREES(ASIN(0.8-0.094*LN(MAX(IF(AT50="",10,AT50),5)))),20),30))</f>
        <v/>
      </c>
      <c r="AX50" s="68">
        <f>IF(AM50="Sand",Input!$AA$33*Input!$AA$32*AN50,Input!$AA$34*AV50)</f>
        <v/>
      </c>
      <c r="AY50" s="68">
        <f>IF(AM50="Sand",Input!$AA$35,0.5)</f>
        <v/>
      </c>
      <c r="AZ50" s="68">
        <f>Input!$AA$15/2/AL50</f>
        <v/>
      </c>
      <c r="BA50" s="68">
        <f>Input!$AA$16/2/AL50</f>
        <v/>
      </c>
      <c r="BB50" s="68">
        <f>1/(4*PI())*(2*AZ50*BA50*SQRT(AZ50^2+BA50^2+1)/(AZ50^2+BA50^2+1+AZ50^2*BA50^2)*(AZ50^2+BA50^2+2)/(AZ50^2+BA50^2+1)+ATAN2(AZ50^2+BA50^2+1-AZ50^2*BA50^2,2*AZ50*BA50*SQRT(AZ50^2+BA50^2+1)))</f>
        <v/>
      </c>
      <c r="BC50" s="68">
        <f>4*Input!$AA$14*BB50</f>
        <v/>
      </c>
      <c r="BD50" s="68">
        <f>((Input!$AA$16/Input!$AA$15)*LN((1+SQRT((Input!$AA$16/Input!$AA$15)^2+1))*SQRT((Input!$AA$16/Input!$AA$15)^2+(AJ50/(Input!$AA$15/2))^2)/((Input!$AA$16/Input!$AA$15)*(1+SQRT((Input!$AA$16/Input!$AA$15)^2+(AJ50/(Input!$AA$15/2))^2+1))))+LN(((Input!$AA$16/Input!$AA$15)+SQRT((Input!$AA$16/Input!$AA$15)^2+1))*SQRT(1+(AJ50/(Input!$AA$15/2))^2)/((Input!$AA$16/Input!$AA$15)+SQRT((Input!$AA$16/Input!$AA$15)^2+(AJ50/(Input!$AA$15/2))^2+1))))/PI()</f>
        <v/>
      </c>
      <c r="BE50" s="68">
        <f>(AJ50/(Input!$AA$15/2))/(2*PI())*ATAN((Input!$AA$16/Input!$AA$15)/((AJ50/(Input!$AA$15/2))*SQRT((Input!$AA$16/Input!$AA$15)^2+(AJ50/(Input!$AA$15/2))^2+1)))</f>
        <v/>
      </c>
      <c r="BF50" s="68">
        <f>MAX(0,AJ50-MAX(AI50,$AA$22))/AK50*IF(BC50&gt;=Input!$AA$21*AQ50,1,0)</f>
        <v/>
      </c>
      <c r="BG50" s="68">
        <f>4*Input!$AA$14*(Input!$AA$15/2)*(1-AY50^2)/AX50*((BD50-BD49)+(1-2*AY50)/(1-AY50)*(BE50-BE49))*1000*BF50</f>
        <v/>
      </c>
      <c r="BH50" s="68">
        <f>IF(AM50="Sand",0,0.009*(AR50-10))</f>
        <v/>
      </c>
      <c r="BI50" s="68">
        <f>BH50*Input!$AA$36</f>
        <v/>
      </c>
      <c r="BJ50" s="68">
        <f>IF(AM50="Sand",0,MAX(AV50/Input!$AA$37,AQ50))</f>
        <v/>
      </c>
      <c r="BK50" s="68">
        <f>IF(AM50="Sand",0,1000*AK50/(1+AU50)*IF(AQ50+BC50&lt;=BJ50,BI50*LOG10((AQ50+BC50)/AQ50),BI50*LOG10(BJ50/AQ50)+BH50*LOG10((AQ50+BC50)/BJ50)))*BF50</f>
        <v/>
      </c>
      <c r="BL50" s="68">
        <f>IF(AM50="Sand",0,10^(INDEX(Input!$Q$48:$Q$54,MIN(MATCH(MIN(MAX(AR50,30),120),Input!$C$48:$C$54,1),6))+(MIN(MAX(AR50,30),120)-INDEX(Input!$C$48:$C$54,MIN(MATCH(MIN(MAX(AR50,30),120),Input!$C$48:$C$54,1),6)))/(INDEX(Input!$C$48:$C$54,MIN(MATCH(MIN(MAX(AR50,30),120),Input!$C$48:$C$54,1),6)+1)-INDEX(Input!$C$48:$C$54,MIN(MATCH(MIN(MAX(AR50,30),120),Input!$C$48:$C$54,1),6)))*(INDEX(Input!$Q$48:$Q$54,MIN(MATCH(MIN(MAX(AR50,30),120),Input!$C$48:$C$54,1),6)+1)-INDEX(Input!$Q$48:$Q$54,MIN(MATCH(MIN(MAX(AR50,30),120),Input!$C$48:$C$54,1),6)))))</f>
        <v/>
      </c>
      <c r="BM50" s="68">
        <f>IF(OR(AM50="Sand",BF50=0),0,Input!$AA$38*(AK50/2)^2/(BL50*1E-4*31536000))</f>
        <v/>
      </c>
      <c r="BN50" s="68">
        <f>MAX(0,MIN(AJ50,Input!$AA$20)-AI50)</f>
        <v/>
      </c>
      <c r="BO50" s="68">
        <f>MAX(0,MIN(AJ50,Input!$AA$20)-MAX(AI50,$AA$22))</f>
        <v/>
      </c>
      <c r="BP50" s="68">
        <f>MAX(0,MIN(AJ50,$AA$225)-AI50)</f>
        <v/>
      </c>
      <c r="BQ50" s="68" t="inlineStr"/>
    </row>
    <row r="51">
      <c r="B51" s="9" t="n"/>
      <c r="C51" s="57" t="n">
        <v>24</v>
      </c>
      <c r="D51" s="41" t="n"/>
      <c r="E51" s="55">
        <f>AI51</f>
        <v/>
      </c>
      <c r="F51" s="41" t="n"/>
      <c r="G51" s="41" t="n"/>
      <c r="H51" s="55">
        <f>AJ51</f>
        <v/>
      </c>
      <c r="I51" s="41" t="n"/>
      <c r="J51" s="41" t="n"/>
      <c r="K51" s="52">
        <f>AM51</f>
        <v/>
      </c>
      <c r="L51" s="41" t="n"/>
      <c r="M51" s="41" t="n"/>
      <c r="N51" s="57">
        <f>AN51</f>
        <v/>
      </c>
      <c r="O51" s="41" t="n"/>
      <c r="P51" s="41" t="n"/>
      <c r="Q51" s="53">
        <f>AO51</f>
        <v/>
      </c>
      <c r="R51" s="41" t="n"/>
      <c r="S51" s="41" t="n"/>
      <c r="T51" s="57">
        <f>IF(AR51="","-",AR51)</f>
        <v/>
      </c>
      <c r="U51" s="41" t="n"/>
      <c r="V51" s="57">
        <f>IF(AT51="","-",AT51)</f>
        <v/>
      </c>
      <c r="W51" s="41" t="n"/>
      <c r="X51" s="55">
        <f>AU51</f>
        <v/>
      </c>
      <c r="Y51" s="41" t="n"/>
      <c r="Z51" s="66">
        <f>AV51</f>
        <v/>
      </c>
      <c r="AA51" s="41" t="n"/>
      <c r="AB51" s="41" t="n"/>
      <c r="AC51" s="53">
        <f>AW51</f>
        <v/>
      </c>
      <c r="AD51" s="41" t="n"/>
      <c r="AE51" s="41" t="n"/>
      <c r="AF51" s="15" t="n"/>
      <c r="AI51" s="67" t="n">
        <v>34.5</v>
      </c>
      <c r="AJ51" s="67" t="n">
        <v>36</v>
      </c>
      <c r="AK51" s="68">
        <f>AJ51-AI51</f>
        <v/>
      </c>
      <c r="AL51" s="68">
        <f>(AI51+AJ51)/2</f>
        <v/>
      </c>
      <c r="AM51" s="67" t="inlineStr">
        <is>
          <t>Sand</t>
        </is>
      </c>
      <c r="AN51" s="67" t="n">
        <v>53</v>
      </c>
      <c r="AO51" s="68">
        <f>IF(AL51&gt;$AA$19,$AA$21,$AA$20)</f>
        <v/>
      </c>
      <c r="AP51" s="68">
        <f>AP50+AO51*AK51</f>
        <v/>
      </c>
      <c r="AQ51" s="68">
        <f>AP51-AO51*AK51/2-10*MAX(AL51-$AA$19,0)</f>
        <v/>
      </c>
      <c r="AR51" s="67" t="n"/>
      <c r="AS51" s="67" t="n"/>
      <c r="AT51" s="68">
        <f>IF(AR51="","",AR51-AS51)</f>
        <v/>
      </c>
      <c r="AU51" s="67" t="n">
        <v>0.65</v>
      </c>
      <c r="AV51" s="68">
        <f>IF(AM51="Sand",0,Input!$AA$31*AN51)</f>
        <v/>
      </c>
      <c r="AW51" s="68">
        <f>IF(AM51="Sand",27.1+0.3*MIN(Input!$AA$32*AN51,60)-0.00054*MIN(Input!$AA$32*AN51,60)^2,MIN(MAX(DEGREES(ASIN(0.8-0.094*LN(MAX(IF(AT51="",10,AT51),5)))),20),30))</f>
        <v/>
      </c>
      <c r="AX51" s="68">
        <f>IF(AM51="Sand",Input!$AA$33*Input!$AA$32*AN51,Input!$AA$34*AV51)</f>
        <v/>
      </c>
      <c r="AY51" s="68">
        <f>IF(AM51="Sand",Input!$AA$35,0.5)</f>
        <v/>
      </c>
      <c r="AZ51" s="68">
        <f>Input!$AA$15/2/AL51</f>
        <v/>
      </c>
      <c r="BA51" s="68">
        <f>Input!$AA$16/2/AL51</f>
        <v/>
      </c>
      <c r="BB51" s="68">
        <f>1/(4*PI())*(2*AZ51*BA51*SQRT(AZ51^2+BA51^2+1)/(AZ51^2+BA51^2+1+AZ51^2*BA51^2)*(AZ51^2+BA51^2+2)/(AZ51^2+BA51^2+1)+ATAN2(AZ51^2+BA51^2+1-AZ51^2*BA51^2,2*AZ51*BA51*SQRT(AZ51^2+BA51^2+1)))</f>
        <v/>
      </c>
      <c r="BC51" s="68">
        <f>4*Input!$AA$14*BB51</f>
        <v/>
      </c>
      <c r="BD51" s="68">
        <f>((Input!$AA$16/Input!$AA$15)*LN((1+SQRT((Input!$AA$16/Input!$AA$15)^2+1))*SQRT((Input!$AA$16/Input!$AA$15)^2+(AJ51/(Input!$AA$15/2))^2)/((Input!$AA$16/Input!$AA$15)*(1+SQRT((Input!$AA$16/Input!$AA$15)^2+(AJ51/(Input!$AA$15/2))^2+1))))+LN(((Input!$AA$16/Input!$AA$15)+SQRT((Input!$AA$16/Input!$AA$15)^2+1))*SQRT(1+(AJ51/(Input!$AA$15/2))^2)/((Input!$AA$16/Input!$AA$15)+SQRT((Input!$AA$16/Input!$AA$15)^2+(AJ51/(Input!$AA$15/2))^2+1))))/PI()</f>
        <v/>
      </c>
      <c r="BE51" s="68">
        <f>(AJ51/(Input!$AA$15/2))/(2*PI())*ATAN((Input!$AA$16/Input!$AA$15)/((AJ51/(Input!$AA$15/2))*SQRT((Input!$AA$16/Input!$AA$15)^2+(AJ51/(Input!$AA$15/2))^2+1)))</f>
        <v/>
      </c>
      <c r="BF51" s="68">
        <f>MAX(0,AJ51-MAX(AI51,$AA$22))/AK51*IF(BC51&gt;=Input!$AA$21*AQ51,1,0)</f>
        <v/>
      </c>
      <c r="BG51" s="68">
        <f>4*Input!$AA$14*(Input!$AA$15/2)*(1-AY51^2)/AX51*((BD51-BD50)+(1-2*AY51)/(1-AY51)*(BE51-BE50))*1000*BF51</f>
        <v/>
      </c>
      <c r="BH51" s="68">
        <f>IF(AM51="Sand",0,0.009*(AR51-10))</f>
        <v/>
      </c>
      <c r="BI51" s="68">
        <f>BH51*Input!$AA$36</f>
        <v/>
      </c>
      <c r="BJ51" s="68">
        <f>IF(AM51="Sand",0,MAX(AV51/Input!$AA$37,AQ51))</f>
        <v/>
      </c>
      <c r="BK51" s="68">
        <f>IF(AM51="Sand",0,1000*AK51/(1+AU51)*IF(AQ51+BC51&lt;=BJ51,BI51*LOG10((AQ51+BC51)/AQ51),BI51*LOG10(BJ51/AQ51)+BH51*LOG10((AQ51+BC51)/BJ51)))*BF51</f>
        <v/>
      </c>
      <c r="BL51" s="68">
        <f>IF(AM51="Sand",0,10^(INDEX(Input!$Q$48:$Q$54,MIN(MATCH(MIN(MAX(AR51,30),120),Input!$C$48:$C$54,1),6))+(MIN(MAX(AR51,30),120)-INDEX(Input!$C$48:$C$54,MIN(MATCH(MIN(MAX(AR51,30),120),Input!$C$48:$C$54,1),6)))/(INDEX(Input!$C$48:$C$54,MIN(MATCH(MIN(MAX(AR51,30),120),Input!$C$48:$C$54,1),6)+1)-INDEX(Input!$C$48:$C$54,MIN(MATCH(MIN(MAX(AR51,30),120),Input!$C$48:$C$54,1),6)))*(INDEX(Input!$Q$48:$Q$54,MIN(MATCH(MIN(MAX(AR51,30),120),Input!$C$48:$C$54,1),6)+1)-INDEX(Input!$Q$48:$Q$54,MIN(MATCH(MIN(MAX(AR51,30),120),Input!$C$48:$C$54,1),6)))))</f>
        <v/>
      </c>
      <c r="BM51" s="68">
        <f>IF(OR(AM51="Sand",BF51=0),0,Input!$AA$38*(AK51/2)^2/(BL51*1E-4*31536000))</f>
        <v/>
      </c>
      <c r="BN51" s="68">
        <f>MAX(0,MIN(AJ51,Input!$AA$20)-AI51)</f>
        <v/>
      </c>
      <c r="BO51" s="68">
        <f>MAX(0,MIN(AJ51,Input!$AA$20)-MAX(AI51,$AA$22))</f>
        <v/>
      </c>
      <c r="BP51" s="68">
        <f>MAX(0,MIN(AJ51,$AA$225)-AI51)</f>
        <v/>
      </c>
      <c r="BQ51" s="68" t="inlineStr"/>
    </row>
    <row r="52">
      <c r="B52" s="9" t="n"/>
      <c r="C52" s="57" t="n">
        <v>25</v>
      </c>
      <c r="D52" s="41" t="n"/>
      <c r="E52" s="55">
        <f>AI52</f>
        <v/>
      </c>
      <c r="F52" s="41" t="n"/>
      <c r="G52" s="41" t="n"/>
      <c r="H52" s="55">
        <f>AJ52</f>
        <v/>
      </c>
      <c r="I52" s="41" t="n"/>
      <c r="J52" s="41" t="n"/>
      <c r="K52" s="52">
        <f>AM52</f>
        <v/>
      </c>
      <c r="L52" s="41" t="n"/>
      <c r="M52" s="41" t="n"/>
      <c r="N52" s="57">
        <f>AN52</f>
        <v/>
      </c>
      <c r="O52" s="41" t="n"/>
      <c r="P52" s="41" t="n"/>
      <c r="Q52" s="53">
        <f>AO52</f>
        <v/>
      </c>
      <c r="R52" s="41" t="n"/>
      <c r="S52" s="41" t="n"/>
      <c r="T52" s="57">
        <f>IF(AR52="","-",AR52)</f>
        <v/>
      </c>
      <c r="U52" s="41" t="n"/>
      <c r="V52" s="57">
        <f>IF(AT52="","-",AT52)</f>
        <v/>
      </c>
      <c r="W52" s="41" t="n"/>
      <c r="X52" s="55">
        <f>AU52</f>
        <v/>
      </c>
      <c r="Y52" s="41" t="n"/>
      <c r="Z52" s="66">
        <f>AV52</f>
        <v/>
      </c>
      <c r="AA52" s="41" t="n"/>
      <c r="AB52" s="41" t="n"/>
      <c r="AC52" s="53">
        <f>AW52</f>
        <v/>
      </c>
      <c r="AD52" s="41" t="n"/>
      <c r="AE52" s="41" t="n"/>
      <c r="AF52" s="15" t="n"/>
      <c r="AI52" s="67" t="n">
        <v>36</v>
      </c>
      <c r="AJ52" s="67" t="n">
        <v>37.5</v>
      </c>
      <c r="AK52" s="68">
        <f>AJ52-AI52</f>
        <v/>
      </c>
      <c r="AL52" s="68">
        <f>(AI52+AJ52)/2</f>
        <v/>
      </c>
      <c r="AM52" s="67" t="inlineStr">
        <is>
          <t>Sand</t>
        </is>
      </c>
      <c r="AN52" s="67" t="n">
        <v>54</v>
      </c>
      <c r="AO52" s="68">
        <f>IF(AL52&gt;$AA$19,$AA$21,$AA$20)</f>
        <v/>
      </c>
      <c r="AP52" s="68">
        <f>AP51+AO52*AK52</f>
        <v/>
      </c>
      <c r="AQ52" s="68">
        <f>AP52-AO52*AK52/2-10*MAX(AL52-$AA$19,0)</f>
        <v/>
      </c>
      <c r="AR52" s="67" t="n"/>
      <c r="AS52" s="67" t="n"/>
      <c r="AT52" s="68">
        <f>IF(AR52="","",AR52-AS52)</f>
        <v/>
      </c>
      <c r="AU52" s="67" t="n">
        <v>0.65</v>
      </c>
      <c r="AV52" s="68">
        <f>IF(AM52="Sand",0,Input!$AA$31*AN52)</f>
        <v/>
      </c>
      <c r="AW52" s="68">
        <f>IF(AM52="Sand",27.1+0.3*MIN(Input!$AA$32*AN52,60)-0.00054*MIN(Input!$AA$32*AN52,60)^2,MIN(MAX(DEGREES(ASIN(0.8-0.094*LN(MAX(IF(AT52="",10,AT52),5)))),20),30))</f>
        <v/>
      </c>
      <c r="AX52" s="68">
        <f>IF(AM52="Sand",Input!$AA$33*Input!$AA$32*AN52,Input!$AA$34*AV52)</f>
        <v/>
      </c>
      <c r="AY52" s="68">
        <f>IF(AM52="Sand",Input!$AA$35,0.5)</f>
        <v/>
      </c>
      <c r="AZ52" s="68">
        <f>Input!$AA$15/2/AL52</f>
        <v/>
      </c>
      <c r="BA52" s="68">
        <f>Input!$AA$16/2/AL52</f>
        <v/>
      </c>
      <c r="BB52" s="68">
        <f>1/(4*PI())*(2*AZ52*BA52*SQRT(AZ52^2+BA52^2+1)/(AZ52^2+BA52^2+1+AZ52^2*BA52^2)*(AZ52^2+BA52^2+2)/(AZ52^2+BA52^2+1)+ATAN2(AZ52^2+BA52^2+1-AZ52^2*BA52^2,2*AZ52*BA52*SQRT(AZ52^2+BA52^2+1)))</f>
        <v/>
      </c>
      <c r="BC52" s="68">
        <f>4*Input!$AA$14*BB52</f>
        <v/>
      </c>
      <c r="BD52" s="68">
        <f>((Input!$AA$16/Input!$AA$15)*LN((1+SQRT((Input!$AA$16/Input!$AA$15)^2+1))*SQRT((Input!$AA$16/Input!$AA$15)^2+(AJ52/(Input!$AA$15/2))^2)/((Input!$AA$16/Input!$AA$15)*(1+SQRT((Input!$AA$16/Input!$AA$15)^2+(AJ52/(Input!$AA$15/2))^2+1))))+LN(((Input!$AA$16/Input!$AA$15)+SQRT((Input!$AA$16/Input!$AA$15)^2+1))*SQRT(1+(AJ52/(Input!$AA$15/2))^2)/((Input!$AA$16/Input!$AA$15)+SQRT((Input!$AA$16/Input!$AA$15)^2+(AJ52/(Input!$AA$15/2))^2+1))))/PI()</f>
        <v/>
      </c>
      <c r="BE52" s="68">
        <f>(AJ52/(Input!$AA$15/2))/(2*PI())*ATAN((Input!$AA$16/Input!$AA$15)/((AJ52/(Input!$AA$15/2))*SQRT((Input!$AA$16/Input!$AA$15)^2+(AJ52/(Input!$AA$15/2))^2+1)))</f>
        <v/>
      </c>
      <c r="BF52" s="68">
        <f>MAX(0,AJ52-MAX(AI52,$AA$22))/AK52*IF(BC52&gt;=Input!$AA$21*AQ52,1,0)</f>
        <v/>
      </c>
      <c r="BG52" s="68">
        <f>4*Input!$AA$14*(Input!$AA$15/2)*(1-AY52^2)/AX52*((BD52-BD51)+(1-2*AY52)/(1-AY52)*(BE52-BE51))*1000*BF52</f>
        <v/>
      </c>
      <c r="BH52" s="68">
        <f>IF(AM52="Sand",0,0.009*(AR52-10))</f>
        <v/>
      </c>
      <c r="BI52" s="68">
        <f>BH52*Input!$AA$36</f>
        <v/>
      </c>
      <c r="BJ52" s="68">
        <f>IF(AM52="Sand",0,MAX(AV52/Input!$AA$37,AQ52))</f>
        <v/>
      </c>
      <c r="BK52" s="68">
        <f>IF(AM52="Sand",0,1000*AK52/(1+AU52)*IF(AQ52+BC52&lt;=BJ52,BI52*LOG10((AQ52+BC52)/AQ52),BI52*LOG10(BJ52/AQ52)+BH52*LOG10((AQ52+BC52)/BJ52)))*BF52</f>
        <v/>
      </c>
      <c r="BL52" s="68">
        <f>IF(AM52="Sand",0,10^(INDEX(Input!$Q$48:$Q$54,MIN(MATCH(MIN(MAX(AR52,30),120),Input!$C$48:$C$54,1),6))+(MIN(MAX(AR52,30),120)-INDEX(Input!$C$48:$C$54,MIN(MATCH(MIN(MAX(AR52,30),120),Input!$C$48:$C$54,1),6)))/(INDEX(Input!$C$48:$C$54,MIN(MATCH(MIN(MAX(AR52,30),120),Input!$C$48:$C$54,1),6)+1)-INDEX(Input!$C$48:$C$54,MIN(MATCH(MIN(MAX(AR52,30),120),Input!$C$48:$C$54,1),6)))*(INDEX(Input!$Q$48:$Q$54,MIN(MATCH(MIN(MAX(AR52,30),120),Input!$C$48:$C$54,1),6)+1)-INDEX(Input!$Q$48:$Q$54,MIN(MATCH(MIN(MAX(AR52,30),120),Input!$C$48:$C$54,1),6)))))</f>
        <v/>
      </c>
      <c r="BM52" s="68">
        <f>IF(OR(AM52="Sand",BF52=0),0,Input!$AA$38*(AK52/2)^2/(BL52*1E-4*31536000))</f>
        <v/>
      </c>
      <c r="BN52" s="68">
        <f>MAX(0,MIN(AJ52,Input!$AA$20)-AI52)</f>
        <v/>
      </c>
      <c r="BO52" s="68">
        <f>MAX(0,MIN(AJ52,Input!$AA$20)-MAX(AI52,$AA$22))</f>
        <v/>
      </c>
      <c r="BP52" s="68">
        <f>MAX(0,MIN(AJ52,$AA$225)-AI52)</f>
        <v/>
      </c>
      <c r="BQ52" s="68" t="inlineStr"/>
    </row>
    <row r="53">
      <c r="B53" s="9" t="n"/>
      <c r="C53" s="57" t="n">
        <v>26</v>
      </c>
      <c r="D53" s="41" t="n"/>
      <c r="E53" s="55">
        <f>AI53</f>
        <v/>
      </c>
      <c r="F53" s="41" t="n"/>
      <c r="G53" s="41" t="n"/>
      <c r="H53" s="55">
        <f>AJ53</f>
        <v/>
      </c>
      <c r="I53" s="41" t="n"/>
      <c r="J53" s="41" t="n"/>
      <c r="K53" s="52">
        <f>AM53</f>
        <v/>
      </c>
      <c r="L53" s="41" t="n"/>
      <c r="M53" s="41" t="n"/>
      <c r="N53" s="57">
        <f>AN53</f>
        <v/>
      </c>
      <c r="O53" s="41" t="n"/>
      <c r="P53" s="41" t="n"/>
      <c r="Q53" s="53">
        <f>AO53</f>
        <v/>
      </c>
      <c r="R53" s="41" t="n"/>
      <c r="S53" s="41" t="n"/>
      <c r="T53" s="57">
        <f>IF(AR53="","-",AR53)</f>
        <v/>
      </c>
      <c r="U53" s="41" t="n"/>
      <c r="V53" s="57">
        <f>IF(AT53="","-",AT53)</f>
        <v/>
      </c>
      <c r="W53" s="41" t="n"/>
      <c r="X53" s="55">
        <f>AU53</f>
        <v/>
      </c>
      <c r="Y53" s="41" t="n"/>
      <c r="Z53" s="66">
        <f>AV53</f>
        <v/>
      </c>
      <c r="AA53" s="41" t="n"/>
      <c r="AB53" s="41" t="n"/>
      <c r="AC53" s="53">
        <f>AW53</f>
        <v/>
      </c>
      <c r="AD53" s="41" t="n"/>
      <c r="AE53" s="41" t="n"/>
      <c r="AF53" s="15" t="n"/>
      <c r="AI53" s="67" t="n">
        <v>37.5</v>
      </c>
      <c r="AJ53" s="67" t="n">
        <v>39</v>
      </c>
      <c r="AK53" s="68">
        <f>AJ53-AI53</f>
        <v/>
      </c>
      <c r="AL53" s="68">
        <f>(AI53+AJ53)/2</f>
        <v/>
      </c>
      <c r="AM53" s="67" t="inlineStr">
        <is>
          <t>Sand</t>
        </is>
      </c>
      <c r="AN53" s="67" t="n">
        <v>50</v>
      </c>
      <c r="AO53" s="68">
        <f>IF(AL53&gt;$AA$19,$AA$21,$AA$20)</f>
        <v/>
      </c>
      <c r="AP53" s="68">
        <f>AP52+AO53*AK53</f>
        <v/>
      </c>
      <c r="AQ53" s="68">
        <f>AP53-AO53*AK53/2-10*MAX(AL53-$AA$19,0)</f>
        <v/>
      </c>
      <c r="AR53" s="67" t="n"/>
      <c r="AS53" s="67" t="n"/>
      <c r="AT53" s="68">
        <f>IF(AR53="","",AR53-AS53)</f>
        <v/>
      </c>
      <c r="AU53" s="67" t="n">
        <v>0.65</v>
      </c>
      <c r="AV53" s="68">
        <f>IF(AM53="Sand",0,Input!$AA$31*AN53)</f>
        <v/>
      </c>
      <c r="AW53" s="68">
        <f>IF(AM53="Sand",27.1+0.3*MIN(Input!$AA$32*AN53,60)-0.00054*MIN(Input!$AA$32*AN53,60)^2,MIN(MAX(DEGREES(ASIN(0.8-0.094*LN(MAX(IF(AT53="",10,AT53),5)))),20),30))</f>
        <v/>
      </c>
      <c r="AX53" s="68">
        <f>IF(AM53="Sand",Input!$AA$33*Input!$AA$32*AN53,Input!$AA$34*AV53)</f>
        <v/>
      </c>
      <c r="AY53" s="68">
        <f>IF(AM53="Sand",Input!$AA$35,0.5)</f>
        <v/>
      </c>
      <c r="AZ53" s="68">
        <f>Input!$AA$15/2/AL53</f>
        <v/>
      </c>
      <c r="BA53" s="68">
        <f>Input!$AA$16/2/AL53</f>
        <v/>
      </c>
      <c r="BB53" s="68">
        <f>1/(4*PI())*(2*AZ53*BA53*SQRT(AZ53^2+BA53^2+1)/(AZ53^2+BA53^2+1+AZ53^2*BA53^2)*(AZ53^2+BA53^2+2)/(AZ53^2+BA53^2+1)+ATAN2(AZ53^2+BA53^2+1-AZ53^2*BA53^2,2*AZ53*BA53*SQRT(AZ53^2+BA53^2+1)))</f>
        <v/>
      </c>
      <c r="BC53" s="68">
        <f>4*Input!$AA$14*BB53</f>
        <v/>
      </c>
      <c r="BD53" s="68">
        <f>((Input!$AA$16/Input!$AA$15)*LN((1+SQRT((Input!$AA$16/Input!$AA$15)^2+1))*SQRT((Input!$AA$16/Input!$AA$15)^2+(AJ53/(Input!$AA$15/2))^2)/((Input!$AA$16/Input!$AA$15)*(1+SQRT((Input!$AA$16/Input!$AA$15)^2+(AJ53/(Input!$AA$15/2))^2+1))))+LN(((Input!$AA$16/Input!$AA$15)+SQRT((Input!$AA$16/Input!$AA$15)^2+1))*SQRT(1+(AJ53/(Input!$AA$15/2))^2)/((Input!$AA$16/Input!$AA$15)+SQRT((Input!$AA$16/Input!$AA$15)^2+(AJ53/(Input!$AA$15/2))^2+1))))/PI()</f>
        <v/>
      </c>
      <c r="BE53" s="68">
        <f>(AJ53/(Input!$AA$15/2))/(2*PI())*ATAN((Input!$AA$16/Input!$AA$15)/((AJ53/(Input!$AA$15/2))*SQRT((Input!$AA$16/Input!$AA$15)^2+(AJ53/(Input!$AA$15/2))^2+1)))</f>
        <v/>
      </c>
      <c r="BF53" s="68">
        <f>MAX(0,AJ53-MAX(AI53,$AA$22))/AK53*IF(BC53&gt;=Input!$AA$21*AQ53,1,0)</f>
        <v/>
      </c>
      <c r="BG53" s="68">
        <f>4*Input!$AA$14*(Input!$AA$15/2)*(1-AY53^2)/AX53*((BD53-BD52)+(1-2*AY53)/(1-AY53)*(BE53-BE52))*1000*BF53</f>
        <v/>
      </c>
      <c r="BH53" s="68">
        <f>IF(AM53="Sand",0,0.009*(AR53-10))</f>
        <v/>
      </c>
      <c r="BI53" s="68">
        <f>BH53*Input!$AA$36</f>
        <v/>
      </c>
      <c r="BJ53" s="68">
        <f>IF(AM53="Sand",0,MAX(AV53/Input!$AA$37,AQ53))</f>
        <v/>
      </c>
      <c r="BK53" s="68">
        <f>IF(AM53="Sand",0,1000*AK53/(1+AU53)*IF(AQ53+BC53&lt;=BJ53,BI53*LOG10((AQ53+BC53)/AQ53),BI53*LOG10(BJ53/AQ53)+BH53*LOG10((AQ53+BC53)/BJ53)))*BF53</f>
        <v/>
      </c>
      <c r="BL53" s="68">
        <f>IF(AM53="Sand",0,10^(INDEX(Input!$Q$48:$Q$54,MIN(MATCH(MIN(MAX(AR53,30),120),Input!$C$48:$C$54,1),6))+(MIN(MAX(AR53,30),120)-INDEX(Input!$C$48:$C$54,MIN(MATCH(MIN(MAX(AR53,30),120),Input!$C$48:$C$54,1),6)))/(INDEX(Input!$C$48:$C$54,MIN(MATCH(MIN(MAX(AR53,30),120),Input!$C$48:$C$54,1),6)+1)-INDEX(Input!$C$48:$C$54,MIN(MATCH(MIN(MAX(AR53,30),120),Input!$C$48:$C$54,1),6)))*(INDEX(Input!$Q$48:$Q$54,MIN(MATCH(MIN(MAX(AR53,30),120),Input!$C$48:$C$54,1),6)+1)-INDEX(Input!$Q$48:$Q$54,MIN(MATCH(MIN(MAX(AR53,30),120),Input!$C$48:$C$54,1),6)))))</f>
        <v/>
      </c>
      <c r="BM53" s="68">
        <f>IF(OR(AM53="Sand",BF53=0),0,Input!$AA$38*(AK53/2)^2/(BL53*1E-4*31536000))</f>
        <v/>
      </c>
      <c r="BN53" s="68">
        <f>MAX(0,MIN(AJ53,Input!$AA$20)-AI53)</f>
        <v/>
      </c>
      <c r="BO53" s="68">
        <f>MAX(0,MIN(AJ53,Input!$AA$20)-MAX(AI53,$AA$22))</f>
        <v/>
      </c>
      <c r="BP53" s="68">
        <f>MAX(0,MIN(AJ53,$AA$225)-AI53)</f>
        <v/>
      </c>
      <c r="BQ53" s="68" t="inlineStr"/>
    </row>
    <row r="54">
      <c r="B54" s="9" t="n"/>
      <c r="C54" s="57" t="n">
        <v>27</v>
      </c>
      <c r="D54" s="41" t="n"/>
      <c r="E54" s="55">
        <f>AI54</f>
        <v/>
      </c>
      <c r="F54" s="41" t="n"/>
      <c r="G54" s="41" t="n"/>
      <c r="H54" s="55">
        <f>AJ54</f>
        <v/>
      </c>
      <c r="I54" s="41" t="n"/>
      <c r="J54" s="41" t="n"/>
      <c r="K54" s="52">
        <f>AM54</f>
        <v/>
      </c>
      <c r="L54" s="41" t="n"/>
      <c r="M54" s="41" t="n"/>
      <c r="N54" s="57">
        <f>AN54</f>
        <v/>
      </c>
      <c r="O54" s="41" t="n"/>
      <c r="P54" s="41" t="n"/>
      <c r="Q54" s="53">
        <f>AO54</f>
        <v/>
      </c>
      <c r="R54" s="41" t="n"/>
      <c r="S54" s="41" t="n"/>
      <c r="T54" s="57">
        <f>IF(AR54="","-",AR54)</f>
        <v/>
      </c>
      <c r="U54" s="41" t="n"/>
      <c r="V54" s="57">
        <f>IF(AT54="","-",AT54)</f>
        <v/>
      </c>
      <c r="W54" s="41" t="n"/>
      <c r="X54" s="55">
        <f>AU54</f>
        <v/>
      </c>
      <c r="Y54" s="41" t="n"/>
      <c r="Z54" s="66">
        <f>AV54</f>
        <v/>
      </c>
      <c r="AA54" s="41" t="n"/>
      <c r="AB54" s="41" t="n"/>
      <c r="AC54" s="53">
        <f>AW54</f>
        <v/>
      </c>
      <c r="AD54" s="41" t="n"/>
      <c r="AE54" s="41" t="n"/>
      <c r="AF54" s="15" t="n"/>
      <c r="AI54" s="67" t="n">
        <v>39</v>
      </c>
      <c r="AJ54" s="67" t="n">
        <v>40.5</v>
      </c>
      <c r="AK54" s="68">
        <f>AJ54-AI54</f>
        <v/>
      </c>
      <c r="AL54" s="68">
        <f>(AI54+AJ54)/2</f>
        <v/>
      </c>
      <c r="AM54" s="67" t="inlineStr">
        <is>
          <t>Sand</t>
        </is>
      </c>
      <c r="AN54" s="67" t="n">
        <v>50</v>
      </c>
      <c r="AO54" s="68">
        <f>IF(AL54&gt;$AA$19,$AA$21,$AA$20)</f>
        <v/>
      </c>
      <c r="AP54" s="68">
        <f>AP53+AO54*AK54</f>
        <v/>
      </c>
      <c r="AQ54" s="68">
        <f>AP54-AO54*AK54/2-10*MAX(AL54-$AA$19,0)</f>
        <v/>
      </c>
      <c r="AR54" s="67" t="n"/>
      <c r="AS54" s="67" t="n"/>
      <c r="AT54" s="68">
        <f>IF(AR54="","",AR54-AS54)</f>
        <v/>
      </c>
      <c r="AU54" s="67" t="n">
        <v>0.65</v>
      </c>
      <c r="AV54" s="68">
        <f>IF(AM54="Sand",0,Input!$AA$31*AN54)</f>
        <v/>
      </c>
      <c r="AW54" s="68">
        <f>IF(AM54="Sand",27.1+0.3*MIN(Input!$AA$32*AN54,60)-0.00054*MIN(Input!$AA$32*AN54,60)^2,MIN(MAX(DEGREES(ASIN(0.8-0.094*LN(MAX(IF(AT54="",10,AT54),5)))),20),30))</f>
        <v/>
      </c>
      <c r="AX54" s="68">
        <f>IF(AM54="Sand",Input!$AA$33*Input!$AA$32*AN54,Input!$AA$34*AV54)</f>
        <v/>
      </c>
      <c r="AY54" s="68">
        <f>IF(AM54="Sand",Input!$AA$35,0.5)</f>
        <v/>
      </c>
      <c r="AZ54" s="68">
        <f>Input!$AA$15/2/AL54</f>
        <v/>
      </c>
      <c r="BA54" s="68">
        <f>Input!$AA$16/2/AL54</f>
        <v/>
      </c>
      <c r="BB54" s="68">
        <f>1/(4*PI())*(2*AZ54*BA54*SQRT(AZ54^2+BA54^2+1)/(AZ54^2+BA54^2+1+AZ54^2*BA54^2)*(AZ54^2+BA54^2+2)/(AZ54^2+BA54^2+1)+ATAN2(AZ54^2+BA54^2+1-AZ54^2*BA54^2,2*AZ54*BA54*SQRT(AZ54^2+BA54^2+1)))</f>
        <v/>
      </c>
      <c r="BC54" s="68">
        <f>4*Input!$AA$14*BB54</f>
        <v/>
      </c>
      <c r="BD54" s="68">
        <f>((Input!$AA$16/Input!$AA$15)*LN((1+SQRT((Input!$AA$16/Input!$AA$15)^2+1))*SQRT((Input!$AA$16/Input!$AA$15)^2+(AJ54/(Input!$AA$15/2))^2)/((Input!$AA$16/Input!$AA$15)*(1+SQRT((Input!$AA$16/Input!$AA$15)^2+(AJ54/(Input!$AA$15/2))^2+1))))+LN(((Input!$AA$16/Input!$AA$15)+SQRT((Input!$AA$16/Input!$AA$15)^2+1))*SQRT(1+(AJ54/(Input!$AA$15/2))^2)/((Input!$AA$16/Input!$AA$15)+SQRT((Input!$AA$16/Input!$AA$15)^2+(AJ54/(Input!$AA$15/2))^2+1))))/PI()</f>
        <v/>
      </c>
      <c r="BE54" s="68">
        <f>(AJ54/(Input!$AA$15/2))/(2*PI())*ATAN((Input!$AA$16/Input!$AA$15)/((AJ54/(Input!$AA$15/2))*SQRT((Input!$AA$16/Input!$AA$15)^2+(AJ54/(Input!$AA$15/2))^2+1)))</f>
        <v/>
      </c>
      <c r="BF54" s="68">
        <f>MAX(0,AJ54-MAX(AI54,$AA$22))/AK54*IF(BC54&gt;=Input!$AA$21*AQ54,1,0)</f>
        <v/>
      </c>
      <c r="BG54" s="68">
        <f>4*Input!$AA$14*(Input!$AA$15/2)*(1-AY54^2)/AX54*((BD54-BD53)+(1-2*AY54)/(1-AY54)*(BE54-BE53))*1000*BF54</f>
        <v/>
      </c>
      <c r="BH54" s="68">
        <f>IF(AM54="Sand",0,0.009*(AR54-10))</f>
        <v/>
      </c>
      <c r="BI54" s="68">
        <f>BH54*Input!$AA$36</f>
        <v/>
      </c>
      <c r="BJ54" s="68">
        <f>IF(AM54="Sand",0,MAX(AV54/Input!$AA$37,AQ54))</f>
        <v/>
      </c>
      <c r="BK54" s="68">
        <f>IF(AM54="Sand",0,1000*AK54/(1+AU54)*IF(AQ54+BC54&lt;=BJ54,BI54*LOG10((AQ54+BC54)/AQ54),BI54*LOG10(BJ54/AQ54)+BH54*LOG10((AQ54+BC54)/BJ54)))*BF54</f>
        <v/>
      </c>
      <c r="BL54" s="68">
        <f>IF(AM54="Sand",0,10^(INDEX(Input!$Q$48:$Q$54,MIN(MATCH(MIN(MAX(AR54,30),120),Input!$C$48:$C$54,1),6))+(MIN(MAX(AR54,30),120)-INDEX(Input!$C$48:$C$54,MIN(MATCH(MIN(MAX(AR54,30),120),Input!$C$48:$C$54,1),6)))/(INDEX(Input!$C$48:$C$54,MIN(MATCH(MIN(MAX(AR54,30),120),Input!$C$48:$C$54,1),6)+1)-INDEX(Input!$C$48:$C$54,MIN(MATCH(MIN(MAX(AR54,30),120),Input!$C$48:$C$54,1),6)))*(INDEX(Input!$Q$48:$Q$54,MIN(MATCH(MIN(MAX(AR54,30),120),Input!$C$48:$C$54,1),6)+1)-INDEX(Input!$Q$48:$Q$54,MIN(MATCH(MIN(MAX(AR54,30),120),Input!$C$48:$C$54,1),6)))))</f>
        <v/>
      </c>
      <c r="BM54" s="68">
        <f>IF(OR(AM54="Sand",BF54=0),0,Input!$AA$38*(AK54/2)^2/(BL54*1E-4*31536000))</f>
        <v/>
      </c>
      <c r="BN54" s="68">
        <f>MAX(0,MIN(AJ54,Input!$AA$20)-AI54)</f>
        <v/>
      </c>
      <c r="BO54" s="68">
        <f>MAX(0,MIN(AJ54,Input!$AA$20)-MAX(AI54,$AA$22))</f>
        <v/>
      </c>
      <c r="BP54" s="68">
        <f>MAX(0,MIN(AJ54,$AA$225)-AI54)</f>
        <v/>
      </c>
      <c r="BQ54" s="68" t="inlineStr"/>
    </row>
    <row r="55">
      <c r="B55" s="9" t="n"/>
      <c r="C55" s="57" t="n">
        <v>28</v>
      </c>
      <c r="D55" s="41" t="n"/>
      <c r="E55" s="55">
        <f>AI55</f>
        <v/>
      </c>
      <c r="F55" s="41" t="n"/>
      <c r="G55" s="41" t="n"/>
      <c r="H55" s="55">
        <f>AJ55</f>
        <v/>
      </c>
      <c r="I55" s="41" t="n"/>
      <c r="J55" s="41" t="n"/>
      <c r="K55" s="52">
        <f>AM55</f>
        <v/>
      </c>
      <c r="L55" s="41" t="n"/>
      <c r="M55" s="41" t="n"/>
      <c r="N55" s="57">
        <f>AN55</f>
        <v/>
      </c>
      <c r="O55" s="41" t="n"/>
      <c r="P55" s="41" t="n"/>
      <c r="Q55" s="53">
        <f>AO55</f>
        <v/>
      </c>
      <c r="R55" s="41" t="n"/>
      <c r="S55" s="41" t="n"/>
      <c r="T55" s="57">
        <f>IF(AR55="","-",AR55)</f>
        <v/>
      </c>
      <c r="U55" s="41" t="n"/>
      <c r="V55" s="57">
        <f>IF(AT55="","-",AT55)</f>
        <v/>
      </c>
      <c r="W55" s="41" t="n"/>
      <c r="X55" s="55">
        <f>AU55</f>
        <v/>
      </c>
      <c r="Y55" s="41" t="n"/>
      <c r="Z55" s="66">
        <f>AV55</f>
        <v/>
      </c>
      <c r="AA55" s="41" t="n"/>
      <c r="AB55" s="41" t="n"/>
      <c r="AC55" s="53">
        <f>AW55</f>
        <v/>
      </c>
      <c r="AD55" s="41" t="n"/>
      <c r="AE55" s="41" t="n"/>
      <c r="AF55" s="15" t="n"/>
      <c r="AI55" s="67" t="n">
        <v>40.5</v>
      </c>
      <c r="AJ55" s="67" t="n">
        <v>42</v>
      </c>
      <c r="AK55" s="68">
        <f>AJ55-AI55</f>
        <v/>
      </c>
      <c r="AL55" s="68">
        <f>(AI55+AJ55)/2</f>
        <v/>
      </c>
      <c r="AM55" s="67" t="inlineStr">
        <is>
          <t>Sand</t>
        </is>
      </c>
      <c r="AN55" s="67" t="n">
        <v>37</v>
      </c>
      <c r="AO55" s="68">
        <f>IF(AL55&gt;$AA$19,$AA$21,$AA$20)</f>
        <v/>
      </c>
      <c r="AP55" s="68">
        <f>AP54+AO55*AK55</f>
        <v/>
      </c>
      <c r="AQ55" s="68">
        <f>AP55-AO55*AK55/2-10*MAX(AL55-$AA$19,0)</f>
        <v/>
      </c>
      <c r="AR55" s="67" t="n"/>
      <c r="AS55" s="67" t="n"/>
      <c r="AT55" s="68">
        <f>IF(AR55="","",AR55-AS55)</f>
        <v/>
      </c>
      <c r="AU55" s="67" t="n">
        <v>0.65</v>
      </c>
      <c r="AV55" s="68">
        <f>IF(AM55="Sand",0,Input!$AA$31*AN55)</f>
        <v/>
      </c>
      <c r="AW55" s="68">
        <f>IF(AM55="Sand",27.1+0.3*MIN(Input!$AA$32*AN55,60)-0.00054*MIN(Input!$AA$32*AN55,60)^2,MIN(MAX(DEGREES(ASIN(0.8-0.094*LN(MAX(IF(AT55="",10,AT55),5)))),20),30))</f>
        <v/>
      </c>
      <c r="AX55" s="68">
        <f>IF(AM55="Sand",Input!$AA$33*Input!$AA$32*AN55,Input!$AA$34*AV55)</f>
        <v/>
      </c>
      <c r="AY55" s="68">
        <f>IF(AM55="Sand",Input!$AA$35,0.5)</f>
        <v/>
      </c>
      <c r="AZ55" s="68">
        <f>Input!$AA$15/2/AL55</f>
        <v/>
      </c>
      <c r="BA55" s="68">
        <f>Input!$AA$16/2/AL55</f>
        <v/>
      </c>
      <c r="BB55" s="68">
        <f>1/(4*PI())*(2*AZ55*BA55*SQRT(AZ55^2+BA55^2+1)/(AZ55^2+BA55^2+1+AZ55^2*BA55^2)*(AZ55^2+BA55^2+2)/(AZ55^2+BA55^2+1)+ATAN2(AZ55^2+BA55^2+1-AZ55^2*BA55^2,2*AZ55*BA55*SQRT(AZ55^2+BA55^2+1)))</f>
        <v/>
      </c>
      <c r="BC55" s="68">
        <f>4*Input!$AA$14*BB55</f>
        <v/>
      </c>
      <c r="BD55" s="68">
        <f>((Input!$AA$16/Input!$AA$15)*LN((1+SQRT((Input!$AA$16/Input!$AA$15)^2+1))*SQRT((Input!$AA$16/Input!$AA$15)^2+(AJ55/(Input!$AA$15/2))^2)/((Input!$AA$16/Input!$AA$15)*(1+SQRT((Input!$AA$16/Input!$AA$15)^2+(AJ55/(Input!$AA$15/2))^2+1))))+LN(((Input!$AA$16/Input!$AA$15)+SQRT((Input!$AA$16/Input!$AA$15)^2+1))*SQRT(1+(AJ55/(Input!$AA$15/2))^2)/((Input!$AA$16/Input!$AA$15)+SQRT((Input!$AA$16/Input!$AA$15)^2+(AJ55/(Input!$AA$15/2))^2+1))))/PI()</f>
        <v/>
      </c>
      <c r="BE55" s="68">
        <f>(AJ55/(Input!$AA$15/2))/(2*PI())*ATAN((Input!$AA$16/Input!$AA$15)/((AJ55/(Input!$AA$15/2))*SQRT((Input!$AA$16/Input!$AA$15)^2+(AJ55/(Input!$AA$15/2))^2+1)))</f>
        <v/>
      </c>
      <c r="BF55" s="68">
        <f>MAX(0,AJ55-MAX(AI55,$AA$22))/AK55*IF(BC55&gt;=Input!$AA$21*AQ55,1,0)</f>
        <v/>
      </c>
      <c r="BG55" s="68">
        <f>4*Input!$AA$14*(Input!$AA$15/2)*(1-AY55^2)/AX55*((BD55-BD54)+(1-2*AY55)/(1-AY55)*(BE55-BE54))*1000*BF55</f>
        <v/>
      </c>
      <c r="BH55" s="68">
        <f>IF(AM55="Sand",0,0.009*(AR55-10))</f>
        <v/>
      </c>
      <c r="BI55" s="68">
        <f>BH55*Input!$AA$36</f>
        <v/>
      </c>
      <c r="BJ55" s="68">
        <f>IF(AM55="Sand",0,MAX(AV55/Input!$AA$37,AQ55))</f>
        <v/>
      </c>
      <c r="BK55" s="68">
        <f>IF(AM55="Sand",0,1000*AK55/(1+AU55)*IF(AQ55+BC55&lt;=BJ55,BI55*LOG10((AQ55+BC55)/AQ55),BI55*LOG10(BJ55/AQ55)+BH55*LOG10((AQ55+BC55)/BJ55)))*BF55</f>
        <v/>
      </c>
      <c r="BL55" s="68">
        <f>IF(AM55="Sand",0,10^(INDEX(Input!$Q$48:$Q$54,MIN(MATCH(MIN(MAX(AR55,30),120),Input!$C$48:$C$54,1),6))+(MIN(MAX(AR55,30),120)-INDEX(Input!$C$48:$C$54,MIN(MATCH(MIN(MAX(AR55,30),120),Input!$C$48:$C$54,1),6)))/(INDEX(Input!$C$48:$C$54,MIN(MATCH(MIN(MAX(AR55,30),120),Input!$C$48:$C$54,1),6)+1)-INDEX(Input!$C$48:$C$54,MIN(MATCH(MIN(MAX(AR55,30),120),Input!$C$48:$C$54,1),6)))*(INDEX(Input!$Q$48:$Q$54,MIN(MATCH(MIN(MAX(AR55,30),120),Input!$C$48:$C$54,1),6)+1)-INDEX(Input!$Q$48:$Q$54,MIN(MATCH(MIN(MAX(AR55,30),120),Input!$C$48:$C$54,1),6)))))</f>
        <v/>
      </c>
      <c r="BM55" s="68">
        <f>IF(OR(AM55="Sand",BF55=0),0,Input!$AA$38*(AK55/2)^2/(BL55*1E-4*31536000))</f>
        <v/>
      </c>
      <c r="BN55" s="68">
        <f>MAX(0,MIN(AJ55,Input!$AA$20)-AI55)</f>
        <v/>
      </c>
      <c r="BO55" s="68">
        <f>MAX(0,MIN(AJ55,Input!$AA$20)-MAX(AI55,$AA$22))</f>
        <v/>
      </c>
      <c r="BP55" s="68">
        <f>MAX(0,MIN(AJ55,$AA$225)-AI55)</f>
        <v/>
      </c>
      <c r="BQ55" s="68" t="inlineStr"/>
    </row>
    <row r="56">
      <c r="B56" s="9" t="n"/>
      <c r="C56" s="57" t="n">
        <v>29</v>
      </c>
      <c r="D56" s="41" t="n"/>
      <c r="E56" s="55">
        <f>AI56</f>
        <v/>
      </c>
      <c r="F56" s="41" t="n"/>
      <c r="G56" s="41" t="n"/>
      <c r="H56" s="55">
        <f>AJ56</f>
        <v/>
      </c>
      <c r="I56" s="41" t="n"/>
      <c r="J56" s="41" t="n"/>
      <c r="K56" s="52">
        <f>AM56</f>
        <v/>
      </c>
      <c r="L56" s="41" t="n"/>
      <c r="M56" s="41" t="n"/>
      <c r="N56" s="57">
        <f>AN56</f>
        <v/>
      </c>
      <c r="O56" s="41" t="n"/>
      <c r="P56" s="41" t="n"/>
      <c r="Q56" s="53">
        <f>AO56</f>
        <v/>
      </c>
      <c r="R56" s="41" t="n"/>
      <c r="S56" s="41" t="n"/>
      <c r="T56" s="57">
        <f>IF(AR56="","-",AR56)</f>
        <v/>
      </c>
      <c r="U56" s="41" t="n"/>
      <c r="V56" s="57">
        <f>IF(AT56="","-",AT56)</f>
        <v/>
      </c>
      <c r="W56" s="41" t="n"/>
      <c r="X56" s="55">
        <f>AU56</f>
        <v/>
      </c>
      <c r="Y56" s="41" t="n"/>
      <c r="Z56" s="66">
        <f>AV56</f>
        <v/>
      </c>
      <c r="AA56" s="41" t="n"/>
      <c r="AB56" s="41" t="n"/>
      <c r="AC56" s="53">
        <f>AW56</f>
        <v/>
      </c>
      <c r="AD56" s="41" t="n"/>
      <c r="AE56" s="41" t="n"/>
      <c r="AF56" s="15" t="n"/>
      <c r="AI56" s="67" t="n">
        <v>42</v>
      </c>
      <c r="AJ56" s="67" t="n">
        <v>43.5</v>
      </c>
      <c r="AK56" s="68">
        <f>AJ56-AI56</f>
        <v/>
      </c>
      <c r="AL56" s="68">
        <f>(AI56+AJ56)/2</f>
        <v/>
      </c>
      <c r="AM56" s="67" t="inlineStr">
        <is>
          <t>Sand</t>
        </is>
      </c>
      <c r="AN56" s="67" t="n">
        <v>50</v>
      </c>
      <c r="AO56" s="68">
        <f>IF(AL56&gt;$AA$19,$AA$21,$AA$20)</f>
        <v/>
      </c>
      <c r="AP56" s="68">
        <f>AP55+AO56*AK56</f>
        <v/>
      </c>
      <c r="AQ56" s="68">
        <f>AP56-AO56*AK56/2-10*MAX(AL56-$AA$19,0)</f>
        <v/>
      </c>
      <c r="AR56" s="67" t="n"/>
      <c r="AS56" s="67" t="n"/>
      <c r="AT56" s="68">
        <f>IF(AR56="","",AR56-AS56)</f>
        <v/>
      </c>
      <c r="AU56" s="67" t="n">
        <v>0.65</v>
      </c>
      <c r="AV56" s="68">
        <f>IF(AM56="Sand",0,Input!$AA$31*AN56)</f>
        <v/>
      </c>
      <c r="AW56" s="68">
        <f>IF(AM56="Sand",27.1+0.3*MIN(Input!$AA$32*AN56,60)-0.00054*MIN(Input!$AA$32*AN56,60)^2,MIN(MAX(DEGREES(ASIN(0.8-0.094*LN(MAX(IF(AT56="",10,AT56),5)))),20),30))</f>
        <v/>
      </c>
      <c r="AX56" s="68">
        <f>IF(AM56="Sand",Input!$AA$33*Input!$AA$32*AN56,Input!$AA$34*AV56)</f>
        <v/>
      </c>
      <c r="AY56" s="68">
        <f>IF(AM56="Sand",Input!$AA$35,0.5)</f>
        <v/>
      </c>
      <c r="AZ56" s="68">
        <f>Input!$AA$15/2/AL56</f>
        <v/>
      </c>
      <c r="BA56" s="68">
        <f>Input!$AA$16/2/AL56</f>
        <v/>
      </c>
      <c r="BB56" s="68">
        <f>1/(4*PI())*(2*AZ56*BA56*SQRT(AZ56^2+BA56^2+1)/(AZ56^2+BA56^2+1+AZ56^2*BA56^2)*(AZ56^2+BA56^2+2)/(AZ56^2+BA56^2+1)+ATAN2(AZ56^2+BA56^2+1-AZ56^2*BA56^2,2*AZ56*BA56*SQRT(AZ56^2+BA56^2+1)))</f>
        <v/>
      </c>
      <c r="BC56" s="68">
        <f>4*Input!$AA$14*BB56</f>
        <v/>
      </c>
      <c r="BD56" s="68">
        <f>((Input!$AA$16/Input!$AA$15)*LN((1+SQRT((Input!$AA$16/Input!$AA$15)^2+1))*SQRT((Input!$AA$16/Input!$AA$15)^2+(AJ56/(Input!$AA$15/2))^2)/((Input!$AA$16/Input!$AA$15)*(1+SQRT((Input!$AA$16/Input!$AA$15)^2+(AJ56/(Input!$AA$15/2))^2+1))))+LN(((Input!$AA$16/Input!$AA$15)+SQRT((Input!$AA$16/Input!$AA$15)^2+1))*SQRT(1+(AJ56/(Input!$AA$15/2))^2)/((Input!$AA$16/Input!$AA$15)+SQRT((Input!$AA$16/Input!$AA$15)^2+(AJ56/(Input!$AA$15/2))^2+1))))/PI()</f>
        <v/>
      </c>
      <c r="BE56" s="68">
        <f>(AJ56/(Input!$AA$15/2))/(2*PI())*ATAN((Input!$AA$16/Input!$AA$15)/((AJ56/(Input!$AA$15/2))*SQRT((Input!$AA$16/Input!$AA$15)^2+(AJ56/(Input!$AA$15/2))^2+1)))</f>
        <v/>
      </c>
      <c r="BF56" s="68">
        <f>MAX(0,AJ56-MAX(AI56,$AA$22))/AK56*IF(BC56&gt;=Input!$AA$21*AQ56,1,0)</f>
        <v/>
      </c>
      <c r="BG56" s="68">
        <f>4*Input!$AA$14*(Input!$AA$15/2)*(1-AY56^2)/AX56*((BD56-BD55)+(1-2*AY56)/(1-AY56)*(BE56-BE55))*1000*BF56</f>
        <v/>
      </c>
      <c r="BH56" s="68">
        <f>IF(AM56="Sand",0,0.009*(AR56-10))</f>
        <v/>
      </c>
      <c r="BI56" s="68">
        <f>BH56*Input!$AA$36</f>
        <v/>
      </c>
      <c r="BJ56" s="68">
        <f>IF(AM56="Sand",0,MAX(AV56/Input!$AA$37,AQ56))</f>
        <v/>
      </c>
      <c r="BK56" s="68">
        <f>IF(AM56="Sand",0,1000*AK56/(1+AU56)*IF(AQ56+BC56&lt;=BJ56,BI56*LOG10((AQ56+BC56)/AQ56),BI56*LOG10(BJ56/AQ56)+BH56*LOG10((AQ56+BC56)/BJ56)))*BF56</f>
        <v/>
      </c>
      <c r="BL56" s="68">
        <f>IF(AM56="Sand",0,10^(INDEX(Input!$Q$48:$Q$54,MIN(MATCH(MIN(MAX(AR56,30),120),Input!$C$48:$C$54,1),6))+(MIN(MAX(AR56,30),120)-INDEX(Input!$C$48:$C$54,MIN(MATCH(MIN(MAX(AR56,30),120),Input!$C$48:$C$54,1),6)))/(INDEX(Input!$C$48:$C$54,MIN(MATCH(MIN(MAX(AR56,30),120),Input!$C$48:$C$54,1),6)+1)-INDEX(Input!$C$48:$C$54,MIN(MATCH(MIN(MAX(AR56,30),120),Input!$C$48:$C$54,1),6)))*(INDEX(Input!$Q$48:$Q$54,MIN(MATCH(MIN(MAX(AR56,30),120),Input!$C$48:$C$54,1),6)+1)-INDEX(Input!$Q$48:$Q$54,MIN(MATCH(MIN(MAX(AR56,30),120),Input!$C$48:$C$54,1),6)))))</f>
        <v/>
      </c>
      <c r="BM56" s="68">
        <f>IF(OR(AM56="Sand",BF56=0),0,Input!$AA$38*(AK56/2)^2/(BL56*1E-4*31536000))</f>
        <v/>
      </c>
      <c r="BN56" s="68">
        <f>MAX(0,MIN(AJ56,Input!$AA$20)-AI56)</f>
        <v/>
      </c>
      <c r="BO56" s="68">
        <f>MAX(0,MIN(AJ56,Input!$AA$20)-MAX(AI56,$AA$22))</f>
        <v/>
      </c>
      <c r="BP56" s="68">
        <f>MAX(0,MIN(AJ56,$AA$225)-AI56)</f>
        <v/>
      </c>
      <c r="BQ56" s="68" t="inlineStr"/>
    </row>
    <row r="57">
      <c r="B57" s="9" t="n"/>
      <c r="C57" s="57" t="n">
        <v>30</v>
      </c>
      <c r="D57" s="41" t="n"/>
      <c r="E57" s="55">
        <f>AI57</f>
        <v/>
      </c>
      <c r="F57" s="41" t="n"/>
      <c r="G57" s="41" t="n"/>
      <c r="H57" s="55">
        <f>AJ57</f>
        <v/>
      </c>
      <c r="I57" s="41" t="n"/>
      <c r="J57" s="41" t="n"/>
      <c r="K57" s="52">
        <f>AM57</f>
        <v/>
      </c>
      <c r="L57" s="41" t="n"/>
      <c r="M57" s="41" t="n"/>
      <c r="N57" s="57">
        <f>AN57</f>
        <v/>
      </c>
      <c r="O57" s="41" t="n"/>
      <c r="P57" s="41" t="n"/>
      <c r="Q57" s="53">
        <f>AO57</f>
        <v/>
      </c>
      <c r="R57" s="41" t="n"/>
      <c r="S57" s="41" t="n"/>
      <c r="T57" s="57">
        <f>IF(AR57="","-",AR57)</f>
        <v/>
      </c>
      <c r="U57" s="41" t="n"/>
      <c r="V57" s="57">
        <f>IF(AT57="","-",AT57)</f>
        <v/>
      </c>
      <c r="W57" s="41" t="n"/>
      <c r="X57" s="55">
        <f>AU57</f>
        <v/>
      </c>
      <c r="Y57" s="41" t="n"/>
      <c r="Z57" s="66">
        <f>AV57</f>
        <v/>
      </c>
      <c r="AA57" s="41" t="n"/>
      <c r="AB57" s="41" t="n"/>
      <c r="AC57" s="53">
        <f>AW57</f>
        <v/>
      </c>
      <c r="AD57" s="41" t="n"/>
      <c r="AE57" s="41" t="n"/>
      <c r="AF57" s="15" t="n"/>
      <c r="AI57" s="67" t="n">
        <v>43.5</v>
      </c>
      <c r="AJ57" s="67" t="n">
        <v>45</v>
      </c>
      <c r="AK57" s="68">
        <f>AJ57-AI57</f>
        <v/>
      </c>
      <c r="AL57" s="68">
        <f>(AI57+AJ57)/2</f>
        <v/>
      </c>
      <c r="AM57" s="67" t="inlineStr">
        <is>
          <t>Sand</t>
        </is>
      </c>
      <c r="AN57" s="67" t="n">
        <v>50</v>
      </c>
      <c r="AO57" s="68">
        <f>IF(AL57&gt;$AA$19,$AA$21,$AA$20)</f>
        <v/>
      </c>
      <c r="AP57" s="68">
        <f>AP56+AO57*AK57</f>
        <v/>
      </c>
      <c r="AQ57" s="68">
        <f>AP57-AO57*AK57/2-10*MAX(AL57-$AA$19,0)</f>
        <v/>
      </c>
      <c r="AR57" s="67" t="n"/>
      <c r="AS57" s="67" t="n"/>
      <c r="AT57" s="68">
        <f>IF(AR57="","",AR57-AS57)</f>
        <v/>
      </c>
      <c r="AU57" s="67" t="n">
        <v>0.65</v>
      </c>
      <c r="AV57" s="68">
        <f>IF(AM57="Sand",0,Input!$AA$31*AN57)</f>
        <v/>
      </c>
      <c r="AW57" s="68">
        <f>IF(AM57="Sand",27.1+0.3*MIN(Input!$AA$32*AN57,60)-0.00054*MIN(Input!$AA$32*AN57,60)^2,MIN(MAX(DEGREES(ASIN(0.8-0.094*LN(MAX(IF(AT57="",10,AT57),5)))),20),30))</f>
        <v/>
      </c>
      <c r="AX57" s="68">
        <f>IF(AM57="Sand",Input!$AA$33*Input!$AA$32*AN57,Input!$AA$34*AV57)</f>
        <v/>
      </c>
      <c r="AY57" s="68">
        <f>IF(AM57="Sand",Input!$AA$35,0.5)</f>
        <v/>
      </c>
      <c r="AZ57" s="68">
        <f>Input!$AA$15/2/AL57</f>
        <v/>
      </c>
      <c r="BA57" s="68">
        <f>Input!$AA$16/2/AL57</f>
        <v/>
      </c>
      <c r="BB57" s="68">
        <f>1/(4*PI())*(2*AZ57*BA57*SQRT(AZ57^2+BA57^2+1)/(AZ57^2+BA57^2+1+AZ57^2*BA57^2)*(AZ57^2+BA57^2+2)/(AZ57^2+BA57^2+1)+ATAN2(AZ57^2+BA57^2+1-AZ57^2*BA57^2,2*AZ57*BA57*SQRT(AZ57^2+BA57^2+1)))</f>
        <v/>
      </c>
      <c r="BC57" s="68">
        <f>4*Input!$AA$14*BB57</f>
        <v/>
      </c>
      <c r="BD57" s="68">
        <f>((Input!$AA$16/Input!$AA$15)*LN((1+SQRT((Input!$AA$16/Input!$AA$15)^2+1))*SQRT((Input!$AA$16/Input!$AA$15)^2+(AJ57/(Input!$AA$15/2))^2)/((Input!$AA$16/Input!$AA$15)*(1+SQRT((Input!$AA$16/Input!$AA$15)^2+(AJ57/(Input!$AA$15/2))^2+1))))+LN(((Input!$AA$16/Input!$AA$15)+SQRT((Input!$AA$16/Input!$AA$15)^2+1))*SQRT(1+(AJ57/(Input!$AA$15/2))^2)/((Input!$AA$16/Input!$AA$15)+SQRT((Input!$AA$16/Input!$AA$15)^2+(AJ57/(Input!$AA$15/2))^2+1))))/PI()</f>
        <v/>
      </c>
      <c r="BE57" s="68">
        <f>(AJ57/(Input!$AA$15/2))/(2*PI())*ATAN((Input!$AA$16/Input!$AA$15)/((AJ57/(Input!$AA$15/2))*SQRT((Input!$AA$16/Input!$AA$15)^2+(AJ57/(Input!$AA$15/2))^2+1)))</f>
        <v/>
      </c>
      <c r="BF57" s="68">
        <f>MAX(0,AJ57-MAX(AI57,$AA$22))/AK57*IF(BC57&gt;=Input!$AA$21*AQ57,1,0)</f>
        <v/>
      </c>
      <c r="BG57" s="68">
        <f>4*Input!$AA$14*(Input!$AA$15/2)*(1-AY57^2)/AX57*((BD57-BD56)+(1-2*AY57)/(1-AY57)*(BE57-BE56))*1000*BF57</f>
        <v/>
      </c>
      <c r="BH57" s="68">
        <f>IF(AM57="Sand",0,0.009*(AR57-10))</f>
        <v/>
      </c>
      <c r="BI57" s="68">
        <f>BH57*Input!$AA$36</f>
        <v/>
      </c>
      <c r="BJ57" s="68">
        <f>IF(AM57="Sand",0,MAX(AV57/Input!$AA$37,AQ57))</f>
        <v/>
      </c>
      <c r="BK57" s="68">
        <f>IF(AM57="Sand",0,1000*AK57/(1+AU57)*IF(AQ57+BC57&lt;=BJ57,BI57*LOG10((AQ57+BC57)/AQ57),BI57*LOG10(BJ57/AQ57)+BH57*LOG10((AQ57+BC57)/BJ57)))*BF57</f>
        <v/>
      </c>
      <c r="BL57" s="68">
        <f>IF(AM57="Sand",0,10^(INDEX(Input!$Q$48:$Q$54,MIN(MATCH(MIN(MAX(AR57,30),120),Input!$C$48:$C$54,1),6))+(MIN(MAX(AR57,30),120)-INDEX(Input!$C$48:$C$54,MIN(MATCH(MIN(MAX(AR57,30),120),Input!$C$48:$C$54,1),6)))/(INDEX(Input!$C$48:$C$54,MIN(MATCH(MIN(MAX(AR57,30),120),Input!$C$48:$C$54,1),6)+1)-INDEX(Input!$C$48:$C$54,MIN(MATCH(MIN(MAX(AR57,30),120),Input!$C$48:$C$54,1),6)))*(INDEX(Input!$Q$48:$Q$54,MIN(MATCH(MIN(MAX(AR57,30),120),Input!$C$48:$C$54,1),6)+1)-INDEX(Input!$Q$48:$Q$54,MIN(MATCH(MIN(MAX(AR57,30),120),Input!$C$48:$C$54,1),6)))))</f>
        <v/>
      </c>
      <c r="BM57" s="68">
        <f>IF(OR(AM57="Sand",BF57=0),0,Input!$AA$38*(AK57/2)^2/(BL57*1E-4*31536000))</f>
        <v/>
      </c>
      <c r="BN57" s="68">
        <f>MAX(0,MIN(AJ57,Input!$AA$20)-AI57)</f>
        <v/>
      </c>
      <c r="BO57" s="68">
        <f>MAX(0,MIN(AJ57,Input!$AA$20)-MAX(AI57,$AA$22))</f>
        <v/>
      </c>
      <c r="BP57" s="68">
        <f>MAX(0,MIN(AJ57,$AA$225)-AI57)</f>
        <v/>
      </c>
      <c r="BQ57" s="68" t="inlineStr"/>
    </row>
    <row r="58">
      <c r="B58" s="9" t="n"/>
      <c r="C58" s="57" t="n">
        <v>31</v>
      </c>
      <c r="D58" s="41" t="n"/>
      <c r="E58" s="55">
        <f>AI58</f>
        <v/>
      </c>
      <c r="F58" s="41" t="n"/>
      <c r="G58" s="41" t="n"/>
      <c r="H58" s="55">
        <f>AJ58</f>
        <v/>
      </c>
      <c r="I58" s="41" t="n"/>
      <c r="J58" s="41" t="n"/>
      <c r="K58" s="52">
        <f>AM58</f>
        <v/>
      </c>
      <c r="L58" s="41" t="n"/>
      <c r="M58" s="41" t="n"/>
      <c r="N58" s="57">
        <f>AN58</f>
        <v/>
      </c>
      <c r="O58" s="41" t="n"/>
      <c r="P58" s="41" t="n"/>
      <c r="Q58" s="53">
        <f>AO58</f>
        <v/>
      </c>
      <c r="R58" s="41" t="n"/>
      <c r="S58" s="41" t="n"/>
      <c r="T58" s="57">
        <f>IF(AR58="","-",AR58)</f>
        <v/>
      </c>
      <c r="U58" s="41" t="n"/>
      <c r="V58" s="57">
        <f>IF(AT58="","-",AT58)</f>
        <v/>
      </c>
      <c r="W58" s="41" t="n"/>
      <c r="X58" s="55">
        <f>AU58</f>
        <v/>
      </c>
      <c r="Y58" s="41" t="n"/>
      <c r="Z58" s="66">
        <f>AV58</f>
        <v/>
      </c>
      <c r="AA58" s="41" t="n"/>
      <c r="AB58" s="41" t="n"/>
      <c r="AC58" s="53">
        <f>AW58</f>
        <v/>
      </c>
      <c r="AD58" s="41" t="n"/>
      <c r="AE58" s="41" t="n"/>
      <c r="AF58" s="15" t="n"/>
      <c r="AI58" s="67" t="n">
        <v>45</v>
      </c>
      <c r="AJ58" s="67" t="n">
        <v>46.5</v>
      </c>
      <c r="AK58" s="68">
        <f>AJ58-AI58</f>
        <v/>
      </c>
      <c r="AL58" s="68">
        <f>(AI58+AJ58)/2</f>
        <v/>
      </c>
      <c r="AM58" s="67" t="inlineStr">
        <is>
          <t>Sand</t>
        </is>
      </c>
      <c r="AN58" s="67" t="n">
        <v>50</v>
      </c>
      <c r="AO58" s="68">
        <f>IF(AL58&gt;$AA$19,$AA$21,$AA$20)</f>
        <v/>
      </c>
      <c r="AP58" s="68">
        <f>AP57+AO58*AK58</f>
        <v/>
      </c>
      <c r="AQ58" s="68">
        <f>AP58-AO58*AK58/2-10*MAX(AL58-$AA$19,0)</f>
        <v/>
      </c>
      <c r="AR58" s="67" t="n"/>
      <c r="AS58" s="67" t="n"/>
      <c r="AT58" s="68">
        <f>IF(AR58="","",AR58-AS58)</f>
        <v/>
      </c>
      <c r="AU58" s="67" t="n">
        <v>0.65</v>
      </c>
      <c r="AV58" s="68">
        <f>IF(AM58="Sand",0,Input!$AA$31*AN58)</f>
        <v/>
      </c>
      <c r="AW58" s="68">
        <f>IF(AM58="Sand",27.1+0.3*MIN(Input!$AA$32*AN58,60)-0.00054*MIN(Input!$AA$32*AN58,60)^2,MIN(MAX(DEGREES(ASIN(0.8-0.094*LN(MAX(IF(AT58="",10,AT58),5)))),20),30))</f>
        <v/>
      </c>
      <c r="AX58" s="68">
        <f>IF(AM58="Sand",Input!$AA$33*Input!$AA$32*AN58,Input!$AA$34*AV58)</f>
        <v/>
      </c>
      <c r="AY58" s="68">
        <f>IF(AM58="Sand",Input!$AA$35,0.5)</f>
        <v/>
      </c>
      <c r="AZ58" s="68">
        <f>Input!$AA$15/2/AL58</f>
        <v/>
      </c>
      <c r="BA58" s="68">
        <f>Input!$AA$16/2/AL58</f>
        <v/>
      </c>
      <c r="BB58" s="68">
        <f>1/(4*PI())*(2*AZ58*BA58*SQRT(AZ58^2+BA58^2+1)/(AZ58^2+BA58^2+1+AZ58^2*BA58^2)*(AZ58^2+BA58^2+2)/(AZ58^2+BA58^2+1)+ATAN2(AZ58^2+BA58^2+1-AZ58^2*BA58^2,2*AZ58*BA58*SQRT(AZ58^2+BA58^2+1)))</f>
        <v/>
      </c>
      <c r="BC58" s="68">
        <f>4*Input!$AA$14*BB58</f>
        <v/>
      </c>
      <c r="BD58" s="68">
        <f>((Input!$AA$16/Input!$AA$15)*LN((1+SQRT((Input!$AA$16/Input!$AA$15)^2+1))*SQRT((Input!$AA$16/Input!$AA$15)^2+(AJ58/(Input!$AA$15/2))^2)/((Input!$AA$16/Input!$AA$15)*(1+SQRT((Input!$AA$16/Input!$AA$15)^2+(AJ58/(Input!$AA$15/2))^2+1))))+LN(((Input!$AA$16/Input!$AA$15)+SQRT((Input!$AA$16/Input!$AA$15)^2+1))*SQRT(1+(AJ58/(Input!$AA$15/2))^2)/((Input!$AA$16/Input!$AA$15)+SQRT((Input!$AA$16/Input!$AA$15)^2+(AJ58/(Input!$AA$15/2))^2+1))))/PI()</f>
        <v/>
      </c>
      <c r="BE58" s="68">
        <f>(AJ58/(Input!$AA$15/2))/(2*PI())*ATAN((Input!$AA$16/Input!$AA$15)/((AJ58/(Input!$AA$15/2))*SQRT((Input!$AA$16/Input!$AA$15)^2+(AJ58/(Input!$AA$15/2))^2+1)))</f>
        <v/>
      </c>
      <c r="BF58" s="68">
        <f>MAX(0,AJ58-MAX(AI58,$AA$22))/AK58*IF(BC58&gt;=Input!$AA$21*AQ58,1,0)</f>
        <v/>
      </c>
      <c r="BG58" s="68">
        <f>4*Input!$AA$14*(Input!$AA$15/2)*(1-AY58^2)/AX58*((BD58-BD57)+(1-2*AY58)/(1-AY58)*(BE58-BE57))*1000*BF58</f>
        <v/>
      </c>
      <c r="BH58" s="68">
        <f>IF(AM58="Sand",0,0.009*(AR58-10))</f>
        <v/>
      </c>
      <c r="BI58" s="68">
        <f>BH58*Input!$AA$36</f>
        <v/>
      </c>
      <c r="BJ58" s="68">
        <f>IF(AM58="Sand",0,MAX(AV58/Input!$AA$37,AQ58))</f>
        <v/>
      </c>
      <c r="BK58" s="68">
        <f>IF(AM58="Sand",0,1000*AK58/(1+AU58)*IF(AQ58+BC58&lt;=BJ58,BI58*LOG10((AQ58+BC58)/AQ58),BI58*LOG10(BJ58/AQ58)+BH58*LOG10((AQ58+BC58)/BJ58)))*BF58</f>
        <v/>
      </c>
      <c r="BL58" s="68">
        <f>IF(AM58="Sand",0,10^(INDEX(Input!$Q$48:$Q$54,MIN(MATCH(MIN(MAX(AR58,30),120),Input!$C$48:$C$54,1),6))+(MIN(MAX(AR58,30),120)-INDEX(Input!$C$48:$C$54,MIN(MATCH(MIN(MAX(AR58,30),120),Input!$C$48:$C$54,1),6)))/(INDEX(Input!$C$48:$C$54,MIN(MATCH(MIN(MAX(AR58,30),120),Input!$C$48:$C$54,1),6)+1)-INDEX(Input!$C$48:$C$54,MIN(MATCH(MIN(MAX(AR58,30),120),Input!$C$48:$C$54,1),6)))*(INDEX(Input!$Q$48:$Q$54,MIN(MATCH(MIN(MAX(AR58,30),120),Input!$C$48:$C$54,1),6)+1)-INDEX(Input!$Q$48:$Q$54,MIN(MATCH(MIN(MAX(AR58,30),120),Input!$C$48:$C$54,1),6)))))</f>
        <v/>
      </c>
      <c r="BM58" s="68">
        <f>IF(OR(AM58="Sand",BF58=0),0,Input!$AA$38*(AK58/2)^2/(BL58*1E-4*31536000))</f>
        <v/>
      </c>
      <c r="BN58" s="68">
        <f>MAX(0,MIN(AJ58,Input!$AA$20)-AI58)</f>
        <v/>
      </c>
      <c r="BO58" s="68">
        <f>MAX(0,MIN(AJ58,Input!$AA$20)-MAX(AI58,$AA$22))</f>
        <v/>
      </c>
      <c r="BP58" s="68">
        <f>MAX(0,MIN(AJ58,$AA$225)-AI58)</f>
        <v/>
      </c>
      <c r="BQ58" s="68" t="inlineStr"/>
    </row>
    <row r="59">
      <c r="B59" s="9" t="n"/>
      <c r="C59" s="57" t="n">
        <v>32</v>
      </c>
      <c r="D59" s="41" t="n"/>
      <c r="E59" s="55">
        <f>AI59</f>
        <v/>
      </c>
      <c r="F59" s="41" t="n"/>
      <c r="G59" s="41" t="n"/>
      <c r="H59" s="55">
        <f>AJ59</f>
        <v/>
      </c>
      <c r="I59" s="41" t="n"/>
      <c r="J59" s="41" t="n"/>
      <c r="K59" s="52">
        <f>AM59</f>
        <v/>
      </c>
      <c r="L59" s="41" t="n"/>
      <c r="M59" s="41" t="n"/>
      <c r="N59" s="57">
        <f>AN59</f>
        <v/>
      </c>
      <c r="O59" s="41" t="n"/>
      <c r="P59" s="41" t="n"/>
      <c r="Q59" s="53">
        <f>AO59</f>
        <v/>
      </c>
      <c r="R59" s="41" t="n"/>
      <c r="S59" s="41" t="n"/>
      <c r="T59" s="57">
        <f>IF(AR59="","-",AR59)</f>
        <v/>
      </c>
      <c r="U59" s="41" t="n"/>
      <c r="V59" s="57">
        <f>IF(AT59="","-",AT59)</f>
        <v/>
      </c>
      <c r="W59" s="41" t="n"/>
      <c r="X59" s="55">
        <f>AU59</f>
        <v/>
      </c>
      <c r="Y59" s="41" t="n"/>
      <c r="Z59" s="66">
        <f>AV59</f>
        <v/>
      </c>
      <c r="AA59" s="41" t="n"/>
      <c r="AB59" s="41" t="n"/>
      <c r="AC59" s="53">
        <f>AW59</f>
        <v/>
      </c>
      <c r="AD59" s="41" t="n"/>
      <c r="AE59" s="41" t="n"/>
      <c r="AF59" s="15" t="n"/>
      <c r="AI59" s="67" t="n">
        <v>46.5</v>
      </c>
      <c r="AJ59" s="67" t="n">
        <v>48</v>
      </c>
      <c r="AK59" s="68">
        <f>AJ59-AI59</f>
        <v/>
      </c>
      <c r="AL59" s="68">
        <f>(AI59+AJ59)/2</f>
        <v/>
      </c>
      <c r="AM59" s="67" t="inlineStr">
        <is>
          <t>Sand</t>
        </is>
      </c>
      <c r="AN59" s="67" t="n">
        <v>50</v>
      </c>
      <c r="AO59" s="68">
        <f>IF(AL59&gt;$AA$19,$AA$21,$AA$20)</f>
        <v/>
      </c>
      <c r="AP59" s="68">
        <f>AP58+AO59*AK59</f>
        <v/>
      </c>
      <c r="AQ59" s="68">
        <f>AP59-AO59*AK59/2-10*MAX(AL59-$AA$19,0)</f>
        <v/>
      </c>
      <c r="AR59" s="67" t="n"/>
      <c r="AS59" s="67" t="n"/>
      <c r="AT59" s="68">
        <f>IF(AR59="","",AR59-AS59)</f>
        <v/>
      </c>
      <c r="AU59" s="67" t="n">
        <v>0.65</v>
      </c>
      <c r="AV59" s="68">
        <f>IF(AM59="Sand",0,Input!$AA$31*AN59)</f>
        <v/>
      </c>
      <c r="AW59" s="68">
        <f>IF(AM59="Sand",27.1+0.3*MIN(Input!$AA$32*AN59,60)-0.00054*MIN(Input!$AA$32*AN59,60)^2,MIN(MAX(DEGREES(ASIN(0.8-0.094*LN(MAX(IF(AT59="",10,AT59),5)))),20),30))</f>
        <v/>
      </c>
      <c r="AX59" s="68">
        <f>IF(AM59="Sand",Input!$AA$33*Input!$AA$32*AN59,Input!$AA$34*AV59)</f>
        <v/>
      </c>
      <c r="AY59" s="68">
        <f>IF(AM59="Sand",Input!$AA$35,0.5)</f>
        <v/>
      </c>
      <c r="AZ59" s="68">
        <f>Input!$AA$15/2/AL59</f>
        <v/>
      </c>
      <c r="BA59" s="68">
        <f>Input!$AA$16/2/AL59</f>
        <v/>
      </c>
      <c r="BB59" s="68">
        <f>1/(4*PI())*(2*AZ59*BA59*SQRT(AZ59^2+BA59^2+1)/(AZ59^2+BA59^2+1+AZ59^2*BA59^2)*(AZ59^2+BA59^2+2)/(AZ59^2+BA59^2+1)+ATAN2(AZ59^2+BA59^2+1-AZ59^2*BA59^2,2*AZ59*BA59*SQRT(AZ59^2+BA59^2+1)))</f>
        <v/>
      </c>
      <c r="BC59" s="68">
        <f>4*Input!$AA$14*BB59</f>
        <v/>
      </c>
      <c r="BD59" s="68">
        <f>((Input!$AA$16/Input!$AA$15)*LN((1+SQRT((Input!$AA$16/Input!$AA$15)^2+1))*SQRT((Input!$AA$16/Input!$AA$15)^2+(AJ59/(Input!$AA$15/2))^2)/((Input!$AA$16/Input!$AA$15)*(1+SQRT((Input!$AA$16/Input!$AA$15)^2+(AJ59/(Input!$AA$15/2))^2+1))))+LN(((Input!$AA$16/Input!$AA$15)+SQRT((Input!$AA$16/Input!$AA$15)^2+1))*SQRT(1+(AJ59/(Input!$AA$15/2))^2)/((Input!$AA$16/Input!$AA$15)+SQRT((Input!$AA$16/Input!$AA$15)^2+(AJ59/(Input!$AA$15/2))^2+1))))/PI()</f>
        <v/>
      </c>
      <c r="BE59" s="68">
        <f>(AJ59/(Input!$AA$15/2))/(2*PI())*ATAN((Input!$AA$16/Input!$AA$15)/((AJ59/(Input!$AA$15/2))*SQRT((Input!$AA$16/Input!$AA$15)^2+(AJ59/(Input!$AA$15/2))^2+1)))</f>
        <v/>
      </c>
      <c r="BF59" s="68">
        <f>MAX(0,AJ59-MAX(AI59,$AA$22))/AK59*IF(BC59&gt;=Input!$AA$21*AQ59,1,0)</f>
        <v/>
      </c>
      <c r="BG59" s="68">
        <f>4*Input!$AA$14*(Input!$AA$15/2)*(1-AY59^2)/AX59*((BD59-BD58)+(1-2*AY59)/(1-AY59)*(BE59-BE58))*1000*BF59</f>
        <v/>
      </c>
      <c r="BH59" s="68">
        <f>IF(AM59="Sand",0,0.009*(AR59-10))</f>
        <v/>
      </c>
      <c r="BI59" s="68">
        <f>BH59*Input!$AA$36</f>
        <v/>
      </c>
      <c r="BJ59" s="68">
        <f>IF(AM59="Sand",0,MAX(AV59/Input!$AA$37,AQ59))</f>
        <v/>
      </c>
      <c r="BK59" s="68">
        <f>IF(AM59="Sand",0,1000*AK59/(1+AU59)*IF(AQ59+BC59&lt;=BJ59,BI59*LOG10((AQ59+BC59)/AQ59),BI59*LOG10(BJ59/AQ59)+BH59*LOG10((AQ59+BC59)/BJ59)))*BF59</f>
        <v/>
      </c>
      <c r="BL59" s="68">
        <f>IF(AM59="Sand",0,10^(INDEX(Input!$Q$48:$Q$54,MIN(MATCH(MIN(MAX(AR59,30),120),Input!$C$48:$C$54,1),6))+(MIN(MAX(AR59,30),120)-INDEX(Input!$C$48:$C$54,MIN(MATCH(MIN(MAX(AR59,30),120),Input!$C$48:$C$54,1),6)))/(INDEX(Input!$C$48:$C$54,MIN(MATCH(MIN(MAX(AR59,30),120),Input!$C$48:$C$54,1),6)+1)-INDEX(Input!$C$48:$C$54,MIN(MATCH(MIN(MAX(AR59,30),120),Input!$C$48:$C$54,1),6)))*(INDEX(Input!$Q$48:$Q$54,MIN(MATCH(MIN(MAX(AR59,30),120),Input!$C$48:$C$54,1),6)+1)-INDEX(Input!$Q$48:$Q$54,MIN(MATCH(MIN(MAX(AR59,30),120),Input!$C$48:$C$54,1),6)))))</f>
        <v/>
      </c>
      <c r="BM59" s="68">
        <f>IF(OR(AM59="Sand",BF59=0),0,Input!$AA$38*(AK59/2)^2/(BL59*1E-4*31536000))</f>
        <v/>
      </c>
      <c r="BN59" s="68">
        <f>MAX(0,MIN(AJ59,Input!$AA$20)-AI59)</f>
        <v/>
      </c>
      <c r="BO59" s="68">
        <f>MAX(0,MIN(AJ59,Input!$AA$20)-MAX(AI59,$AA$22))</f>
        <v/>
      </c>
      <c r="BP59" s="68">
        <f>MAX(0,MIN(AJ59,$AA$225)-AI59)</f>
        <v/>
      </c>
      <c r="BQ59" s="68" t="inlineStr"/>
    </row>
    <row r="60">
      <c r="B60" s="9" t="n"/>
      <c r="C60" s="57" t="n">
        <v>33</v>
      </c>
      <c r="D60" s="41" t="n"/>
      <c r="E60" s="55">
        <f>AI60</f>
        <v/>
      </c>
      <c r="F60" s="41" t="n"/>
      <c r="G60" s="41" t="n"/>
      <c r="H60" s="55">
        <f>AJ60</f>
        <v/>
      </c>
      <c r="I60" s="41" t="n"/>
      <c r="J60" s="41" t="n"/>
      <c r="K60" s="52">
        <f>AM60</f>
        <v/>
      </c>
      <c r="L60" s="41" t="n"/>
      <c r="M60" s="41" t="n"/>
      <c r="N60" s="57">
        <f>AN60</f>
        <v/>
      </c>
      <c r="O60" s="41" t="n"/>
      <c r="P60" s="41" t="n"/>
      <c r="Q60" s="53">
        <f>AO60</f>
        <v/>
      </c>
      <c r="R60" s="41" t="n"/>
      <c r="S60" s="41" t="n"/>
      <c r="T60" s="57">
        <f>IF(AR60="","-",AR60)</f>
        <v/>
      </c>
      <c r="U60" s="41" t="n"/>
      <c r="V60" s="57">
        <f>IF(AT60="","-",AT60)</f>
        <v/>
      </c>
      <c r="W60" s="41" t="n"/>
      <c r="X60" s="55">
        <f>AU60</f>
        <v/>
      </c>
      <c r="Y60" s="41" t="n"/>
      <c r="Z60" s="66">
        <f>AV60</f>
        <v/>
      </c>
      <c r="AA60" s="41" t="n"/>
      <c r="AB60" s="41" t="n"/>
      <c r="AC60" s="53">
        <f>AW60</f>
        <v/>
      </c>
      <c r="AD60" s="41" t="n"/>
      <c r="AE60" s="41" t="n"/>
      <c r="AF60" s="15" t="n"/>
      <c r="AI60" s="67" t="n">
        <v>48</v>
      </c>
      <c r="AJ60" s="67" t="n">
        <v>49.5</v>
      </c>
      <c r="AK60" s="68">
        <f>AJ60-AI60</f>
        <v/>
      </c>
      <c r="AL60" s="68">
        <f>(AI60+AJ60)/2</f>
        <v/>
      </c>
      <c r="AM60" s="67" t="inlineStr">
        <is>
          <t>Sand</t>
        </is>
      </c>
      <c r="AN60" s="67" t="n">
        <v>27</v>
      </c>
      <c r="AO60" s="68">
        <f>IF(AL60&gt;$AA$19,$AA$21,$AA$20)</f>
        <v/>
      </c>
      <c r="AP60" s="68">
        <f>AP59+AO60*AK60</f>
        <v/>
      </c>
      <c r="AQ60" s="68">
        <f>AP60-AO60*AK60/2-10*MAX(AL60-$AA$19,0)</f>
        <v/>
      </c>
      <c r="AR60" s="67" t="n"/>
      <c r="AS60" s="67" t="n"/>
      <c r="AT60" s="68">
        <f>IF(AR60="","",AR60-AS60)</f>
        <v/>
      </c>
      <c r="AU60" s="67" t="n">
        <v>0.65</v>
      </c>
      <c r="AV60" s="68">
        <f>IF(AM60="Sand",0,Input!$AA$31*AN60)</f>
        <v/>
      </c>
      <c r="AW60" s="68">
        <f>IF(AM60="Sand",27.1+0.3*MIN(Input!$AA$32*AN60,60)-0.00054*MIN(Input!$AA$32*AN60,60)^2,MIN(MAX(DEGREES(ASIN(0.8-0.094*LN(MAX(IF(AT60="",10,AT60),5)))),20),30))</f>
        <v/>
      </c>
      <c r="AX60" s="68">
        <f>IF(AM60="Sand",Input!$AA$33*Input!$AA$32*AN60,Input!$AA$34*AV60)</f>
        <v/>
      </c>
      <c r="AY60" s="68">
        <f>IF(AM60="Sand",Input!$AA$35,0.5)</f>
        <v/>
      </c>
      <c r="AZ60" s="68">
        <f>Input!$AA$15/2/AL60</f>
        <v/>
      </c>
      <c r="BA60" s="68">
        <f>Input!$AA$16/2/AL60</f>
        <v/>
      </c>
      <c r="BB60" s="68">
        <f>1/(4*PI())*(2*AZ60*BA60*SQRT(AZ60^2+BA60^2+1)/(AZ60^2+BA60^2+1+AZ60^2*BA60^2)*(AZ60^2+BA60^2+2)/(AZ60^2+BA60^2+1)+ATAN2(AZ60^2+BA60^2+1-AZ60^2*BA60^2,2*AZ60*BA60*SQRT(AZ60^2+BA60^2+1)))</f>
        <v/>
      </c>
      <c r="BC60" s="68">
        <f>4*Input!$AA$14*BB60</f>
        <v/>
      </c>
      <c r="BD60" s="68">
        <f>((Input!$AA$16/Input!$AA$15)*LN((1+SQRT((Input!$AA$16/Input!$AA$15)^2+1))*SQRT((Input!$AA$16/Input!$AA$15)^2+(AJ60/(Input!$AA$15/2))^2)/((Input!$AA$16/Input!$AA$15)*(1+SQRT((Input!$AA$16/Input!$AA$15)^2+(AJ60/(Input!$AA$15/2))^2+1))))+LN(((Input!$AA$16/Input!$AA$15)+SQRT((Input!$AA$16/Input!$AA$15)^2+1))*SQRT(1+(AJ60/(Input!$AA$15/2))^2)/((Input!$AA$16/Input!$AA$15)+SQRT((Input!$AA$16/Input!$AA$15)^2+(AJ60/(Input!$AA$15/2))^2+1))))/PI()</f>
        <v/>
      </c>
      <c r="BE60" s="68">
        <f>(AJ60/(Input!$AA$15/2))/(2*PI())*ATAN((Input!$AA$16/Input!$AA$15)/((AJ60/(Input!$AA$15/2))*SQRT((Input!$AA$16/Input!$AA$15)^2+(AJ60/(Input!$AA$15/2))^2+1)))</f>
        <v/>
      </c>
      <c r="BF60" s="68">
        <f>MAX(0,AJ60-MAX(AI60,$AA$22))/AK60*IF(BC60&gt;=Input!$AA$21*AQ60,1,0)</f>
        <v/>
      </c>
      <c r="BG60" s="68">
        <f>4*Input!$AA$14*(Input!$AA$15/2)*(1-AY60^2)/AX60*((BD60-BD59)+(1-2*AY60)/(1-AY60)*(BE60-BE59))*1000*BF60</f>
        <v/>
      </c>
      <c r="BH60" s="68">
        <f>IF(AM60="Sand",0,0.009*(AR60-10))</f>
        <v/>
      </c>
      <c r="BI60" s="68">
        <f>BH60*Input!$AA$36</f>
        <v/>
      </c>
      <c r="BJ60" s="68">
        <f>IF(AM60="Sand",0,MAX(AV60/Input!$AA$37,AQ60))</f>
        <v/>
      </c>
      <c r="BK60" s="68">
        <f>IF(AM60="Sand",0,1000*AK60/(1+AU60)*IF(AQ60+BC60&lt;=BJ60,BI60*LOG10((AQ60+BC60)/AQ60),BI60*LOG10(BJ60/AQ60)+BH60*LOG10((AQ60+BC60)/BJ60)))*BF60</f>
        <v/>
      </c>
      <c r="BL60" s="68">
        <f>IF(AM60="Sand",0,10^(INDEX(Input!$Q$48:$Q$54,MIN(MATCH(MIN(MAX(AR60,30),120),Input!$C$48:$C$54,1),6))+(MIN(MAX(AR60,30),120)-INDEX(Input!$C$48:$C$54,MIN(MATCH(MIN(MAX(AR60,30),120),Input!$C$48:$C$54,1),6)))/(INDEX(Input!$C$48:$C$54,MIN(MATCH(MIN(MAX(AR60,30),120),Input!$C$48:$C$54,1),6)+1)-INDEX(Input!$C$48:$C$54,MIN(MATCH(MIN(MAX(AR60,30),120),Input!$C$48:$C$54,1),6)))*(INDEX(Input!$Q$48:$Q$54,MIN(MATCH(MIN(MAX(AR60,30),120),Input!$C$48:$C$54,1),6)+1)-INDEX(Input!$Q$48:$Q$54,MIN(MATCH(MIN(MAX(AR60,30),120),Input!$C$48:$C$54,1),6)))))</f>
        <v/>
      </c>
      <c r="BM60" s="68">
        <f>IF(OR(AM60="Sand",BF60=0),0,Input!$AA$38*(AK60/2)^2/(BL60*1E-4*31536000))</f>
        <v/>
      </c>
      <c r="BN60" s="68">
        <f>MAX(0,MIN(AJ60,Input!$AA$20)-AI60)</f>
        <v/>
      </c>
      <c r="BO60" s="68">
        <f>MAX(0,MIN(AJ60,Input!$AA$20)-MAX(AI60,$AA$22))</f>
        <v/>
      </c>
      <c r="BP60" s="68">
        <f>MAX(0,MIN(AJ60,$AA$225)-AI60)</f>
        <v/>
      </c>
      <c r="BQ60" s="68" t="inlineStr"/>
    </row>
    <row r="61">
      <c r="B61" s="9" t="n"/>
      <c r="C61" s="57" t="n">
        <v>34</v>
      </c>
      <c r="D61" s="41" t="n"/>
      <c r="E61" s="55">
        <f>AI61</f>
        <v/>
      </c>
      <c r="F61" s="41" t="n"/>
      <c r="G61" s="41" t="n"/>
      <c r="H61" s="55">
        <f>AJ61</f>
        <v/>
      </c>
      <c r="I61" s="41" t="n"/>
      <c r="J61" s="41" t="n"/>
      <c r="K61" s="52">
        <f>AM61</f>
        <v/>
      </c>
      <c r="L61" s="41" t="n"/>
      <c r="M61" s="41" t="n"/>
      <c r="N61" s="57">
        <f>AN61</f>
        <v/>
      </c>
      <c r="O61" s="41" t="n"/>
      <c r="P61" s="41" t="n"/>
      <c r="Q61" s="53">
        <f>AO61</f>
        <v/>
      </c>
      <c r="R61" s="41" t="n"/>
      <c r="S61" s="41" t="n"/>
      <c r="T61" s="57">
        <f>IF(AR61="","-",AR61)</f>
        <v/>
      </c>
      <c r="U61" s="41" t="n"/>
      <c r="V61" s="57">
        <f>IF(AT61="","-",AT61)</f>
        <v/>
      </c>
      <c r="W61" s="41" t="n"/>
      <c r="X61" s="55">
        <f>AU61</f>
        <v/>
      </c>
      <c r="Y61" s="41" t="n"/>
      <c r="Z61" s="66">
        <f>AV61</f>
        <v/>
      </c>
      <c r="AA61" s="41" t="n"/>
      <c r="AB61" s="41" t="n"/>
      <c r="AC61" s="53">
        <f>AW61</f>
        <v/>
      </c>
      <c r="AD61" s="41" t="n"/>
      <c r="AE61" s="41" t="n"/>
      <c r="AF61" s="15" t="n"/>
      <c r="AI61" s="67" t="n">
        <v>49.5</v>
      </c>
      <c r="AJ61" s="67" t="n">
        <v>51</v>
      </c>
      <c r="AK61" s="68">
        <f>AJ61-AI61</f>
        <v/>
      </c>
      <c r="AL61" s="68">
        <f>(AI61+AJ61)/2</f>
        <v/>
      </c>
      <c r="AM61" s="67" t="inlineStr">
        <is>
          <t>Sand</t>
        </is>
      </c>
      <c r="AN61" s="67" t="n">
        <v>25</v>
      </c>
      <c r="AO61" s="68">
        <f>IF(AL61&gt;$AA$19,$AA$21,$AA$20)</f>
        <v/>
      </c>
      <c r="AP61" s="68">
        <f>AP60+AO61*AK61</f>
        <v/>
      </c>
      <c r="AQ61" s="68">
        <f>AP61-AO61*AK61/2-10*MAX(AL61-$AA$19,0)</f>
        <v/>
      </c>
      <c r="AR61" s="67" t="n"/>
      <c r="AS61" s="67" t="n"/>
      <c r="AT61" s="68">
        <f>IF(AR61="","",AR61-AS61)</f>
        <v/>
      </c>
      <c r="AU61" s="67" t="n">
        <v>0.65</v>
      </c>
      <c r="AV61" s="68">
        <f>IF(AM61="Sand",0,Input!$AA$31*AN61)</f>
        <v/>
      </c>
      <c r="AW61" s="68">
        <f>IF(AM61="Sand",27.1+0.3*MIN(Input!$AA$32*AN61,60)-0.00054*MIN(Input!$AA$32*AN61,60)^2,MIN(MAX(DEGREES(ASIN(0.8-0.094*LN(MAX(IF(AT61="",10,AT61),5)))),20),30))</f>
        <v/>
      </c>
      <c r="AX61" s="68">
        <f>IF(AM61="Sand",Input!$AA$33*Input!$AA$32*AN61,Input!$AA$34*AV61)</f>
        <v/>
      </c>
      <c r="AY61" s="68">
        <f>IF(AM61="Sand",Input!$AA$35,0.5)</f>
        <v/>
      </c>
      <c r="AZ61" s="68">
        <f>Input!$AA$15/2/AL61</f>
        <v/>
      </c>
      <c r="BA61" s="68">
        <f>Input!$AA$16/2/AL61</f>
        <v/>
      </c>
      <c r="BB61" s="68">
        <f>1/(4*PI())*(2*AZ61*BA61*SQRT(AZ61^2+BA61^2+1)/(AZ61^2+BA61^2+1+AZ61^2*BA61^2)*(AZ61^2+BA61^2+2)/(AZ61^2+BA61^2+1)+ATAN2(AZ61^2+BA61^2+1-AZ61^2*BA61^2,2*AZ61*BA61*SQRT(AZ61^2+BA61^2+1)))</f>
        <v/>
      </c>
      <c r="BC61" s="68">
        <f>4*Input!$AA$14*BB61</f>
        <v/>
      </c>
      <c r="BD61" s="68">
        <f>((Input!$AA$16/Input!$AA$15)*LN((1+SQRT((Input!$AA$16/Input!$AA$15)^2+1))*SQRT((Input!$AA$16/Input!$AA$15)^2+(AJ61/(Input!$AA$15/2))^2)/((Input!$AA$16/Input!$AA$15)*(1+SQRT((Input!$AA$16/Input!$AA$15)^2+(AJ61/(Input!$AA$15/2))^2+1))))+LN(((Input!$AA$16/Input!$AA$15)+SQRT((Input!$AA$16/Input!$AA$15)^2+1))*SQRT(1+(AJ61/(Input!$AA$15/2))^2)/((Input!$AA$16/Input!$AA$15)+SQRT((Input!$AA$16/Input!$AA$15)^2+(AJ61/(Input!$AA$15/2))^2+1))))/PI()</f>
        <v/>
      </c>
      <c r="BE61" s="68">
        <f>(AJ61/(Input!$AA$15/2))/(2*PI())*ATAN((Input!$AA$16/Input!$AA$15)/((AJ61/(Input!$AA$15/2))*SQRT((Input!$AA$16/Input!$AA$15)^2+(AJ61/(Input!$AA$15/2))^2+1)))</f>
        <v/>
      </c>
      <c r="BF61" s="68">
        <f>MAX(0,AJ61-MAX(AI61,$AA$22))/AK61*IF(BC61&gt;=Input!$AA$21*AQ61,1,0)</f>
        <v/>
      </c>
      <c r="BG61" s="68">
        <f>4*Input!$AA$14*(Input!$AA$15/2)*(1-AY61^2)/AX61*((BD61-BD60)+(1-2*AY61)/(1-AY61)*(BE61-BE60))*1000*BF61</f>
        <v/>
      </c>
      <c r="BH61" s="68">
        <f>IF(AM61="Sand",0,0.009*(AR61-10))</f>
        <v/>
      </c>
      <c r="BI61" s="68">
        <f>BH61*Input!$AA$36</f>
        <v/>
      </c>
      <c r="BJ61" s="68">
        <f>IF(AM61="Sand",0,MAX(AV61/Input!$AA$37,AQ61))</f>
        <v/>
      </c>
      <c r="BK61" s="68">
        <f>IF(AM61="Sand",0,1000*AK61/(1+AU61)*IF(AQ61+BC61&lt;=BJ61,BI61*LOG10((AQ61+BC61)/AQ61),BI61*LOG10(BJ61/AQ61)+BH61*LOG10((AQ61+BC61)/BJ61)))*BF61</f>
        <v/>
      </c>
      <c r="BL61" s="68">
        <f>IF(AM61="Sand",0,10^(INDEX(Input!$Q$48:$Q$54,MIN(MATCH(MIN(MAX(AR61,30),120),Input!$C$48:$C$54,1),6))+(MIN(MAX(AR61,30),120)-INDEX(Input!$C$48:$C$54,MIN(MATCH(MIN(MAX(AR61,30),120),Input!$C$48:$C$54,1),6)))/(INDEX(Input!$C$48:$C$54,MIN(MATCH(MIN(MAX(AR61,30),120),Input!$C$48:$C$54,1),6)+1)-INDEX(Input!$C$48:$C$54,MIN(MATCH(MIN(MAX(AR61,30),120),Input!$C$48:$C$54,1),6)))*(INDEX(Input!$Q$48:$Q$54,MIN(MATCH(MIN(MAX(AR61,30),120),Input!$C$48:$C$54,1),6)+1)-INDEX(Input!$Q$48:$Q$54,MIN(MATCH(MIN(MAX(AR61,30),120),Input!$C$48:$C$54,1),6)))))</f>
        <v/>
      </c>
      <c r="BM61" s="68">
        <f>IF(OR(AM61="Sand",BF61=0),0,Input!$AA$38*(AK61/2)^2/(BL61*1E-4*31536000))</f>
        <v/>
      </c>
      <c r="BN61" s="68">
        <f>MAX(0,MIN(AJ61,Input!$AA$20)-AI61)</f>
        <v/>
      </c>
      <c r="BO61" s="68">
        <f>MAX(0,MIN(AJ61,Input!$AA$20)-MAX(AI61,$AA$22))</f>
        <v/>
      </c>
      <c r="BP61" s="68">
        <f>MAX(0,MIN(AJ61,$AA$225)-AI61)</f>
        <v/>
      </c>
      <c r="BQ61" s="68" t="inlineStr"/>
    </row>
    <row r="62">
      <c r="B62" s="9" t="n"/>
      <c r="C62" s="57" t="n">
        <v>35</v>
      </c>
      <c r="D62" s="41" t="n"/>
      <c r="E62" s="55">
        <f>AI62</f>
        <v/>
      </c>
      <c r="F62" s="41" t="n"/>
      <c r="G62" s="41" t="n"/>
      <c r="H62" s="55">
        <f>AJ62</f>
        <v/>
      </c>
      <c r="I62" s="41" t="n"/>
      <c r="J62" s="41" t="n"/>
      <c r="K62" s="52">
        <f>AM62</f>
        <v/>
      </c>
      <c r="L62" s="41" t="n"/>
      <c r="M62" s="41" t="n"/>
      <c r="N62" s="57">
        <f>AN62</f>
        <v/>
      </c>
      <c r="O62" s="41" t="n"/>
      <c r="P62" s="41" t="n"/>
      <c r="Q62" s="53">
        <f>AO62</f>
        <v/>
      </c>
      <c r="R62" s="41" t="n"/>
      <c r="S62" s="41" t="n"/>
      <c r="T62" s="57">
        <f>IF(AR62="","-",AR62)</f>
        <v/>
      </c>
      <c r="U62" s="41" t="n"/>
      <c r="V62" s="57">
        <f>IF(AT62="","-",AT62)</f>
        <v/>
      </c>
      <c r="W62" s="41" t="n"/>
      <c r="X62" s="55">
        <f>AU62</f>
        <v/>
      </c>
      <c r="Y62" s="41" t="n"/>
      <c r="Z62" s="66">
        <f>AV62</f>
        <v/>
      </c>
      <c r="AA62" s="41" t="n"/>
      <c r="AB62" s="41" t="n"/>
      <c r="AC62" s="53">
        <f>AW62</f>
        <v/>
      </c>
      <c r="AD62" s="41" t="n"/>
      <c r="AE62" s="41" t="n"/>
      <c r="AF62" s="15" t="n"/>
      <c r="AI62" s="67" t="n">
        <v>51</v>
      </c>
      <c r="AJ62" s="67" t="n">
        <v>52.5</v>
      </c>
      <c r="AK62" s="68">
        <f>AJ62-AI62</f>
        <v/>
      </c>
      <c r="AL62" s="68">
        <f>(AI62+AJ62)/2</f>
        <v/>
      </c>
      <c r="AM62" s="67" t="inlineStr">
        <is>
          <t>Sand</t>
        </is>
      </c>
      <c r="AN62" s="67" t="n">
        <v>29</v>
      </c>
      <c r="AO62" s="68">
        <f>IF(AL62&gt;$AA$19,$AA$21,$AA$20)</f>
        <v/>
      </c>
      <c r="AP62" s="68">
        <f>AP61+AO62*AK62</f>
        <v/>
      </c>
      <c r="AQ62" s="68">
        <f>AP62-AO62*AK62/2-10*MAX(AL62-$AA$19,0)</f>
        <v/>
      </c>
      <c r="AR62" s="67" t="n"/>
      <c r="AS62" s="67" t="n"/>
      <c r="AT62" s="68">
        <f>IF(AR62="","",AR62-AS62)</f>
        <v/>
      </c>
      <c r="AU62" s="67" t="n">
        <v>0.65</v>
      </c>
      <c r="AV62" s="68">
        <f>IF(AM62="Sand",0,Input!$AA$31*AN62)</f>
        <v/>
      </c>
      <c r="AW62" s="68">
        <f>IF(AM62="Sand",27.1+0.3*MIN(Input!$AA$32*AN62,60)-0.00054*MIN(Input!$AA$32*AN62,60)^2,MIN(MAX(DEGREES(ASIN(0.8-0.094*LN(MAX(IF(AT62="",10,AT62),5)))),20),30))</f>
        <v/>
      </c>
      <c r="AX62" s="68">
        <f>IF(AM62="Sand",Input!$AA$33*Input!$AA$32*AN62,Input!$AA$34*AV62)</f>
        <v/>
      </c>
      <c r="AY62" s="68">
        <f>IF(AM62="Sand",Input!$AA$35,0.5)</f>
        <v/>
      </c>
      <c r="AZ62" s="68">
        <f>Input!$AA$15/2/AL62</f>
        <v/>
      </c>
      <c r="BA62" s="68">
        <f>Input!$AA$16/2/AL62</f>
        <v/>
      </c>
      <c r="BB62" s="68">
        <f>1/(4*PI())*(2*AZ62*BA62*SQRT(AZ62^2+BA62^2+1)/(AZ62^2+BA62^2+1+AZ62^2*BA62^2)*(AZ62^2+BA62^2+2)/(AZ62^2+BA62^2+1)+ATAN2(AZ62^2+BA62^2+1-AZ62^2*BA62^2,2*AZ62*BA62*SQRT(AZ62^2+BA62^2+1)))</f>
        <v/>
      </c>
      <c r="BC62" s="68">
        <f>4*Input!$AA$14*BB62</f>
        <v/>
      </c>
      <c r="BD62" s="68">
        <f>((Input!$AA$16/Input!$AA$15)*LN((1+SQRT((Input!$AA$16/Input!$AA$15)^2+1))*SQRT((Input!$AA$16/Input!$AA$15)^2+(AJ62/(Input!$AA$15/2))^2)/((Input!$AA$16/Input!$AA$15)*(1+SQRT((Input!$AA$16/Input!$AA$15)^2+(AJ62/(Input!$AA$15/2))^2+1))))+LN(((Input!$AA$16/Input!$AA$15)+SQRT((Input!$AA$16/Input!$AA$15)^2+1))*SQRT(1+(AJ62/(Input!$AA$15/2))^2)/((Input!$AA$16/Input!$AA$15)+SQRT((Input!$AA$16/Input!$AA$15)^2+(AJ62/(Input!$AA$15/2))^2+1))))/PI()</f>
        <v/>
      </c>
      <c r="BE62" s="68">
        <f>(AJ62/(Input!$AA$15/2))/(2*PI())*ATAN((Input!$AA$16/Input!$AA$15)/((AJ62/(Input!$AA$15/2))*SQRT((Input!$AA$16/Input!$AA$15)^2+(AJ62/(Input!$AA$15/2))^2+1)))</f>
        <v/>
      </c>
      <c r="BF62" s="68">
        <f>MAX(0,AJ62-MAX(AI62,$AA$22))/AK62*IF(BC62&gt;=Input!$AA$21*AQ62,1,0)</f>
        <v/>
      </c>
      <c r="BG62" s="68">
        <f>4*Input!$AA$14*(Input!$AA$15/2)*(1-AY62^2)/AX62*((BD62-BD61)+(1-2*AY62)/(1-AY62)*(BE62-BE61))*1000*BF62</f>
        <v/>
      </c>
      <c r="BH62" s="68">
        <f>IF(AM62="Sand",0,0.009*(AR62-10))</f>
        <v/>
      </c>
      <c r="BI62" s="68">
        <f>BH62*Input!$AA$36</f>
        <v/>
      </c>
      <c r="BJ62" s="68">
        <f>IF(AM62="Sand",0,MAX(AV62/Input!$AA$37,AQ62))</f>
        <v/>
      </c>
      <c r="BK62" s="68">
        <f>IF(AM62="Sand",0,1000*AK62/(1+AU62)*IF(AQ62+BC62&lt;=BJ62,BI62*LOG10((AQ62+BC62)/AQ62),BI62*LOG10(BJ62/AQ62)+BH62*LOG10((AQ62+BC62)/BJ62)))*BF62</f>
        <v/>
      </c>
      <c r="BL62" s="68">
        <f>IF(AM62="Sand",0,10^(INDEX(Input!$Q$48:$Q$54,MIN(MATCH(MIN(MAX(AR62,30),120),Input!$C$48:$C$54,1),6))+(MIN(MAX(AR62,30),120)-INDEX(Input!$C$48:$C$54,MIN(MATCH(MIN(MAX(AR62,30),120),Input!$C$48:$C$54,1),6)))/(INDEX(Input!$C$48:$C$54,MIN(MATCH(MIN(MAX(AR62,30),120),Input!$C$48:$C$54,1),6)+1)-INDEX(Input!$C$48:$C$54,MIN(MATCH(MIN(MAX(AR62,30),120),Input!$C$48:$C$54,1),6)))*(INDEX(Input!$Q$48:$Q$54,MIN(MATCH(MIN(MAX(AR62,30),120),Input!$C$48:$C$54,1),6)+1)-INDEX(Input!$Q$48:$Q$54,MIN(MATCH(MIN(MAX(AR62,30),120),Input!$C$48:$C$54,1),6)))))</f>
        <v/>
      </c>
      <c r="BM62" s="68">
        <f>IF(OR(AM62="Sand",BF62=0),0,Input!$AA$38*(AK62/2)^2/(BL62*1E-4*31536000))</f>
        <v/>
      </c>
      <c r="BN62" s="68">
        <f>MAX(0,MIN(AJ62,Input!$AA$20)-AI62)</f>
        <v/>
      </c>
      <c r="BO62" s="68">
        <f>MAX(0,MIN(AJ62,Input!$AA$20)-MAX(AI62,$AA$22))</f>
        <v/>
      </c>
      <c r="BP62" s="68">
        <f>MAX(0,MIN(AJ62,$AA$225)-AI62)</f>
        <v/>
      </c>
      <c r="BQ62" s="68" t="inlineStr"/>
    </row>
    <row r="63">
      <c r="B63" s="9" t="n"/>
      <c r="C63" s="57" t="n">
        <v>36</v>
      </c>
      <c r="D63" s="41" t="n"/>
      <c r="E63" s="55">
        <f>AI63</f>
        <v/>
      </c>
      <c r="F63" s="41" t="n"/>
      <c r="G63" s="41" t="n"/>
      <c r="H63" s="55">
        <f>AJ63</f>
        <v/>
      </c>
      <c r="I63" s="41" t="n"/>
      <c r="J63" s="41" t="n"/>
      <c r="K63" s="52">
        <f>AM63</f>
        <v/>
      </c>
      <c r="L63" s="41" t="n"/>
      <c r="M63" s="41" t="n"/>
      <c r="N63" s="57">
        <f>AN63</f>
        <v/>
      </c>
      <c r="O63" s="41" t="n"/>
      <c r="P63" s="41" t="n"/>
      <c r="Q63" s="53">
        <f>AO63</f>
        <v/>
      </c>
      <c r="R63" s="41" t="n"/>
      <c r="S63" s="41" t="n"/>
      <c r="T63" s="57">
        <f>IF(AR63="","-",AR63)</f>
        <v/>
      </c>
      <c r="U63" s="41" t="n"/>
      <c r="V63" s="57">
        <f>IF(AT63="","-",AT63)</f>
        <v/>
      </c>
      <c r="W63" s="41" t="n"/>
      <c r="X63" s="55">
        <f>AU63</f>
        <v/>
      </c>
      <c r="Y63" s="41" t="n"/>
      <c r="Z63" s="66">
        <f>AV63</f>
        <v/>
      </c>
      <c r="AA63" s="41" t="n"/>
      <c r="AB63" s="41" t="n"/>
      <c r="AC63" s="53">
        <f>AW63</f>
        <v/>
      </c>
      <c r="AD63" s="41" t="n"/>
      <c r="AE63" s="41" t="n"/>
      <c r="AF63" s="15" t="n"/>
      <c r="AI63" s="67" t="n">
        <v>52.5</v>
      </c>
      <c r="AJ63" s="67" t="n">
        <v>54</v>
      </c>
      <c r="AK63" s="68">
        <f>AJ63-AI63</f>
        <v/>
      </c>
      <c r="AL63" s="68">
        <f>(AI63+AJ63)/2</f>
        <v/>
      </c>
      <c r="AM63" s="67" t="inlineStr">
        <is>
          <t>Sand</t>
        </is>
      </c>
      <c r="AN63" s="67" t="n">
        <v>35</v>
      </c>
      <c r="AO63" s="68">
        <f>IF(AL63&gt;$AA$19,$AA$21,$AA$20)</f>
        <v/>
      </c>
      <c r="AP63" s="68">
        <f>AP62+AO63*AK63</f>
        <v/>
      </c>
      <c r="AQ63" s="68">
        <f>AP63-AO63*AK63/2-10*MAX(AL63-$AA$19,0)</f>
        <v/>
      </c>
      <c r="AR63" s="67" t="n"/>
      <c r="AS63" s="67" t="n"/>
      <c r="AT63" s="68">
        <f>IF(AR63="","",AR63-AS63)</f>
        <v/>
      </c>
      <c r="AU63" s="67" t="n">
        <v>0.65</v>
      </c>
      <c r="AV63" s="68">
        <f>IF(AM63="Sand",0,Input!$AA$31*AN63)</f>
        <v/>
      </c>
      <c r="AW63" s="68">
        <f>IF(AM63="Sand",27.1+0.3*MIN(Input!$AA$32*AN63,60)-0.00054*MIN(Input!$AA$32*AN63,60)^2,MIN(MAX(DEGREES(ASIN(0.8-0.094*LN(MAX(IF(AT63="",10,AT63),5)))),20),30))</f>
        <v/>
      </c>
      <c r="AX63" s="68">
        <f>IF(AM63="Sand",Input!$AA$33*Input!$AA$32*AN63,Input!$AA$34*AV63)</f>
        <v/>
      </c>
      <c r="AY63" s="68">
        <f>IF(AM63="Sand",Input!$AA$35,0.5)</f>
        <v/>
      </c>
      <c r="AZ63" s="68">
        <f>Input!$AA$15/2/AL63</f>
        <v/>
      </c>
      <c r="BA63" s="68">
        <f>Input!$AA$16/2/AL63</f>
        <v/>
      </c>
      <c r="BB63" s="68">
        <f>1/(4*PI())*(2*AZ63*BA63*SQRT(AZ63^2+BA63^2+1)/(AZ63^2+BA63^2+1+AZ63^2*BA63^2)*(AZ63^2+BA63^2+2)/(AZ63^2+BA63^2+1)+ATAN2(AZ63^2+BA63^2+1-AZ63^2*BA63^2,2*AZ63*BA63*SQRT(AZ63^2+BA63^2+1)))</f>
        <v/>
      </c>
      <c r="BC63" s="68">
        <f>4*Input!$AA$14*BB63</f>
        <v/>
      </c>
      <c r="BD63" s="68">
        <f>((Input!$AA$16/Input!$AA$15)*LN((1+SQRT((Input!$AA$16/Input!$AA$15)^2+1))*SQRT((Input!$AA$16/Input!$AA$15)^2+(AJ63/(Input!$AA$15/2))^2)/((Input!$AA$16/Input!$AA$15)*(1+SQRT((Input!$AA$16/Input!$AA$15)^2+(AJ63/(Input!$AA$15/2))^2+1))))+LN(((Input!$AA$16/Input!$AA$15)+SQRT((Input!$AA$16/Input!$AA$15)^2+1))*SQRT(1+(AJ63/(Input!$AA$15/2))^2)/((Input!$AA$16/Input!$AA$15)+SQRT((Input!$AA$16/Input!$AA$15)^2+(AJ63/(Input!$AA$15/2))^2+1))))/PI()</f>
        <v/>
      </c>
      <c r="BE63" s="68">
        <f>(AJ63/(Input!$AA$15/2))/(2*PI())*ATAN((Input!$AA$16/Input!$AA$15)/((AJ63/(Input!$AA$15/2))*SQRT((Input!$AA$16/Input!$AA$15)^2+(AJ63/(Input!$AA$15/2))^2+1)))</f>
        <v/>
      </c>
      <c r="BF63" s="68">
        <f>MAX(0,AJ63-MAX(AI63,$AA$22))/AK63*IF(BC63&gt;=Input!$AA$21*AQ63,1,0)</f>
        <v/>
      </c>
      <c r="BG63" s="68">
        <f>4*Input!$AA$14*(Input!$AA$15/2)*(1-AY63^2)/AX63*((BD63-BD62)+(1-2*AY63)/(1-AY63)*(BE63-BE62))*1000*BF63</f>
        <v/>
      </c>
      <c r="BH63" s="68">
        <f>IF(AM63="Sand",0,0.009*(AR63-10))</f>
        <v/>
      </c>
      <c r="BI63" s="68">
        <f>BH63*Input!$AA$36</f>
        <v/>
      </c>
      <c r="BJ63" s="68">
        <f>IF(AM63="Sand",0,MAX(AV63/Input!$AA$37,AQ63))</f>
        <v/>
      </c>
      <c r="BK63" s="68">
        <f>IF(AM63="Sand",0,1000*AK63/(1+AU63)*IF(AQ63+BC63&lt;=BJ63,BI63*LOG10((AQ63+BC63)/AQ63),BI63*LOG10(BJ63/AQ63)+BH63*LOG10((AQ63+BC63)/BJ63)))*BF63</f>
        <v/>
      </c>
      <c r="BL63" s="68">
        <f>IF(AM63="Sand",0,10^(INDEX(Input!$Q$48:$Q$54,MIN(MATCH(MIN(MAX(AR63,30),120),Input!$C$48:$C$54,1),6))+(MIN(MAX(AR63,30),120)-INDEX(Input!$C$48:$C$54,MIN(MATCH(MIN(MAX(AR63,30),120),Input!$C$48:$C$54,1),6)))/(INDEX(Input!$C$48:$C$54,MIN(MATCH(MIN(MAX(AR63,30),120),Input!$C$48:$C$54,1),6)+1)-INDEX(Input!$C$48:$C$54,MIN(MATCH(MIN(MAX(AR63,30),120),Input!$C$48:$C$54,1),6)))*(INDEX(Input!$Q$48:$Q$54,MIN(MATCH(MIN(MAX(AR63,30),120),Input!$C$48:$C$54,1),6)+1)-INDEX(Input!$Q$48:$Q$54,MIN(MATCH(MIN(MAX(AR63,30),120),Input!$C$48:$C$54,1),6)))))</f>
        <v/>
      </c>
      <c r="BM63" s="68">
        <f>IF(OR(AM63="Sand",BF63=0),0,Input!$AA$38*(AK63/2)^2/(BL63*1E-4*31536000))</f>
        <v/>
      </c>
      <c r="BN63" s="68">
        <f>MAX(0,MIN(AJ63,Input!$AA$20)-AI63)</f>
        <v/>
      </c>
      <c r="BO63" s="68">
        <f>MAX(0,MIN(AJ63,Input!$AA$20)-MAX(AI63,$AA$22))</f>
        <v/>
      </c>
      <c r="BP63" s="68">
        <f>MAX(0,MIN(AJ63,$AA$225)-AI63)</f>
        <v/>
      </c>
      <c r="BQ63" s="68" t="inlineStr"/>
    </row>
    <row r="64">
      <c r="B64" s="9" t="n"/>
      <c r="C64" s="57" t="n">
        <v>37</v>
      </c>
      <c r="D64" s="41" t="n"/>
      <c r="E64" s="55">
        <f>AI64</f>
        <v/>
      </c>
      <c r="F64" s="41" t="n"/>
      <c r="G64" s="41" t="n"/>
      <c r="H64" s="55">
        <f>AJ64</f>
        <v/>
      </c>
      <c r="I64" s="41" t="n"/>
      <c r="J64" s="41" t="n"/>
      <c r="K64" s="52">
        <f>AM64</f>
        <v/>
      </c>
      <c r="L64" s="41" t="n"/>
      <c r="M64" s="41" t="n"/>
      <c r="N64" s="57">
        <f>AN64</f>
        <v/>
      </c>
      <c r="O64" s="41" t="n"/>
      <c r="P64" s="41" t="n"/>
      <c r="Q64" s="53">
        <f>AO64</f>
        <v/>
      </c>
      <c r="R64" s="41" t="n"/>
      <c r="S64" s="41" t="n"/>
      <c r="T64" s="57">
        <f>IF(AR64="","-",AR64)</f>
        <v/>
      </c>
      <c r="U64" s="41" t="n"/>
      <c r="V64" s="57">
        <f>IF(AT64="","-",AT64)</f>
        <v/>
      </c>
      <c r="W64" s="41" t="n"/>
      <c r="X64" s="55">
        <f>AU64</f>
        <v/>
      </c>
      <c r="Y64" s="41" t="n"/>
      <c r="Z64" s="66">
        <f>AV64</f>
        <v/>
      </c>
      <c r="AA64" s="41" t="n"/>
      <c r="AB64" s="41" t="n"/>
      <c r="AC64" s="53">
        <f>AW64</f>
        <v/>
      </c>
      <c r="AD64" s="41" t="n"/>
      <c r="AE64" s="41" t="n"/>
      <c r="AF64" s="15" t="n"/>
      <c r="AI64" s="67" t="n">
        <v>54</v>
      </c>
      <c r="AJ64" s="67" t="n">
        <v>55.5</v>
      </c>
      <c r="AK64" s="68">
        <f>AJ64-AI64</f>
        <v/>
      </c>
      <c r="AL64" s="68">
        <f>(AI64+AJ64)/2</f>
        <v/>
      </c>
      <c r="AM64" s="67" t="inlineStr">
        <is>
          <t>Sand</t>
        </is>
      </c>
      <c r="AN64" s="67" t="n">
        <v>50</v>
      </c>
      <c r="AO64" s="68">
        <f>IF(AL64&gt;$AA$19,$AA$21,$AA$20)</f>
        <v/>
      </c>
      <c r="AP64" s="68">
        <f>AP63+AO64*AK64</f>
        <v/>
      </c>
      <c r="AQ64" s="68">
        <f>AP64-AO64*AK64/2-10*MAX(AL64-$AA$19,0)</f>
        <v/>
      </c>
      <c r="AR64" s="67" t="n"/>
      <c r="AS64" s="67" t="n"/>
      <c r="AT64" s="68">
        <f>IF(AR64="","",AR64-AS64)</f>
        <v/>
      </c>
      <c r="AU64" s="67" t="n">
        <v>0.65</v>
      </c>
      <c r="AV64" s="68">
        <f>IF(AM64="Sand",0,Input!$AA$31*AN64)</f>
        <v/>
      </c>
      <c r="AW64" s="68">
        <f>IF(AM64="Sand",27.1+0.3*MIN(Input!$AA$32*AN64,60)-0.00054*MIN(Input!$AA$32*AN64,60)^2,MIN(MAX(DEGREES(ASIN(0.8-0.094*LN(MAX(IF(AT64="",10,AT64),5)))),20),30))</f>
        <v/>
      </c>
      <c r="AX64" s="68">
        <f>IF(AM64="Sand",Input!$AA$33*Input!$AA$32*AN64,Input!$AA$34*AV64)</f>
        <v/>
      </c>
      <c r="AY64" s="68">
        <f>IF(AM64="Sand",Input!$AA$35,0.5)</f>
        <v/>
      </c>
      <c r="AZ64" s="68">
        <f>Input!$AA$15/2/AL64</f>
        <v/>
      </c>
      <c r="BA64" s="68">
        <f>Input!$AA$16/2/AL64</f>
        <v/>
      </c>
      <c r="BB64" s="68">
        <f>1/(4*PI())*(2*AZ64*BA64*SQRT(AZ64^2+BA64^2+1)/(AZ64^2+BA64^2+1+AZ64^2*BA64^2)*(AZ64^2+BA64^2+2)/(AZ64^2+BA64^2+1)+ATAN2(AZ64^2+BA64^2+1-AZ64^2*BA64^2,2*AZ64*BA64*SQRT(AZ64^2+BA64^2+1)))</f>
        <v/>
      </c>
      <c r="BC64" s="68">
        <f>4*Input!$AA$14*BB64</f>
        <v/>
      </c>
      <c r="BD64" s="68">
        <f>((Input!$AA$16/Input!$AA$15)*LN((1+SQRT((Input!$AA$16/Input!$AA$15)^2+1))*SQRT((Input!$AA$16/Input!$AA$15)^2+(AJ64/(Input!$AA$15/2))^2)/((Input!$AA$16/Input!$AA$15)*(1+SQRT((Input!$AA$16/Input!$AA$15)^2+(AJ64/(Input!$AA$15/2))^2+1))))+LN(((Input!$AA$16/Input!$AA$15)+SQRT((Input!$AA$16/Input!$AA$15)^2+1))*SQRT(1+(AJ64/(Input!$AA$15/2))^2)/((Input!$AA$16/Input!$AA$15)+SQRT((Input!$AA$16/Input!$AA$15)^2+(AJ64/(Input!$AA$15/2))^2+1))))/PI()</f>
        <v/>
      </c>
      <c r="BE64" s="68">
        <f>(AJ64/(Input!$AA$15/2))/(2*PI())*ATAN((Input!$AA$16/Input!$AA$15)/((AJ64/(Input!$AA$15/2))*SQRT((Input!$AA$16/Input!$AA$15)^2+(AJ64/(Input!$AA$15/2))^2+1)))</f>
        <v/>
      </c>
      <c r="BF64" s="68">
        <f>MAX(0,AJ64-MAX(AI64,$AA$22))/AK64*IF(BC64&gt;=Input!$AA$21*AQ64,1,0)</f>
        <v/>
      </c>
      <c r="BG64" s="68">
        <f>4*Input!$AA$14*(Input!$AA$15/2)*(1-AY64^2)/AX64*((BD64-BD63)+(1-2*AY64)/(1-AY64)*(BE64-BE63))*1000*BF64</f>
        <v/>
      </c>
      <c r="BH64" s="68">
        <f>IF(AM64="Sand",0,0.009*(AR64-10))</f>
        <v/>
      </c>
      <c r="BI64" s="68">
        <f>BH64*Input!$AA$36</f>
        <v/>
      </c>
      <c r="BJ64" s="68">
        <f>IF(AM64="Sand",0,MAX(AV64/Input!$AA$37,AQ64))</f>
        <v/>
      </c>
      <c r="BK64" s="68">
        <f>IF(AM64="Sand",0,1000*AK64/(1+AU64)*IF(AQ64+BC64&lt;=BJ64,BI64*LOG10((AQ64+BC64)/AQ64),BI64*LOG10(BJ64/AQ64)+BH64*LOG10((AQ64+BC64)/BJ64)))*BF64</f>
        <v/>
      </c>
      <c r="BL64" s="68">
        <f>IF(AM64="Sand",0,10^(INDEX(Input!$Q$48:$Q$54,MIN(MATCH(MIN(MAX(AR64,30),120),Input!$C$48:$C$54,1),6))+(MIN(MAX(AR64,30),120)-INDEX(Input!$C$48:$C$54,MIN(MATCH(MIN(MAX(AR64,30),120),Input!$C$48:$C$54,1),6)))/(INDEX(Input!$C$48:$C$54,MIN(MATCH(MIN(MAX(AR64,30),120),Input!$C$48:$C$54,1),6)+1)-INDEX(Input!$C$48:$C$54,MIN(MATCH(MIN(MAX(AR64,30),120),Input!$C$48:$C$54,1),6)))*(INDEX(Input!$Q$48:$Q$54,MIN(MATCH(MIN(MAX(AR64,30),120),Input!$C$48:$C$54,1),6)+1)-INDEX(Input!$Q$48:$Q$54,MIN(MATCH(MIN(MAX(AR64,30),120),Input!$C$48:$C$54,1),6)))))</f>
        <v/>
      </c>
      <c r="BM64" s="68">
        <f>IF(OR(AM64="Sand",BF64=0),0,Input!$AA$38*(AK64/2)^2/(BL64*1E-4*31536000))</f>
        <v/>
      </c>
      <c r="BN64" s="68">
        <f>MAX(0,MIN(AJ64,Input!$AA$20)-AI64)</f>
        <v/>
      </c>
      <c r="BO64" s="68">
        <f>MAX(0,MIN(AJ64,Input!$AA$20)-MAX(AI64,$AA$22))</f>
        <v/>
      </c>
      <c r="BP64" s="68">
        <f>MAX(0,MIN(AJ64,$AA$225)-AI64)</f>
        <v/>
      </c>
      <c r="BQ64" s="68" t="inlineStr"/>
    </row>
    <row r="65">
      <c r="B65" s="9" t="n"/>
      <c r="C65" s="57" t="n">
        <v>38</v>
      </c>
      <c r="D65" s="41" t="n"/>
      <c r="E65" s="55">
        <f>AI65</f>
        <v/>
      </c>
      <c r="F65" s="41" t="n"/>
      <c r="G65" s="41" t="n"/>
      <c r="H65" s="55">
        <f>AJ65</f>
        <v/>
      </c>
      <c r="I65" s="41" t="n"/>
      <c r="J65" s="41" t="n"/>
      <c r="K65" s="52">
        <f>AM65</f>
        <v/>
      </c>
      <c r="L65" s="41" t="n"/>
      <c r="M65" s="41" t="n"/>
      <c r="N65" s="57">
        <f>AN65</f>
        <v/>
      </c>
      <c r="O65" s="41" t="n"/>
      <c r="P65" s="41" t="n"/>
      <c r="Q65" s="53">
        <f>AO65</f>
        <v/>
      </c>
      <c r="R65" s="41" t="n"/>
      <c r="S65" s="41" t="n"/>
      <c r="T65" s="57">
        <f>IF(AR65="","-",AR65)</f>
        <v/>
      </c>
      <c r="U65" s="41" t="n"/>
      <c r="V65" s="57">
        <f>IF(AT65="","-",AT65)</f>
        <v/>
      </c>
      <c r="W65" s="41" t="n"/>
      <c r="X65" s="55">
        <f>AU65</f>
        <v/>
      </c>
      <c r="Y65" s="41" t="n"/>
      <c r="Z65" s="66">
        <f>AV65</f>
        <v/>
      </c>
      <c r="AA65" s="41" t="n"/>
      <c r="AB65" s="41" t="n"/>
      <c r="AC65" s="53">
        <f>AW65</f>
        <v/>
      </c>
      <c r="AD65" s="41" t="n"/>
      <c r="AE65" s="41" t="n"/>
      <c r="AF65" s="15" t="n"/>
      <c r="AI65" s="67" t="n">
        <v>55.5</v>
      </c>
      <c r="AJ65" s="67" t="n">
        <v>57</v>
      </c>
      <c r="AK65" s="68">
        <f>AJ65-AI65</f>
        <v/>
      </c>
      <c r="AL65" s="68">
        <f>(AI65+AJ65)/2</f>
        <v/>
      </c>
      <c r="AM65" s="67" t="inlineStr">
        <is>
          <t>Sand</t>
        </is>
      </c>
      <c r="AN65" s="67" t="n">
        <v>50</v>
      </c>
      <c r="AO65" s="68">
        <f>IF(AL65&gt;$AA$19,$AA$21,$AA$20)</f>
        <v/>
      </c>
      <c r="AP65" s="68">
        <f>AP64+AO65*AK65</f>
        <v/>
      </c>
      <c r="AQ65" s="68">
        <f>AP65-AO65*AK65/2-10*MAX(AL65-$AA$19,0)</f>
        <v/>
      </c>
      <c r="AR65" s="67" t="n"/>
      <c r="AS65" s="67" t="n"/>
      <c r="AT65" s="68">
        <f>IF(AR65="","",AR65-AS65)</f>
        <v/>
      </c>
      <c r="AU65" s="67" t="n">
        <v>0.65</v>
      </c>
      <c r="AV65" s="68">
        <f>IF(AM65="Sand",0,Input!$AA$31*AN65)</f>
        <v/>
      </c>
      <c r="AW65" s="68">
        <f>IF(AM65="Sand",27.1+0.3*MIN(Input!$AA$32*AN65,60)-0.00054*MIN(Input!$AA$32*AN65,60)^2,MIN(MAX(DEGREES(ASIN(0.8-0.094*LN(MAX(IF(AT65="",10,AT65),5)))),20),30))</f>
        <v/>
      </c>
      <c r="AX65" s="68">
        <f>IF(AM65="Sand",Input!$AA$33*Input!$AA$32*AN65,Input!$AA$34*AV65)</f>
        <v/>
      </c>
      <c r="AY65" s="68">
        <f>IF(AM65="Sand",Input!$AA$35,0.5)</f>
        <v/>
      </c>
      <c r="AZ65" s="68">
        <f>Input!$AA$15/2/AL65</f>
        <v/>
      </c>
      <c r="BA65" s="68">
        <f>Input!$AA$16/2/AL65</f>
        <v/>
      </c>
      <c r="BB65" s="68">
        <f>1/(4*PI())*(2*AZ65*BA65*SQRT(AZ65^2+BA65^2+1)/(AZ65^2+BA65^2+1+AZ65^2*BA65^2)*(AZ65^2+BA65^2+2)/(AZ65^2+BA65^2+1)+ATAN2(AZ65^2+BA65^2+1-AZ65^2*BA65^2,2*AZ65*BA65*SQRT(AZ65^2+BA65^2+1)))</f>
        <v/>
      </c>
      <c r="BC65" s="68">
        <f>4*Input!$AA$14*BB65</f>
        <v/>
      </c>
      <c r="BD65" s="68">
        <f>((Input!$AA$16/Input!$AA$15)*LN((1+SQRT((Input!$AA$16/Input!$AA$15)^2+1))*SQRT((Input!$AA$16/Input!$AA$15)^2+(AJ65/(Input!$AA$15/2))^2)/((Input!$AA$16/Input!$AA$15)*(1+SQRT((Input!$AA$16/Input!$AA$15)^2+(AJ65/(Input!$AA$15/2))^2+1))))+LN(((Input!$AA$16/Input!$AA$15)+SQRT((Input!$AA$16/Input!$AA$15)^2+1))*SQRT(1+(AJ65/(Input!$AA$15/2))^2)/((Input!$AA$16/Input!$AA$15)+SQRT((Input!$AA$16/Input!$AA$15)^2+(AJ65/(Input!$AA$15/2))^2+1))))/PI()</f>
        <v/>
      </c>
      <c r="BE65" s="68">
        <f>(AJ65/(Input!$AA$15/2))/(2*PI())*ATAN((Input!$AA$16/Input!$AA$15)/((AJ65/(Input!$AA$15/2))*SQRT((Input!$AA$16/Input!$AA$15)^2+(AJ65/(Input!$AA$15/2))^2+1)))</f>
        <v/>
      </c>
      <c r="BF65" s="68">
        <f>MAX(0,AJ65-MAX(AI65,$AA$22))/AK65*IF(BC65&gt;=Input!$AA$21*AQ65,1,0)</f>
        <v/>
      </c>
      <c r="BG65" s="68">
        <f>4*Input!$AA$14*(Input!$AA$15/2)*(1-AY65^2)/AX65*((BD65-BD64)+(1-2*AY65)/(1-AY65)*(BE65-BE64))*1000*BF65</f>
        <v/>
      </c>
      <c r="BH65" s="68">
        <f>IF(AM65="Sand",0,0.009*(AR65-10))</f>
        <v/>
      </c>
      <c r="BI65" s="68">
        <f>BH65*Input!$AA$36</f>
        <v/>
      </c>
      <c r="BJ65" s="68">
        <f>IF(AM65="Sand",0,MAX(AV65/Input!$AA$37,AQ65))</f>
        <v/>
      </c>
      <c r="BK65" s="68">
        <f>IF(AM65="Sand",0,1000*AK65/(1+AU65)*IF(AQ65+BC65&lt;=BJ65,BI65*LOG10((AQ65+BC65)/AQ65),BI65*LOG10(BJ65/AQ65)+BH65*LOG10((AQ65+BC65)/BJ65)))*BF65</f>
        <v/>
      </c>
      <c r="BL65" s="68">
        <f>IF(AM65="Sand",0,10^(INDEX(Input!$Q$48:$Q$54,MIN(MATCH(MIN(MAX(AR65,30),120),Input!$C$48:$C$54,1),6))+(MIN(MAX(AR65,30),120)-INDEX(Input!$C$48:$C$54,MIN(MATCH(MIN(MAX(AR65,30),120),Input!$C$48:$C$54,1),6)))/(INDEX(Input!$C$48:$C$54,MIN(MATCH(MIN(MAX(AR65,30),120),Input!$C$48:$C$54,1),6)+1)-INDEX(Input!$C$48:$C$54,MIN(MATCH(MIN(MAX(AR65,30),120),Input!$C$48:$C$54,1),6)))*(INDEX(Input!$Q$48:$Q$54,MIN(MATCH(MIN(MAX(AR65,30),120),Input!$C$48:$C$54,1),6)+1)-INDEX(Input!$Q$48:$Q$54,MIN(MATCH(MIN(MAX(AR65,30),120),Input!$C$48:$C$54,1),6)))))</f>
        <v/>
      </c>
      <c r="BM65" s="68">
        <f>IF(OR(AM65="Sand",BF65=0),0,Input!$AA$38*(AK65/2)^2/(BL65*1E-4*31536000))</f>
        <v/>
      </c>
      <c r="BN65" s="68">
        <f>MAX(0,MIN(AJ65,Input!$AA$20)-AI65)</f>
        <v/>
      </c>
      <c r="BO65" s="68">
        <f>MAX(0,MIN(AJ65,Input!$AA$20)-MAX(AI65,$AA$22))</f>
        <v/>
      </c>
      <c r="BP65" s="68">
        <f>MAX(0,MIN(AJ65,$AA$225)-AI65)</f>
        <v/>
      </c>
      <c r="BQ65" s="68" t="inlineStr"/>
    </row>
    <row r="66">
      <c r="B66" s="9" t="n"/>
      <c r="C66" s="57" t="n">
        <v>39</v>
      </c>
      <c r="D66" s="41" t="n"/>
      <c r="E66" s="55">
        <f>AI66</f>
        <v/>
      </c>
      <c r="F66" s="41" t="n"/>
      <c r="G66" s="41" t="n"/>
      <c r="H66" s="55">
        <f>AJ66</f>
        <v/>
      </c>
      <c r="I66" s="41" t="n"/>
      <c r="J66" s="41" t="n"/>
      <c r="K66" s="52">
        <f>AM66</f>
        <v/>
      </c>
      <c r="L66" s="41" t="n"/>
      <c r="M66" s="41" t="n"/>
      <c r="N66" s="57">
        <f>AN66</f>
        <v/>
      </c>
      <c r="O66" s="41" t="n"/>
      <c r="P66" s="41" t="n"/>
      <c r="Q66" s="53">
        <f>AO66</f>
        <v/>
      </c>
      <c r="R66" s="41" t="n"/>
      <c r="S66" s="41" t="n"/>
      <c r="T66" s="57">
        <f>IF(AR66="","-",AR66)</f>
        <v/>
      </c>
      <c r="U66" s="41" t="n"/>
      <c r="V66" s="57">
        <f>IF(AT66="","-",AT66)</f>
        <v/>
      </c>
      <c r="W66" s="41" t="n"/>
      <c r="X66" s="55">
        <f>AU66</f>
        <v/>
      </c>
      <c r="Y66" s="41" t="n"/>
      <c r="Z66" s="66">
        <f>AV66</f>
        <v/>
      </c>
      <c r="AA66" s="41" t="n"/>
      <c r="AB66" s="41" t="n"/>
      <c r="AC66" s="53">
        <f>AW66</f>
        <v/>
      </c>
      <c r="AD66" s="41" t="n"/>
      <c r="AE66" s="41" t="n"/>
      <c r="AF66" s="15" t="n"/>
      <c r="AI66" s="67" t="n">
        <v>57</v>
      </c>
      <c r="AJ66" s="67" t="n">
        <v>58.5</v>
      </c>
      <c r="AK66" s="68">
        <f>AJ66-AI66</f>
        <v/>
      </c>
      <c r="AL66" s="68">
        <f>(AI66+AJ66)/2</f>
        <v/>
      </c>
      <c r="AM66" s="67" t="inlineStr">
        <is>
          <t>Sand</t>
        </is>
      </c>
      <c r="AN66" s="67" t="n">
        <v>50</v>
      </c>
      <c r="AO66" s="68">
        <f>IF(AL66&gt;$AA$19,$AA$21,$AA$20)</f>
        <v/>
      </c>
      <c r="AP66" s="68">
        <f>AP65+AO66*AK66</f>
        <v/>
      </c>
      <c r="AQ66" s="68">
        <f>AP66-AO66*AK66/2-10*MAX(AL66-$AA$19,0)</f>
        <v/>
      </c>
      <c r="AR66" s="67" t="n"/>
      <c r="AS66" s="67" t="n"/>
      <c r="AT66" s="68">
        <f>IF(AR66="","",AR66-AS66)</f>
        <v/>
      </c>
      <c r="AU66" s="67" t="n">
        <v>0.65</v>
      </c>
      <c r="AV66" s="68">
        <f>IF(AM66="Sand",0,Input!$AA$31*AN66)</f>
        <v/>
      </c>
      <c r="AW66" s="68">
        <f>IF(AM66="Sand",27.1+0.3*MIN(Input!$AA$32*AN66,60)-0.00054*MIN(Input!$AA$32*AN66,60)^2,MIN(MAX(DEGREES(ASIN(0.8-0.094*LN(MAX(IF(AT66="",10,AT66),5)))),20),30))</f>
        <v/>
      </c>
      <c r="AX66" s="68">
        <f>IF(AM66="Sand",Input!$AA$33*Input!$AA$32*AN66,Input!$AA$34*AV66)</f>
        <v/>
      </c>
      <c r="AY66" s="68">
        <f>IF(AM66="Sand",Input!$AA$35,0.5)</f>
        <v/>
      </c>
      <c r="AZ66" s="68">
        <f>Input!$AA$15/2/AL66</f>
        <v/>
      </c>
      <c r="BA66" s="68">
        <f>Input!$AA$16/2/AL66</f>
        <v/>
      </c>
      <c r="BB66" s="68">
        <f>1/(4*PI())*(2*AZ66*BA66*SQRT(AZ66^2+BA66^2+1)/(AZ66^2+BA66^2+1+AZ66^2*BA66^2)*(AZ66^2+BA66^2+2)/(AZ66^2+BA66^2+1)+ATAN2(AZ66^2+BA66^2+1-AZ66^2*BA66^2,2*AZ66*BA66*SQRT(AZ66^2+BA66^2+1)))</f>
        <v/>
      </c>
      <c r="BC66" s="68">
        <f>4*Input!$AA$14*BB66</f>
        <v/>
      </c>
      <c r="BD66" s="68">
        <f>((Input!$AA$16/Input!$AA$15)*LN((1+SQRT((Input!$AA$16/Input!$AA$15)^2+1))*SQRT((Input!$AA$16/Input!$AA$15)^2+(AJ66/(Input!$AA$15/2))^2)/((Input!$AA$16/Input!$AA$15)*(1+SQRT((Input!$AA$16/Input!$AA$15)^2+(AJ66/(Input!$AA$15/2))^2+1))))+LN(((Input!$AA$16/Input!$AA$15)+SQRT((Input!$AA$16/Input!$AA$15)^2+1))*SQRT(1+(AJ66/(Input!$AA$15/2))^2)/((Input!$AA$16/Input!$AA$15)+SQRT((Input!$AA$16/Input!$AA$15)^2+(AJ66/(Input!$AA$15/2))^2+1))))/PI()</f>
        <v/>
      </c>
      <c r="BE66" s="68">
        <f>(AJ66/(Input!$AA$15/2))/(2*PI())*ATAN((Input!$AA$16/Input!$AA$15)/((AJ66/(Input!$AA$15/2))*SQRT((Input!$AA$16/Input!$AA$15)^2+(AJ66/(Input!$AA$15/2))^2+1)))</f>
        <v/>
      </c>
      <c r="BF66" s="68">
        <f>MAX(0,AJ66-MAX(AI66,$AA$22))/AK66*IF(BC66&gt;=Input!$AA$21*AQ66,1,0)</f>
        <v/>
      </c>
      <c r="BG66" s="68">
        <f>4*Input!$AA$14*(Input!$AA$15/2)*(1-AY66^2)/AX66*((BD66-BD65)+(1-2*AY66)/(1-AY66)*(BE66-BE65))*1000*BF66</f>
        <v/>
      </c>
      <c r="BH66" s="68">
        <f>IF(AM66="Sand",0,0.009*(AR66-10))</f>
        <v/>
      </c>
      <c r="BI66" s="68">
        <f>BH66*Input!$AA$36</f>
        <v/>
      </c>
      <c r="BJ66" s="68">
        <f>IF(AM66="Sand",0,MAX(AV66/Input!$AA$37,AQ66))</f>
        <v/>
      </c>
      <c r="BK66" s="68">
        <f>IF(AM66="Sand",0,1000*AK66/(1+AU66)*IF(AQ66+BC66&lt;=BJ66,BI66*LOG10((AQ66+BC66)/AQ66),BI66*LOG10(BJ66/AQ66)+BH66*LOG10((AQ66+BC66)/BJ66)))*BF66</f>
        <v/>
      </c>
      <c r="BL66" s="68">
        <f>IF(AM66="Sand",0,10^(INDEX(Input!$Q$48:$Q$54,MIN(MATCH(MIN(MAX(AR66,30),120),Input!$C$48:$C$54,1),6))+(MIN(MAX(AR66,30),120)-INDEX(Input!$C$48:$C$54,MIN(MATCH(MIN(MAX(AR66,30),120),Input!$C$48:$C$54,1),6)))/(INDEX(Input!$C$48:$C$54,MIN(MATCH(MIN(MAX(AR66,30),120),Input!$C$48:$C$54,1),6)+1)-INDEX(Input!$C$48:$C$54,MIN(MATCH(MIN(MAX(AR66,30),120),Input!$C$48:$C$54,1),6)))*(INDEX(Input!$Q$48:$Q$54,MIN(MATCH(MIN(MAX(AR66,30),120),Input!$C$48:$C$54,1),6)+1)-INDEX(Input!$Q$48:$Q$54,MIN(MATCH(MIN(MAX(AR66,30),120),Input!$C$48:$C$54,1),6)))))</f>
        <v/>
      </c>
      <c r="BM66" s="68">
        <f>IF(OR(AM66="Sand",BF66=0),0,Input!$AA$38*(AK66/2)^2/(BL66*1E-4*31536000))</f>
        <v/>
      </c>
      <c r="BN66" s="68">
        <f>MAX(0,MIN(AJ66,Input!$AA$20)-AI66)</f>
        <v/>
      </c>
      <c r="BO66" s="68">
        <f>MAX(0,MIN(AJ66,Input!$AA$20)-MAX(AI66,$AA$22))</f>
        <v/>
      </c>
      <c r="BP66" s="68">
        <f>MAX(0,MIN(AJ66,$AA$225)-AI66)</f>
        <v/>
      </c>
      <c r="BQ66" s="68" t="inlineStr"/>
    </row>
    <row r="67">
      <c r="B67" s="9" t="n"/>
      <c r="C67" s="57" t="n">
        <v>40</v>
      </c>
      <c r="D67" s="41" t="n"/>
      <c r="E67" s="55">
        <f>AI67</f>
        <v/>
      </c>
      <c r="F67" s="41" t="n"/>
      <c r="G67" s="41" t="n"/>
      <c r="H67" s="55">
        <f>AJ67</f>
        <v/>
      </c>
      <c r="I67" s="41" t="n"/>
      <c r="J67" s="41" t="n"/>
      <c r="K67" s="52">
        <f>AM67</f>
        <v/>
      </c>
      <c r="L67" s="41" t="n"/>
      <c r="M67" s="41" t="n"/>
      <c r="N67" s="57">
        <f>AN67</f>
        <v/>
      </c>
      <c r="O67" s="41" t="n"/>
      <c r="P67" s="41" t="n"/>
      <c r="Q67" s="53">
        <f>AO67</f>
        <v/>
      </c>
      <c r="R67" s="41" t="n"/>
      <c r="S67" s="41" t="n"/>
      <c r="T67" s="57">
        <f>IF(AR67="","-",AR67)</f>
        <v/>
      </c>
      <c r="U67" s="41" t="n"/>
      <c r="V67" s="57">
        <f>IF(AT67="","-",AT67)</f>
        <v/>
      </c>
      <c r="W67" s="41" t="n"/>
      <c r="X67" s="55">
        <f>AU67</f>
        <v/>
      </c>
      <c r="Y67" s="41" t="n"/>
      <c r="Z67" s="66">
        <f>AV67</f>
        <v/>
      </c>
      <c r="AA67" s="41" t="n"/>
      <c r="AB67" s="41" t="n"/>
      <c r="AC67" s="53">
        <f>AW67</f>
        <v/>
      </c>
      <c r="AD67" s="41" t="n"/>
      <c r="AE67" s="41" t="n"/>
      <c r="AF67" s="15" t="n"/>
      <c r="AI67" s="67" t="n">
        <v>58.5</v>
      </c>
      <c r="AJ67" s="67" t="n">
        <v>59.5</v>
      </c>
      <c r="AK67" s="68">
        <f>AJ67-AI67</f>
        <v/>
      </c>
      <c r="AL67" s="68">
        <f>(AI67+AJ67)/2</f>
        <v/>
      </c>
      <c r="AM67" s="67" t="inlineStr">
        <is>
          <t>Sand</t>
        </is>
      </c>
      <c r="AN67" s="67" t="n">
        <v>29</v>
      </c>
      <c r="AO67" s="68">
        <f>IF(AL67&gt;$AA$19,$AA$21,$AA$20)</f>
        <v/>
      </c>
      <c r="AP67" s="68">
        <f>AP66+AO67*AK67</f>
        <v/>
      </c>
      <c r="AQ67" s="68">
        <f>AP67-AO67*AK67/2-10*MAX(AL67-$AA$19,0)</f>
        <v/>
      </c>
      <c r="AR67" s="67" t="n"/>
      <c r="AS67" s="67" t="n"/>
      <c r="AT67" s="68">
        <f>IF(AR67="","",AR67-AS67)</f>
        <v/>
      </c>
      <c r="AU67" s="67" t="n">
        <v>0.65</v>
      </c>
      <c r="AV67" s="68">
        <f>IF(AM67="Sand",0,Input!$AA$31*AN67)</f>
        <v/>
      </c>
      <c r="AW67" s="68">
        <f>IF(AM67="Sand",27.1+0.3*MIN(Input!$AA$32*AN67,60)-0.00054*MIN(Input!$AA$32*AN67,60)^2,MIN(MAX(DEGREES(ASIN(0.8-0.094*LN(MAX(IF(AT67="",10,AT67),5)))),20),30))</f>
        <v/>
      </c>
      <c r="AX67" s="68">
        <f>IF(AM67="Sand",Input!$AA$33*Input!$AA$32*AN67,Input!$AA$34*AV67)</f>
        <v/>
      </c>
      <c r="AY67" s="68">
        <f>IF(AM67="Sand",Input!$AA$35,0.5)</f>
        <v/>
      </c>
      <c r="AZ67" s="68">
        <f>Input!$AA$15/2/AL67</f>
        <v/>
      </c>
      <c r="BA67" s="68">
        <f>Input!$AA$16/2/AL67</f>
        <v/>
      </c>
      <c r="BB67" s="68">
        <f>1/(4*PI())*(2*AZ67*BA67*SQRT(AZ67^2+BA67^2+1)/(AZ67^2+BA67^2+1+AZ67^2*BA67^2)*(AZ67^2+BA67^2+2)/(AZ67^2+BA67^2+1)+ATAN2(AZ67^2+BA67^2+1-AZ67^2*BA67^2,2*AZ67*BA67*SQRT(AZ67^2+BA67^2+1)))</f>
        <v/>
      </c>
      <c r="BC67" s="68">
        <f>4*Input!$AA$14*BB67</f>
        <v/>
      </c>
      <c r="BD67" s="68">
        <f>((Input!$AA$16/Input!$AA$15)*LN((1+SQRT((Input!$AA$16/Input!$AA$15)^2+1))*SQRT((Input!$AA$16/Input!$AA$15)^2+(AJ67/(Input!$AA$15/2))^2)/((Input!$AA$16/Input!$AA$15)*(1+SQRT((Input!$AA$16/Input!$AA$15)^2+(AJ67/(Input!$AA$15/2))^2+1))))+LN(((Input!$AA$16/Input!$AA$15)+SQRT((Input!$AA$16/Input!$AA$15)^2+1))*SQRT(1+(AJ67/(Input!$AA$15/2))^2)/((Input!$AA$16/Input!$AA$15)+SQRT((Input!$AA$16/Input!$AA$15)^2+(AJ67/(Input!$AA$15/2))^2+1))))/PI()</f>
        <v/>
      </c>
      <c r="BE67" s="68">
        <f>(AJ67/(Input!$AA$15/2))/(2*PI())*ATAN((Input!$AA$16/Input!$AA$15)/((AJ67/(Input!$AA$15/2))*SQRT((Input!$AA$16/Input!$AA$15)^2+(AJ67/(Input!$AA$15/2))^2+1)))</f>
        <v/>
      </c>
      <c r="BF67" s="68">
        <f>MAX(0,AJ67-MAX(AI67,$AA$22))/AK67*IF(BC67&gt;=Input!$AA$21*AQ67,1,0)</f>
        <v/>
      </c>
      <c r="BG67" s="68">
        <f>4*Input!$AA$14*(Input!$AA$15/2)*(1-AY67^2)/AX67*((BD67-BD66)+(1-2*AY67)/(1-AY67)*(BE67-BE66))*1000*BF67</f>
        <v/>
      </c>
      <c r="BH67" s="68">
        <f>IF(AM67="Sand",0,0.009*(AR67-10))</f>
        <v/>
      </c>
      <c r="BI67" s="68">
        <f>BH67*Input!$AA$36</f>
        <v/>
      </c>
      <c r="BJ67" s="68">
        <f>IF(AM67="Sand",0,MAX(AV67/Input!$AA$37,AQ67))</f>
        <v/>
      </c>
      <c r="BK67" s="68">
        <f>IF(AM67="Sand",0,1000*AK67/(1+AU67)*IF(AQ67+BC67&lt;=BJ67,BI67*LOG10((AQ67+BC67)/AQ67),BI67*LOG10(BJ67/AQ67)+BH67*LOG10((AQ67+BC67)/BJ67)))*BF67</f>
        <v/>
      </c>
      <c r="BL67" s="68">
        <f>IF(AM67="Sand",0,10^(INDEX(Input!$Q$48:$Q$54,MIN(MATCH(MIN(MAX(AR67,30),120),Input!$C$48:$C$54,1),6))+(MIN(MAX(AR67,30),120)-INDEX(Input!$C$48:$C$54,MIN(MATCH(MIN(MAX(AR67,30),120),Input!$C$48:$C$54,1),6)))/(INDEX(Input!$C$48:$C$54,MIN(MATCH(MIN(MAX(AR67,30),120),Input!$C$48:$C$54,1),6)+1)-INDEX(Input!$C$48:$C$54,MIN(MATCH(MIN(MAX(AR67,30),120),Input!$C$48:$C$54,1),6)))*(INDEX(Input!$Q$48:$Q$54,MIN(MATCH(MIN(MAX(AR67,30),120),Input!$C$48:$C$54,1),6)+1)-INDEX(Input!$Q$48:$Q$54,MIN(MATCH(MIN(MAX(AR67,30),120),Input!$C$48:$C$54,1),6)))))</f>
        <v/>
      </c>
      <c r="BM67" s="68">
        <f>IF(OR(AM67="Sand",BF67=0),0,Input!$AA$38*(AK67/2)^2/(BL67*1E-4*31536000))</f>
        <v/>
      </c>
      <c r="BN67" s="68">
        <f>MAX(0,MIN(AJ67,Input!$AA$20)-AI67)</f>
        <v/>
      </c>
      <c r="BO67" s="68">
        <f>MAX(0,MIN(AJ67,Input!$AA$20)-MAX(AI67,$AA$22))</f>
        <v/>
      </c>
      <c r="BP67" s="68">
        <f>MAX(0,MIN(AJ67,$AA$225)-AI67)</f>
        <v/>
      </c>
      <c r="BQ67" s="68" t="inlineStr"/>
    </row>
    <row r="68">
      <c r="B68" s="9" t="n"/>
      <c r="C68" s="69" t="n">
        <v>41</v>
      </c>
      <c r="D68" s="46" t="n"/>
      <c r="E68" s="70">
        <f>AI68</f>
        <v/>
      </c>
      <c r="F68" s="46" t="n"/>
      <c r="G68" s="46" t="n"/>
      <c r="H68" s="70">
        <f>AJ68</f>
        <v/>
      </c>
      <c r="I68" s="46" t="n"/>
      <c r="J68" s="46" t="n"/>
      <c r="K68" s="59">
        <f>AM68</f>
        <v/>
      </c>
      <c r="L68" s="46" t="n"/>
      <c r="M68" s="46" t="n"/>
      <c r="N68" s="69">
        <f>AN68</f>
        <v/>
      </c>
      <c r="O68" s="46" t="n"/>
      <c r="P68" s="46" t="n"/>
      <c r="Q68" s="60">
        <f>AO68</f>
        <v/>
      </c>
      <c r="R68" s="46" t="n"/>
      <c r="S68" s="46" t="n"/>
      <c r="T68" s="69">
        <f>IF(AR68="","-",AR68)</f>
        <v/>
      </c>
      <c r="U68" s="46" t="n"/>
      <c r="V68" s="69">
        <f>IF(AT68="","-",AT68)</f>
        <v/>
      </c>
      <c r="W68" s="46" t="n"/>
      <c r="X68" s="70">
        <f>AU68</f>
        <v/>
      </c>
      <c r="Y68" s="46" t="n"/>
      <c r="Z68" s="71">
        <f>AV68</f>
        <v/>
      </c>
      <c r="AA68" s="46" t="n"/>
      <c r="AB68" s="46" t="n"/>
      <c r="AC68" s="60">
        <f>AW68</f>
        <v/>
      </c>
      <c r="AD68" s="46" t="n"/>
      <c r="AE68" s="46" t="n"/>
      <c r="AF68" s="15" t="n"/>
      <c r="AI68" s="67" t="n">
        <v>59.5</v>
      </c>
      <c r="AJ68" s="67" t="n">
        <v>60</v>
      </c>
      <c r="AK68" s="68">
        <f>AJ68-AI68</f>
        <v/>
      </c>
      <c r="AL68" s="68">
        <f>(AI68+AJ68)/2</f>
        <v/>
      </c>
      <c r="AM68" s="67" t="inlineStr">
        <is>
          <t>Sand</t>
        </is>
      </c>
      <c r="AN68" s="67" t="n">
        <v>44</v>
      </c>
      <c r="AO68" s="68">
        <f>IF(AL68&gt;$AA$19,$AA$21,$AA$20)</f>
        <v/>
      </c>
      <c r="AP68" s="68">
        <f>AP67+AO68*AK68</f>
        <v/>
      </c>
      <c r="AQ68" s="68">
        <f>AP68-AO68*AK68/2-10*MAX(AL68-$AA$19,0)</f>
        <v/>
      </c>
      <c r="AR68" s="67" t="n"/>
      <c r="AS68" s="67" t="n"/>
      <c r="AT68" s="68">
        <f>IF(AR68="","",AR68-AS68)</f>
        <v/>
      </c>
      <c r="AU68" s="67" t="n">
        <v>0.65</v>
      </c>
      <c r="AV68" s="68">
        <f>IF(AM68="Sand",0,Input!$AA$31*AN68)</f>
        <v/>
      </c>
      <c r="AW68" s="68">
        <f>IF(AM68="Sand",27.1+0.3*MIN(Input!$AA$32*AN68,60)-0.00054*MIN(Input!$AA$32*AN68,60)^2,MIN(MAX(DEGREES(ASIN(0.8-0.094*LN(MAX(IF(AT68="",10,AT68),5)))),20),30))</f>
        <v/>
      </c>
      <c r="AX68" s="68">
        <f>IF(AM68="Sand",Input!$AA$33*Input!$AA$32*AN68,Input!$AA$34*AV68)</f>
        <v/>
      </c>
      <c r="AY68" s="68">
        <f>IF(AM68="Sand",Input!$AA$35,0.5)</f>
        <v/>
      </c>
      <c r="AZ68" s="68">
        <f>Input!$AA$15/2/AL68</f>
        <v/>
      </c>
      <c r="BA68" s="68">
        <f>Input!$AA$16/2/AL68</f>
        <v/>
      </c>
      <c r="BB68" s="68">
        <f>1/(4*PI())*(2*AZ68*BA68*SQRT(AZ68^2+BA68^2+1)/(AZ68^2+BA68^2+1+AZ68^2*BA68^2)*(AZ68^2+BA68^2+2)/(AZ68^2+BA68^2+1)+ATAN2(AZ68^2+BA68^2+1-AZ68^2*BA68^2,2*AZ68*BA68*SQRT(AZ68^2+BA68^2+1)))</f>
        <v/>
      </c>
      <c r="BC68" s="68">
        <f>4*Input!$AA$14*BB68</f>
        <v/>
      </c>
      <c r="BD68" s="68">
        <f>((Input!$AA$16/Input!$AA$15)*LN((1+SQRT((Input!$AA$16/Input!$AA$15)^2+1))*SQRT((Input!$AA$16/Input!$AA$15)^2+(AJ68/(Input!$AA$15/2))^2)/((Input!$AA$16/Input!$AA$15)*(1+SQRT((Input!$AA$16/Input!$AA$15)^2+(AJ68/(Input!$AA$15/2))^2+1))))+LN(((Input!$AA$16/Input!$AA$15)+SQRT((Input!$AA$16/Input!$AA$15)^2+1))*SQRT(1+(AJ68/(Input!$AA$15/2))^2)/((Input!$AA$16/Input!$AA$15)+SQRT((Input!$AA$16/Input!$AA$15)^2+(AJ68/(Input!$AA$15/2))^2+1))))/PI()</f>
        <v/>
      </c>
      <c r="BE68" s="68">
        <f>(AJ68/(Input!$AA$15/2))/(2*PI())*ATAN((Input!$AA$16/Input!$AA$15)/((AJ68/(Input!$AA$15/2))*SQRT((Input!$AA$16/Input!$AA$15)^2+(AJ68/(Input!$AA$15/2))^2+1)))</f>
        <v/>
      </c>
      <c r="BF68" s="68">
        <f>MAX(0,AJ68-MAX(AI68,$AA$22))/AK68*IF(BC68&gt;=Input!$AA$21*AQ68,1,0)</f>
        <v/>
      </c>
      <c r="BG68" s="68">
        <f>4*Input!$AA$14*(Input!$AA$15/2)*(1-AY68^2)/AX68*((BD68-BD67)+(1-2*AY68)/(1-AY68)*(BE68-BE67))*1000*BF68</f>
        <v/>
      </c>
      <c r="BH68" s="68">
        <f>IF(AM68="Sand",0,0.009*(AR68-10))</f>
        <v/>
      </c>
      <c r="BI68" s="68">
        <f>BH68*Input!$AA$36</f>
        <v/>
      </c>
      <c r="BJ68" s="68">
        <f>IF(AM68="Sand",0,MAX(AV68/Input!$AA$37,AQ68))</f>
        <v/>
      </c>
      <c r="BK68" s="68">
        <f>IF(AM68="Sand",0,1000*AK68/(1+AU68)*IF(AQ68+BC68&lt;=BJ68,BI68*LOG10((AQ68+BC68)/AQ68),BI68*LOG10(BJ68/AQ68)+BH68*LOG10((AQ68+BC68)/BJ68)))*BF68</f>
        <v/>
      </c>
      <c r="BL68" s="68">
        <f>IF(AM68="Sand",0,10^(INDEX(Input!$Q$48:$Q$54,MIN(MATCH(MIN(MAX(AR68,30),120),Input!$C$48:$C$54,1),6))+(MIN(MAX(AR68,30),120)-INDEX(Input!$C$48:$C$54,MIN(MATCH(MIN(MAX(AR68,30),120),Input!$C$48:$C$54,1),6)))/(INDEX(Input!$C$48:$C$54,MIN(MATCH(MIN(MAX(AR68,30),120),Input!$C$48:$C$54,1),6)+1)-INDEX(Input!$C$48:$C$54,MIN(MATCH(MIN(MAX(AR68,30),120),Input!$C$48:$C$54,1),6)))*(INDEX(Input!$Q$48:$Q$54,MIN(MATCH(MIN(MAX(AR68,30),120),Input!$C$48:$C$54,1),6)+1)-INDEX(Input!$Q$48:$Q$54,MIN(MATCH(MIN(MAX(AR68,30),120),Input!$C$48:$C$54,1),6)))))</f>
        <v/>
      </c>
      <c r="BM68" s="68">
        <f>IF(OR(AM68="Sand",BF68=0),0,Input!$AA$38*(AK68/2)^2/(BL68*1E-4*31536000))</f>
        <v/>
      </c>
      <c r="BN68" s="68">
        <f>MAX(0,MIN(AJ68,Input!$AA$20)-AI68)</f>
        <v/>
      </c>
      <c r="BO68" s="68">
        <f>MAX(0,MIN(AJ68,Input!$AA$20)-MAX(AI68,$AA$22))</f>
        <v/>
      </c>
      <c r="BP68" s="68">
        <f>MAX(0,MIN(AJ68,$AA$225)-AI68)</f>
        <v/>
      </c>
      <c r="BQ68" s="68" t="inlineStr"/>
    </row>
    <row r="69">
      <c r="B69" s="9" t="n"/>
      <c r="C69" s="24" t="inlineStr">
        <is>
          <t>cu = k·N (silt/clay); φ' sand from Wolff (1989), silt/clay from PI; γ from laboratory average above/below GWL.</t>
        </is>
      </c>
      <c r="AF69" s="15" t="n"/>
    </row>
    <row r="70">
      <c r="B70" s="9" t="n"/>
      <c r="AF70" s="15" t="n"/>
    </row>
    <row r="71">
      <c r="B71" s="9" t="n"/>
      <c r="AF71" s="15" t="n"/>
    </row>
    <row r="72">
      <c r="B72" s="9" t="n"/>
      <c r="AF72" s="15" t="n"/>
    </row>
    <row r="73">
      <c r="B73" s="47" t="n"/>
      <c r="C73" s="48" t="n"/>
      <c r="D73" s="48" t="n"/>
      <c r="E73" s="48" t="n"/>
      <c r="F73" s="48" t="n"/>
      <c r="G73" s="48" t="n"/>
      <c r="H73" s="48" t="n"/>
      <c r="I73" s="48" t="n"/>
      <c r="J73" s="48" t="n"/>
      <c r="K73" s="48" t="n"/>
      <c r="L73" s="48" t="n"/>
      <c r="M73" s="48" t="n"/>
      <c r="N73" s="48" t="n"/>
      <c r="O73" s="48" t="n"/>
      <c r="P73" s="48" t="n"/>
      <c r="Q73" s="48" t="n"/>
      <c r="R73" s="48" t="n"/>
      <c r="S73" s="48" t="n"/>
      <c r="T73" s="48" t="n"/>
      <c r="U73" s="48" t="n"/>
      <c r="V73" s="48" t="n"/>
      <c r="W73" s="48" t="n"/>
      <c r="X73" s="49" t="inlineStr">
        <is>
          <t>Sheet :</t>
        </is>
      </c>
      <c r="Y73" s="48" t="n"/>
      <c r="Z73" s="48" t="n"/>
      <c r="AA73" s="48" t="n"/>
      <c r="AB73" s="49" t="n">
        <v>1</v>
      </c>
      <c r="AC73" s="48" t="n"/>
      <c r="AD73" s="48" t="n"/>
      <c r="AE73" s="48" t="n"/>
      <c r="AF73" s="50" t="n"/>
    </row>
    <row r="74">
      <c r="B74" s="1" t="n"/>
      <c r="C74" s="2" t="inlineStr">
        <is>
          <t>PROJECT :</t>
        </is>
      </c>
      <c r="D74" s="3" t="n"/>
      <c r="E74" s="3" t="n"/>
      <c r="F74" s="3" t="n"/>
      <c r="G74" s="3" t="n"/>
      <c r="H74" s="4" t="inlineStr">
        <is>
          <t>GEOTHERMAL WELLPAD PSPE BORA PULU - SIGI, CENTRAL SULAWESI</t>
        </is>
      </c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5" t="inlineStr">
        <is>
          <t>Prepared by :</t>
        </is>
      </c>
      <c r="Y74" s="6" t="n"/>
      <c r="Z74" s="6" t="n"/>
      <c r="AA74" s="6" t="n"/>
      <c r="AB74" s="7" t="inlineStr">
        <is>
          <t>Date</t>
        </is>
      </c>
      <c r="AC74" s="6" t="n"/>
      <c r="AD74" s="6" t="n"/>
      <c r="AE74" s="6" t="n"/>
      <c r="AF74" s="8" t="n"/>
    </row>
    <row r="75">
      <c r="B75" s="9" t="n"/>
      <c r="C75" s="10" t="inlineStr">
        <is>
          <t>CLIENT :</t>
        </is>
      </c>
      <c r="H75" s="11" t="inlineStr">
        <is>
          <t>PT EDC PANAS BUMI INDONESIA</t>
        </is>
      </c>
      <c r="X75" s="12" t="inlineStr">
        <is>
          <t>DF</t>
        </is>
      </c>
      <c r="Y75" s="13" t="n"/>
      <c r="Z75" s="13" t="n"/>
      <c r="AA75" s="13" t="n"/>
      <c r="AB75" s="14" t="n">
        <v>46301</v>
      </c>
      <c r="AC75" s="13" t="n"/>
      <c r="AD75" s="13" t="n"/>
      <c r="AE75" s="13" t="n"/>
      <c r="AF75" s="15" t="n"/>
    </row>
    <row r="76">
      <c r="B76" s="9" t="n"/>
      <c r="C76" s="10" t="inlineStr">
        <is>
          <t>LOCATION :</t>
        </is>
      </c>
      <c r="H76" s="11" t="inlineStr">
        <is>
          <t>BH-02 (Wellpad A)</t>
        </is>
      </c>
      <c r="X76" s="12" t="inlineStr">
        <is>
          <t>Verified by :</t>
        </is>
      </c>
      <c r="Y76" s="13" t="n"/>
      <c r="Z76" s="13" t="n"/>
      <c r="AA76" s="13" t="n"/>
      <c r="AB76" s="14" t="inlineStr">
        <is>
          <t>Date</t>
        </is>
      </c>
      <c r="AC76" s="13" t="n"/>
      <c r="AD76" s="13" t="n"/>
      <c r="AE76" s="13" t="n"/>
      <c r="AF76" s="15" t="n"/>
    </row>
    <row r="77">
      <c r="B77" s="16" t="n"/>
      <c r="C77" s="17" t="inlineStr">
        <is>
          <t>SHEET :</t>
        </is>
      </c>
      <c r="D77" s="18" t="n"/>
      <c r="E77" s="18" t="n"/>
      <c r="F77" s="18" t="n"/>
      <c r="G77" s="18" t="n"/>
      <c r="H77" s="19" t="inlineStr">
        <is>
          <t>BEARING CAPACITY AND SETTLEMENT OF SUBGRADE</t>
        </is>
      </c>
      <c r="I77" s="18" t="n"/>
      <c r="J77" s="18" t="n"/>
      <c r="K77" s="18" t="n"/>
      <c r="L77" s="18" t="n"/>
      <c r="M77" s="18" t="n"/>
      <c r="N77" s="18" t="n"/>
      <c r="O77" s="18" t="n"/>
      <c r="P77" s="18" t="n"/>
      <c r="Q77" s="18" t="n"/>
      <c r="R77" s="18" t="n"/>
      <c r="S77" s="18" t="n"/>
      <c r="T77" s="18" t="n"/>
      <c r="U77" s="18" t="n"/>
      <c r="V77" s="18" t="n"/>
      <c r="W77" s="18" t="n"/>
      <c r="X77" s="20" t="inlineStr">
        <is>
          <t>BC</t>
        </is>
      </c>
      <c r="Y77" s="21" t="n"/>
      <c r="Z77" s="21" t="n"/>
      <c r="AA77" s="21" t="n"/>
      <c r="AB77" s="22" t="n">
        <v>46301</v>
      </c>
      <c r="AC77" s="21" t="n"/>
      <c r="AD77" s="21" t="n"/>
      <c r="AE77" s="21" t="n"/>
      <c r="AF77" s="23" t="n"/>
    </row>
    <row r="78">
      <c r="B78" s="9" t="n"/>
      <c r="AF78" s="15" t="n"/>
    </row>
    <row r="79">
      <c r="B79" s="9" t="n"/>
      <c r="C79" s="11" t="inlineStr">
        <is>
          <t>3. BEARING CAPACITY OF SUBGRADE</t>
        </is>
      </c>
      <c r="AF79" s="15" t="n"/>
    </row>
    <row r="80">
      <c r="B80" s="9" t="n"/>
      <c r="C80" s="25" t="inlineStr">
        <is>
          <t>The bearing capacity is evaluated with the general bearing capacity equation (Terzaghi 1943, Vesic 1975; SNI 8460:2017).</t>
        </is>
      </c>
      <c r="AF80" s="15" t="n"/>
    </row>
    <row r="81">
      <c r="B81" s="9" t="n"/>
      <c r="C81" s="25" t="inlineStr">
        <is>
          <t>Undrained (short-term) condition governs where silt/clay exists within 0 - Hb: qu = cu·Nc·sc.</t>
        </is>
      </c>
      <c r="AF81" s="15" t="n"/>
    </row>
    <row r="82">
      <c r="B82" s="9" t="n"/>
      <c r="C82" s="25" t="inlineStr">
        <is>
          <t>Drained (long-term) condition for granular soil: qu = 0.5·γ'·B·Nγ·sγ·rγ (c' = 0, load at ground surface, q = 0).</t>
        </is>
      </c>
      <c r="AF82" s="15" t="n"/>
    </row>
    <row r="83">
      <c r="B83" s="9" t="n"/>
      <c r="C83" s="25" t="inlineStr">
        <is>
          <t>The governing ultimate capacity is the smaller of the two; qall = qu / SF.</t>
        </is>
      </c>
      <c r="AF83" s="15" t="n"/>
    </row>
    <row r="84">
      <c r="B84" s="9" t="n"/>
      <c r="AF84" s="15" t="n"/>
    </row>
    <row r="85">
      <c r="B85" s="9" t="n"/>
      <c r="C85" s="11" t="inlineStr">
        <is>
          <t>3.1. Without ground improvement</t>
        </is>
      </c>
      <c r="AF85" s="15" t="n"/>
    </row>
    <row r="86">
      <c r="B86" s="9" t="n"/>
      <c r="C86" s="25" t="inlineStr">
        <is>
          <t>Thickness of silt/clay within 0 - Hb</t>
        </is>
      </c>
      <c r="O86" s="26" t="inlineStr">
        <is>
          <t>Σh (fine soil)</t>
        </is>
      </c>
      <c r="X86" s="27" t="inlineStr">
        <is>
          <t>Σh =</t>
        </is>
      </c>
      <c r="Y86" s="13" t="n"/>
      <c r="Z86" s="13" t="n"/>
      <c r="AA86" s="61">
        <f>SUMPRODUCT(--(AM28:AM68&lt;&gt;"Sand"),BN28:BN68)</f>
        <v/>
      </c>
      <c r="AB86" s="13" t="n"/>
      <c r="AC86" s="13" t="n"/>
      <c r="AD86" s="25" t="inlineStr">
        <is>
          <t>m</t>
        </is>
      </c>
      <c r="AF86" s="15" t="n"/>
    </row>
    <row r="87">
      <c r="B87" s="9" t="n"/>
      <c r="C87" s="25" t="inlineStr">
        <is>
          <t>Average undrained shear strength</t>
        </is>
      </c>
      <c r="O87" s="26" t="inlineStr">
        <is>
          <t>weighted by thickness</t>
        </is>
      </c>
      <c r="X87" s="27" t="inlineStr">
        <is>
          <t>cu =</t>
        </is>
      </c>
      <c r="Y87" s="13" t="n"/>
      <c r="Z87" s="13" t="n"/>
      <c r="AA87" s="62">
        <f>IF($AA$86=0,0,SUMPRODUCT(--(AM28:AM68&lt;&gt;"Sand"),BN28:BN68,AV28:AV68)/$AA$86)</f>
        <v/>
      </c>
      <c r="AB87" s="13" t="n"/>
      <c r="AC87" s="13" t="n"/>
      <c r="AD87" s="25" t="inlineStr">
        <is>
          <t>kPa</t>
        </is>
      </c>
      <c r="AF87" s="15" t="n"/>
    </row>
    <row r="88">
      <c r="B88" s="9" t="n"/>
      <c r="C88" s="25" t="inlineStr">
        <is>
          <t>Average effective friction angle</t>
        </is>
      </c>
      <c r="O88" s="26" t="inlineStr">
        <is>
          <t>incl. replacement fill</t>
        </is>
      </c>
      <c r="X88" s="27" t="inlineStr">
        <is>
          <t>φ' =</t>
        </is>
      </c>
      <c r="Y88" s="13" t="n"/>
      <c r="Z88" s="13" t="n"/>
      <c r="AA88" s="62">
        <f>(SUMPRODUCT(BN28:BN68,AW28:AW68)+MIN(0,Input!$AA$20)*Input!$AA$26)/Input!$AA$20</f>
        <v/>
      </c>
      <c r="AB88" s="13" t="n"/>
      <c r="AC88" s="13" t="n"/>
      <c r="AD88" s="25" t="inlineStr">
        <is>
          <t>°</t>
        </is>
      </c>
      <c r="AF88" s="15" t="n"/>
    </row>
    <row r="89">
      <c r="B89" s="9" t="n"/>
      <c r="C89" s="25" t="inlineStr">
        <is>
          <t>Average effective unit weight</t>
        </is>
      </c>
      <c r="O89" s="26" t="inlineStr">
        <is>
          <t>0 - Hb</t>
        </is>
      </c>
      <c r="X89" s="27" t="inlineStr">
        <is>
          <t>γ' =</t>
        </is>
      </c>
      <c r="Y89" s="13" t="n"/>
      <c r="Z89" s="13" t="n"/>
      <c r="AA89" s="62">
        <f>(SUMPRODUCT(BN28:BN68,AO28:AO68)+MIN(0,Input!$AA$20)*Input!$AA$25)/Input!$AA$20-10*MAX(0,Input!$AA$20-$AA$19)/Input!$AA$20</f>
        <v/>
      </c>
      <c r="AB89" s="13" t="n"/>
      <c r="AC89" s="13" t="n"/>
      <c r="AD89" s="25" t="inlineStr">
        <is>
          <t>kN/m³</t>
        </is>
      </c>
      <c r="AF89" s="15" t="n"/>
    </row>
    <row r="90">
      <c r="B90" s="9" t="n"/>
      <c r="C90" s="25" t="inlineStr">
        <is>
          <t>Shape factor (undrained), Nc = 5.14</t>
        </is>
      </c>
      <c r="O90" s="26" t="inlineStr">
        <is>
          <t>sc = 1 + 0.2 B/L</t>
        </is>
      </c>
      <c r="X90" s="27" t="inlineStr">
        <is>
          <t>sc =</t>
        </is>
      </c>
      <c r="Y90" s="13" t="n"/>
      <c r="Z90" s="13" t="n"/>
      <c r="AA90" s="61">
        <f>1+0.2*Input!$AA$15/Input!$AA$16</f>
        <v/>
      </c>
      <c r="AB90" s="13" t="n"/>
      <c r="AC90" s="13" t="n"/>
      <c r="AD90" s="25" t="inlineStr">
        <is>
          <t>-</t>
        </is>
      </c>
      <c r="AF90" s="15" t="n"/>
    </row>
    <row r="91">
      <c r="B91" s="9" t="n"/>
      <c r="C91" s="25" t="inlineStr">
        <is>
          <t>Ultimate capacity, undrained</t>
        </is>
      </c>
      <c r="O91" s="26" t="inlineStr">
        <is>
          <t>qu = cu·Nc·sc</t>
        </is>
      </c>
      <c r="X91" s="27" t="inlineStr">
        <is>
          <t>qu,u =</t>
        </is>
      </c>
      <c r="Y91" s="13" t="n"/>
      <c r="Z91" s="13" t="n"/>
      <c r="AA91" s="62">
        <f>IF($AA$86=0,"n/a",$AA$87*5.14*$AA$90)</f>
        <v/>
      </c>
      <c r="AB91" s="13" t="n"/>
      <c r="AC91" s="13" t="n"/>
      <c r="AD91" s="25" t="inlineStr">
        <is>
          <t>kPa</t>
        </is>
      </c>
      <c r="AF91" s="15" t="n"/>
    </row>
    <row r="92">
      <c r="B92" s="9" t="n"/>
      <c r="C92" s="25" t="inlineStr">
        <is>
          <t>Bearing capacity factor</t>
        </is>
      </c>
      <c r="O92" s="26" t="inlineStr">
        <is>
          <t>Nq = e^(π·tanφ)·tan²(45+φ/2)</t>
        </is>
      </c>
      <c r="X92" s="27" t="inlineStr">
        <is>
          <t>Nq =</t>
        </is>
      </c>
      <c r="Y92" s="13" t="n"/>
      <c r="Z92" s="13" t="n"/>
      <c r="AA92" s="61">
        <f>EXP(PI()*TAN(RADIANS($AA$88)))*TAN(RADIANS(45+$AA$88/2))^2</f>
        <v/>
      </c>
      <c r="AB92" s="13" t="n"/>
      <c r="AC92" s="13" t="n"/>
      <c r="AD92" s="25" t="inlineStr">
        <is>
          <t>-</t>
        </is>
      </c>
      <c r="AF92" s="15" t="n"/>
    </row>
    <row r="93">
      <c r="B93" s="9" t="n"/>
      <c r="C93" s="25" t="inlineStr">
        <is>
          <t>Bearing capacity factor (Vesic)</t>
        </is>
      </c>
      <c r="O93" s="26" t="inlineStr">
        <is>
          <t>Nγ = 2(Nq+1)·tanφ</t>
        </is>
      </c>
      <c r="X93" s="27" t="inlineStr">
        <is>
          <t>Nγ =</t>
        </is>
      </c>
      <c r="Y93" s="13" t="n"/>
      <c r="Z93" s="13" t="n"/>
      <c r="AA93" s="61">
        <f>2*($AA$92+1)*TAN(RADIANS($AA$88))</f>
        <v/>
      </c>
      <c r="AB93" s="13" t="n"/>
      <c r="AC93" s="13" t="n"/>
      <c r="AD93" s="25" t="inlineStr">
        <is>
          <t>-</t>
        </is>
      </c>
      <c r="AF93" s="15" t="n"/>
    </row>
    <row r="94">
      <c r="B94" s="9" t="n"/>
      <c r="C94" s="25" t="inlineStr">
        <is>
          <t>Shape and size factors</t>
        </is>
      </c>
      <c r="O94" s="26" t="inlineStr">
        <is>
          <t>sγ = 1-0.4B/L; rγ = 1-0.25log(B/2)</t>
        </is>
      </c>
      <c r="X94" s="27" t="inlineStr">
        <is>
          <t>sγ·rγ =</t>
        </is>
      </c>
      <c r="Y94" s="13" t="n"/>
      <c r="Z94" s="13" t="n"/>
      <c r="AA94" s="72">
        <f>(1-0.4*Input!$AA$15/Input!$AA$16)*IF(Input!$AA$15&gt;2,1-0.25*LOG10(Input!$AA$15/2),1)</f>
        <v/>
      </c>
      <c r="AB94" s="13" t="n"/>
      <c r="AC94" s="13" t="n"/>
      <c r="AD94" s="25" t="inlineStr">
        <is>
          <t>-</t>
        </is>
      </c>
      <c r="AF94" s="15" t="n"/>
    </row>
    <row r="95">
      <c r="B95" s="9" t="n"/>
      <c r="C95" s="25" t="inlineStr">
        <is>
          <t>Ultimate capacity, drained</t>
        </is>
      </c>
      <c r="O95" s="26" t="inlineStr">
        <is>
          <t>qu = 0.5·γ'·B·Nγ·sγ·rγ</t>
        </is>
      </c>
      <c r="X95" s="27" t="inlineStr">
        <is>
          <t>qu,d =</t>
        </is>
      </c>
      <c r="Y95" s="13" t="n"/>
      <c r="Z95" s="13" t="n"/>
      <c r="AA95" s="62">
        <f>0.5*$AA$89*Input!$AA$15*$AA$93*$AA$94</f>
        <v/>
      </c>
      <c r="AB95" s="13" t="n"/>
      <c r="AC95" s="13" t="n"/>
      <c r="AD95" s="25" t="inlineStr">
        <is>
          <t>kPa</t>
        </is>
      </c>
      <c r="AF95" s="15" t="n"/>
    </row>
    <row r="96">
      <c r="B96" s="9" t="n"/>
      <c r="C96" s="25" t="inlineStr">
        <is>
          <t>Governing ultimate bearing capacity</t>
        </is>
      </c>
      <c r="O96" s="26" t="inlineStr">
        <is>
          <t>min (undrained, drained)</t>
        </is>
      </c>
      <c r="X96" s="27" t="inlineStr">
        <is>
          <t>qu =</t>
        </is>
      </c>
      <c r="Y96" s="13" t="n"/>
      <c r="Z96" s="13" t="n"/>
      <c r="AA96" s="30">
        <f>IF($AA$86=0,$AA$95,MIN($AA$91,$AA$95))</f>
        <v/>
      </c>
      <c r="AB96" s="13" t="n"/>
      <c r="AC96" s="13" t="n"/>
      <c r="AD96" s="25" t="inlineStr">
        <is>
          <t>kPa</t>
        </is>
      </c>
      <c r="AF96" s="15" t="n"/>
    </row>
    <row r="97">
      <c r="B97" s="9" t="n"/>
      <c r="C97" s="25" t="inlineStr">
        <is>
          <t>Allowable bearing capacity</t>
        </is>
      </c>
      <c r="O97" s="26" t="inlineStr">
        <is>
          <t>qall = qu / SF</t>
        </is>
      </c>
      <c r="X97" s="27" t="inlineStr">
        <is>
          <t>qall =</t>
        </is>
      </c>
      <c r="Y97" s="13" t="n"/>
      <c r="Z97" s="13" t="n"/>
      <c r="AA97" s="30">
        <f>$AA$96/Input!$AA$19</f>
        <v/>
      </c>
      <c r="AB97" s="13" t="n"/>
      <c r="AC97" s="13" t="n"/>
      <c r="AD97" s="25" t="inlineStr">
        <is>
          <t>kPa</t>
        </is>
      </c>
      <c r="AF97" s="15" t="n"/>
    </row>
    <row r="98">
      <c r="B98" s="9" t="n"/>
      <c r="C98" s="25" t="inlineStr">
        <is>
          <t>Working pressure</t>
        </is>
      </c>
      <c r="O98" s="26" t="inlineStr">
        <is>
          <t>q = Hf·γf + qs</t>
        </is>
      </c>
      <c r="X98" s="27" t="inlineStr">
        <is>
          <t>q =</t>
        </is>
      </c>
      <c r="Y98" s="13" t="n"/>
      <c r="Z98" s="13" t="n"/>
      <c r="AA98" s="62">
        <f>Input!$AA$14</f>
        <v/>
      </c>
      <c r="AB98" s="13" t="n"/>
      <c r="AC98" s="13" t="n"/>
      <c r="AD98" s="25" t="inlineStr">
        <is>
          <t>kPa</t>
        </is>
      </c>
      <c r="AF98" s="15" t="n"/>
    </row>
    <row r="99">
      <c r="B99" s="9" t="n"/>
      <c r="C99" s="25" t="inlineStr">
        <is>
          <t>Actual factor of safety</t>
        </is>
      </c>
      <c r="O99" s="26" t="inlineStr">
        <is>
          <t>FS = qu / q</t>
        </is>
      </c>
      <c r="X99" s="27" t="inlineStr">
        <is>
          <t>FS =</t>
        </is>
      </c>
      <c r="Y99" s="13" t="n"/>
      <c r="Z99" s="13" t="n"/>
      <c r="AA99" s="61">
        <f>$AA$96/Input!$AA$14</f>
        <v/>
      </c>
      <c r="AB99" s="13" t="n"/>
      <c r="AC99" s="13" t="n"/>
      <c r="AD99" s="25" t="inlineStr">
        <is>
          <t>-</t>
        </is>
      </c>
      <c r="AF99" s="15" t="n"/>
    </row>
    <row r="100">
      <c r="B100" s="9" t="n"/>
      <c r="C100" s="25" t="inlineStr">
        <is>
          <t>Allowable fill height with surcharge</t>
        </is>
      </c>
      <c r="O100" s="26" t="inlineStr">
        <is>
          <t>Hall = (qall - qs) / γf</t>
        </is>
      </c>
      <c r="X100" s="27" t="inlineStr">
        <is>
          <t>Hall =</t>
        </is>
      </c>
      <c r="Y100" s="13" t="n"/>
      <c r="Z100" s="13" t="n"/>
      <c r="AA100" s="61">
        <f>MAX(0,($AA$97-Input!$AA$13)/Input!$AA$12)</f>
        <v/>
      </c>
      <c r="AB100" s="13" t="n"/>
      <c r="AC100" s="13" t="n"/>
      <c r="AD100" s="25" t="inlineStr">
        <is>
          <t>m</t>
        </is>
      </c>
      <c r="AF100" s="15" t="n"/>
    </row>
    <row r="101">
      <c r="B101" s="9" t="n"/>
      <c r="C101" s="11" t="inlineStr">
        <is>
          <t>Bearing capacity check</t>
        </is>
      </c>
      <c r="X101" s="73">
        <f>IF($AA$97&gt;=Input!$AA$14,"qall ≥ q …. OK!!","qall &lt; q …. NG!!")</f>
        <v/>
      </c>
      <c r="Y101" s="13" t="n"/>
      <c r="Z101" s="13" t="n"/>
      <c r="AA101" s="13" t="n"/>
      <c r="AB101" s="13" t="n"/>
      <c r="AC101" s="13" t="n"/>
      <c r="AD101" s="13" t="n"/>
      <c r="AE101" s="13" t="n"/>
      <c r="AF101" s="15" t="n"/>
    </row>
    <row r="102">
      <c r="B102" s="9" t="n"/>
      <c r="AF102" s="15" t="n"/>
    </row>
    <row r="103">
      <c r="B103" s="9" t="n"/>
      <c r="C103" s="11" t="inlineStr">
        <is>
          <t>3.2. With replacement of soil 0 - Dr (design condition)</t>
        </is>
      </c>
      <c r="AF103" s="15" t="n"/>
    </row>
    <row r="104">
      <c r="B104" s="9" t="n"/>
      <c r="C104" s="25" t="inlineStr">
        <is>
          <t>Thickness of silt/clay within 0 - Hb</t>
        </is>
      </c>
      <c r="O104" s="26" t="inlineStr">
        <is>
          <t>Σh (fine soil)</t>
        </is>
      </c>
      <c r="X104" s="27" t="inlineStr">
        <is>
          <t>Σh =</t>
        </is>
      </c>
      <c r="Y104" s="13" t="n"/>
      <c r="Z104" s="13" t="n"/>
      <c r="AA104" s="61">
        <f>SUMPRODUCT(--(AM28:AM68&lt;&gt;"Sand"),BO28:BO68)</f>
        <v/>
      </c>
      <c r="AB104" s="13" t="n"/>
      <c r="AC104" s="13" t="n"/>
      <c r="AD104" s="25" t="inlineStr">
        <is>
          <t>m</t>
        </is>
      </c>
      <c r="AF104" s="15" t="n"/>
    </row>
    <row r="105">
      <c r="B105" s="9" t="n"/>
      <c r="C105" s="25" t="inlineStr">
        <is>
          <t>Average undrained shear strength</t>
        </is>
      </c>
      <c r="O105" s="26" t="inlineStr">
        <is>
          <t>weighted by thickness</t>
        </is>
      </c>
      <c r="X105" s="27" t="inlineStr">
        <is>
          <t>cu =</t>
        </is>
      </c>
      <c r="Y105" s="13" t="n"/>
      <c r="Z105" s="13" t="n"/>
      <c r="AA105" s="62">
        <f>IF($AA$104=0,0,SUMPRODUCT(--(AM28:AM68&lt;&gt;"Sand"),BO28:BO68,AV28:AV68)/$AA$104)</f>
        <v/>
      </c>
      <c r="AB105" s="13" t="n"/>
      <c r="AC105" s="13" t="n"/>
      <c r="AD105" s="25" t="inlineStr">
        <is>
          <t>kPa</t>
        </is>
      </c>
      <c r="AF105" s="15" t="n"/>
    </row>
    <row r="106">
      <c r="B106" s="9" t="n"/>
      <c r="C106" s="25" t="inlineStr">
        <is>
          <t>Average effective friction angle</t>
        </is>
      </c>
      <c r="O106" s="26" t="inlineStr">
        <is>
          <t>incl. replacement fill</t>
        </is>
      </c>
      <c r="X106" s="27" t="inlineStr">
        <is>
          <t>φ' =</t>
        </is>
      </c>
      <c r="Y106" s="13" t="n"/>
      <c r="Z106" s="13" t="n"/>
      <c r="AA106" s="62">
        <f>(SUMPRODUCT(BO28:BO68,AW28:AW68)+MIN($AA$22,Input!$AA$20)*Input!$AA$26)/Input!$AA$20</f>
        <v/>
      </c>
      <c r="AB106" s="13" t="n"/>
      <c r="AC106" s="13" t="n"/>
      <c r="AD106" s="25" t="inlineStr">
        <is>
          <t>°</t>
        </is>
      </c>
      <c r="AF106" s="15" t="n"/>
    </row>
    <row r="107">
      <c r="B107" s="9" t="n"/>
      <c r="C107" s="25" t="inlineStr">
        <is>
          <t>Average effective unit weight</t>
        </is>
      </c>
      <c r="O107" s="26" t="inlineStr">
        <is>
          <t>0 - Hb</t>
        </is>
      </c>
      <c r="X107" s="27" t="inlineStr">
        <is>
          <t>γ' =</t>
        </is>
      </c>
      <c r="Y107" s="13" t="n"/>
      <c r="Z107" s="13" t="n"/>
      <c r="AA107" s="62">
        <f>(SUMPRODUCT(BO28:BO68,AO28:AO68)+MIN($AA$22,Input!$AA$20)*Input!$AA$25)/Input!$AA$20-10*MAX(0,Input!$AA$20-$AA$19)/Input!$AA$20</f>
        <v/>
      </c>
      <c r="AB107" s="13" t="n"/>
      <c r="AC107" s="13" t="n"/>
      <c r="AD107" s="25" t="inlineStr">
        <is>
          <t>kN/m³</t>
        </is>
      </c>
      <c r="AF107" s="15" t="n"/>
    </row>
    <row r="108">
      <c r="B108" s="9" t="n"/>
      <c r="C108" s="25" t="inlineStr">
        <is>
          <t>Shape factor (undrained), Nc = 5.14</t>
        </is>
      </c>
      <c r="O108" s="26" t="inlineStr">
        <is>
          <t>sc = 1 + 0.2 B/L</t>
        </is>
      </c>
      <c r="X108" s="27" t="inlineStr">
        <is>
          <t>sc =</t>
        </is>
      </c>
      <c r="Y108" s="13" t="n"/>
      <c r="Z108" s="13" t="n"/>
      <c r="AA108" s="61">
        <f>1+0.2*Input!$AA$15/Input!$AA$16</f>
        <v/>
      </c>
      <c r="AB108" s="13" t="n"/>
      <c r="AC108" s="13" t="n"/>
      <c r="AD108" s="25" t="inlineStr">
        <is>
          <t>-</t>
        </is>
      </c>
      <c r="AF108" s="15" t="n"/>
    </row>
    <row r="109">
      <c r="B109" s="9" t="n"/>
      <c r="C109" s="25" t="inlineStr">
        <is>
          <t>Ultimate capacity, undrained</t>
        </is>
      </c>
      <c r="O109" s="26" t="inlineStr">
        <is>
          <t>qu = cu·Nc·sc</t>
        </is>
      </c>
      <c r="X109" s="27" t="inlineStr">
        <is>
          <t>qu,u =</t>
        </is>
      </c>
      <c r="Y109" s="13" t="n"/>
      <c r="Z109" s="13" t="n"/>
      <c r="AA109" s="62">
        <f>IF($AA$104=0,"n/a",$AA$105*5.14*$AA$108)</f>
        <v/>
      </c>
      <c r="AB109" s="13" t="n"/>
      <c r="AC109" s="13" t="n"/>
      <c r="AD109" s="25" t="inlineStr">
        <is>
          <t>kPa</t>
        </is>
      </c>
      <c r="AF109" s="15" t="n"/>
    </row>
    <row r="110">
      <c r="B110" s="9" t="n"/>
      <c r="C110" s="25" t="inlineStr">
        <is>
          <t>Bearing capacity factor</t>
        </is>
      </c>
      <c r="O110" s="26" t="inlineStr">
        <is>
          <t>Nq = e^(π·tanφ)·tan²(45+φ/2)</t>
        </is>
      </c>
      <c r="X110" s="27" t="inlineStr">
        <is>
          <t>Nq =</t>
        </is>
      </c>
      <c r="Y110" s="13" t="n"/>
      <c r="Z110" s="13" t="n"/>
      <c r="AA110" s="61">
        <f>EXP(PI()*TAN(RADIANS($AA$106)))*TAN(RADIANS(45+$AA$106/2))^2</f>
        <v/>
      </c>
      <c r="AB110" s="13" t="n"/>
      <c r="AC110" s="13" t="n"/>
      <c r="AD110" s="25" t="inlineStr">
        <is>
          <t>-</t>
        </is>
      </c>
      <c r="AF110" s="15" t="n"/>
    </row>
    <row r="111">
      <c r="B111" s="9" t="n"/>
      <c r="C111" s="25" t="inlineStr">
        <is>
          <t>Bearing capacity factor (Vesic)</t>
        </is>
      </c>
      <c r="O111" s="26" t="inlineStr">
        <is>
          <t>Nγ = 2(Nq+1)·tanφ</t>
        </is>
      </c>
      <c r="X111" s="27" t="inlineStr">
        <is>
          <t>Nγ =</t>
        </is>
      </c>
      <c r="Y111" s="13" t="n"/>
      <c r="Z111" s="13" t="n"/>
      <c r="AA111" s="61">
        <f>2*($AA$110+1)*TAN(RADIANS($AA$106))</f>
        <v/>
      </c>
      <c r="AB111" s="13" t="n"/>
      <c r="AC111" s="13" t="n"/>
      <c r="AD111" s="25" t="inlineStr">
        <is>
          <t>-</t>
        </is>
      </c>
      <c r="AF111" s="15" t="n"/>
    </row>
    <row r="112">
      <c r="B112" s="9" t="n"/>
      <c r="C112" s="25" t="inlineStr">
        <is>
          <t>Shape and size factors</t>
        </is>
      </c>
      <c r="O112" s="26" t="inlineStr">
        <is>
          <t>sγ = 1-0.4B/L; rγ = 1-0.25log(B/2)</t>
        </is>
      </c>
      <c r="X112" s="27" t="inlineStr">
        <is>
          <t>sγ·rγ =</t>
        </is>
      </c>
      <c r="Y112" s="13" t="n"/>
      <c r="Z112" s="13" t="n"/>
      <c r="AA112" s="72">
        <f>(1-0.4*Input!$AA$15/Input!$AA$16)*IF(Input!$AA$15&gt;2,1-0.25*LOG10(Input!$AA$15/2),1)</f>
        <v/>
      </c>
      <c r="AB112" s="13" t="n"/>
      <c r="AC112" s="13" t="n"/>
      <c r="AD112" s="25" t="inlineStr">
        <is>
          <t>-</t>
        </is>
      </c>
      <c r="AF112" s="15" t="n"/>
    </row>
    <row r="113">
      <c r="B113" s="9" t="n"/>
      <c r="C113" s="25" t="inlineStr">
        <is>
          <t>Ultimate capacity, drained</t>
        </is>
      </c>
      <c r="O113" s="26" t="inlineStr">
        <is>
          <t>qu = 0.5·γ'·B·Nγ·sγ·rγ</t>
        </is>
      </c>
      <c r="X113" s="27" t="inlineStr">
        <is>
          <t>qu,d =</t>
        </is>
      </c>
      <c r="Y113" s="13" t="n"/>
      <c r="Z113" s="13" t="n"/>
      <c r="AA113" s="62">
        <f>0.5*$AA$107*Input!$AA$15*$AA$111*$AA$112</f>
        <v/>
      </c>
      <c r="AB113" s="13" t="n"/>
      <c r="AC113" s="13" t="n"/>
      <c r="AD113" s="25" t="inlineStr">
        <is>
          <t>kPa</t>
        </is>
      </c>
      <c r="AF113" s="15" t="n"/>
    </row>
    <row r="114">
      <c r="B114" s="9" t="n"/>
      <c r="C114" s="25" t="inlineStr">
        <is>
          <t>Governing ultimate bearing capacity</t>
        </is>
      </c>
      <c r="O114" s="26" t="inlineStr">
        <is>
          <t>min (undrained, drained)</t>
        </is>
      </c>
      <c r="X114" s="27" t="inlineStr">
        <is>
          <t>qu =</t>
        </is>
      </c>
      <c r="Y114" s="13" t="n"/>
      <c r="Z114" s="13" t="n"/>
      <c r="AA114" s="30">
        <f>IF($AA$104=0,$AA$113,MIN($AA$109,$AA$113))</f>
        <v/>
      </c>
      <c r="AB114" s="13" t="n"/>
      <c r="AC114" s="13" t="n"/>
      <c r="AD114" s="25" t="inlineStr">
        <is>
          <t>kPa</t>
        </is>
      </c>
      <c r="AF114" s="15" t="n"/>
    </row>
    <row r="115">
      <c r="B115" s="9" t="n"/>
      <c r="C115" s="25" t="inlineStr">
        <is>
          <t>Allowable bearing capacity</t>
        </is>
      </c>
      <c r="O115" s="26" t="inlineStr">
        <is>
          <t>qall = qu / SF</t>
        </is>
      </c>
      <c r="X115" s="27" t="inlineStr">
        <is>
          <t>qall =</t>
        </is>
      </c>
      <c r="Y115" s="13" t="n"/>
      <c r="Z115" s="13" t="n"/>
      <c r="AA115" s="30">
        <f>$AA$114/Input!$AA$19</f>
        <v/>
      </c>
      <c r="AB115" s="13" t="n"/>
      <c r="AC115" s="13" t="n"/>
      <c r="AD115" s="25" t="inlineStr">
        <is>
          <t>kPa</t>
        </is>
      </c>
      <c r="AF115" s="15" t="n"/>
    </row>
    <row r="116">
      <c r="B116" s="9" t="n"/>
      <c r="C116" s="25" t="inlineStr">
        <is>
          <t>Working pressure</t>
        </is>
      </c>
      <c r="O116" s="26" t="inlineStr">
        <is>
          <t>q = Hf·γf + qs</t>
        </is>
      </c>
      <c r="X116" s="27" t="inlineStr">
        <is>
          <t>q =</t>
        </is>
      </c>
      <c r="Y116" s="13" t="n"/>
      <c r="Z116" s="13" t="n"/>
      <c r="AA116" s="62">
        <f>Input!$AA$14</f>
        <v/>
      </c>
      <c r="AB116" s="13" t="n"/>
      <c r="AC116" s="13" t="n"/>
      <c r="AD116" s="25" t="inlineStr">
        <is>
          <t>kPa</t>
        </is>
      </c>
      <c r="AF116" s="15" t="n"/>
    </row>
    <row r="117">
      <c r="B117" s="9" t="n"/>
      <c r="C117" s="25" t="inlineStr">
        <is>
          <t>Actual factor of safety</t>
        </is>
      </c>
      <c r="O117" s="26" t="inlineStr">
        <is>
          <t>FS = qu / q</t>
        </is>
      </c>
      <c r="X117" s="27" t="inlineStr">
        <is>
          <t>FS =</t>
        </is>
      </c>
      <c r="Y117" s="13" t="n"/>
      <c r="Z117" s="13" t="n"/>
      <c r="AA117" s="61">
        <f>$AA$114/Input!$AA$14</f>
        <v/>
      </c>
      <c r="AB117" s="13" t="n"/>
      <c r="AC117" s="13" t="n"/>
      <c r="AD117" s="25" t="inlineStr">
        <is>
          <t>-</t>
        </is>
      </c>
      <c r="AF117" s="15" t="n"/>
    </row>
    <row r="118">
      <c r="B118" s="9" t="n"/>
      <c r="C118" s="25" t="inlineStr">
        <is>
          <t>Allowable fill height with surcharge</t>
        </is>
      </c>
      <c r="O118" s="26" t="inlineStr">
        <is>
          <t>Hall = (qall - qs) / γf</t>
        </is>
      </c>
      <c r="X118" s="27" t="inlineStr">
        <is>
          <t>Hall =</t>
        </is>
      </c>
      <c r="Y118" s="13" t="n"/>
      <c r="Z118" s="13" t="n"/>
      <c r="AA118" s="61">
        <f>MAX(0,($AA$115-Input!$AA$13)/Input!$AA$12)</f>
        <v/>
      </c>
      <c r="AB118" s="13" t="n"/>
      <c r="AC118" s="13" t="n"/>
      <c r="AD118" s="25" t="inlineStr">
        <is>
          <t>m</t>
        </is>
      </c>
      <c r="AF118" s="15" t="n"/>
    </row>
    <row r="119">
      <c r="B119" s="9" t="n"/>
      <c r="C119" s="11" t="inlineStr">
        <is>
          <t>Bearing capacity check</t>
        </is>
      </c>
      <c r="X119" s="73">
        <f>IF($AA$115&gt;=Input!$AA$14,"qall ≥ q …. OK!!","qall &lt; q …. NG!!")</f>
        <v/>
      </c>
      <c r="Y119" s="13" t="n"/>
      <c r="Z119" s="13" t="n"/>
      <c r="AA119" s="13" t="n"/>
      <c r="AB119" s="13" t="n"/>
      <c r="AC119" s="13" t="n"/>
      <c r="AD119" s="13" t="n"/>
      <c r="AE119" s="13" t="n"/>
      <c r="AF119" s="15" t="n"/>
    </row>
    <row r="120">
      <c r="B120" s="9" t="n"/>
      <c r="AF120" s="15" t="n"/>
    </row>
    <row r="121">
      <c r="B121" s="9" t="n"/>
      <c r="C121" s="11" t="inlineStr">
        <is>
          <t>3.3. Granular soil - allowable pressure for 25 mm settlement (Meyerhof 1965, Bowles 1996)</t>
        </is>
      </c>
      <c r="AF121" s="15" t="n"/>
    </row>
    <row r="122">
      <c r="B122" s="9" t="n"/>
      <c r="C122" s="25" t="inlineStr">
        <is>
          <t>Average N60 of sand layers within 0 - Hb</t>
        </is>
      </c>
      <c r="O122" s="26" t="inlineStr"/>
      <c r="X122" s="27" t="inlineStr">
        <is>
          <t>N60 =</t>
        </is>
      </c>
      <c r="Y122" s="13" t="n"/>
      <c r="Z122" s="13" t="n"/>
      <c r="AA122" s="62">
        <f>IFERROR(SUMPRODUCT(--(AM28:AM68="Sand"),BN28:BN68,AN28:AN68)/SUMPRODUCT(--(AM28:AM68="Sand"),BN28:BN68)*Input!$AA$32,"n/a")</f>
        <v/>
      </c>
      <c r="AB122" s="13" t="n"/>
      <c r="AC122" s="13" t="n"/>
      <c r="AD122" s="25" t="inlineStr">
        <is>
          <t>-</t>
        </is>
      </c>
      <c r="AF122" s="15" t="n"/>
    </row>
    <row r="123">
      <c r="B123" s="9" t="n"/>
      <c r="C123" s="25" t="inlineStr">
        <is>
          <t>Allowable pressure (S = 25 mm, Kd = 1)</t>
        </is>
      </c>
      <c r="O123" s="26" t="inlineStr">
        <is>
          <t>qa = (N55/0.08)·((B+0.3)/B)²</t>
        </is>
      </c>
      <c r="X123" s="27" t="inlineStr">
        <is>
          <t>qa =</t>
        </is>
      </c>
      <c r="Y123" s="13" t="n"/>
      <c r="Z123" s="13" t="n"/>
      <c r="AA123" s="62">
        <f>IFERROR(($AA$122*60/55)/0.08*((Input!$AA$15+0.3)/Input!$AA$15)^2,"n/a")</f>
        <v/>
      </c>
      <c r="AB123" s="13" t="n"/>
      <c r="AC123" s="13" t="n"/>
      <c r="AD123" s="25" t="inlineStr">
        <is>
          <t>kPa</t>
        </is>
      </c>
      <c r="AF123" s="15" t="n"/>
    </row>
    <row r="124">
      <c r="B124" s="9" t="n"/>
      <c r="C124" s="24" t="inlineStr">
        <is>
          <t>For granular soil the shear capacity is normally far above the applied load; settlement governs the design (Section 4).</t>
        </is>
      </c>
      <c r="AF124" s="15" t="n"/>
    </row>
    <row r="125">
      <c r="B125" s="9" t="n"/>
      <c r="AF125" s="15" t="n"/>
    </row>
    <row r="126">
      <c r="B126" s="9" t="n"/>
      <c r="AF126" s="15" t="n"/>
    </row>
    <row r="127">
      <c r="B127" s="9" t="n"/>
      <c r="AF127" s="15" t="n"/>
    </row>
    <row r="128">
      <c r="B128" s="9" t="n"/>
      <c r="AF128" s="15" t="n"/>
    </row>
    <row r="129">
      <c r="B129" s="9" t="n"/>
      <c r="AF129" s="15" t="n"/>
    </row>
    <row r="130">
      <c r="B130" s="9" t="n"/>
      <c r="AF130" s="15" t="n"/>
    </row>
    <row r="131">
      <c r="B131" s="9" t="n"/>
      <c r="AF131" s="15" t="n"/>
    </row>
    <row r="132">
      <c r="B132" s="9" t="n"/>
      <c r="AF132" s="15" t="n"/>
    </row>
    <row r="133">
      <c r="B133" s="9" t="n"/>
      <c r="AF133" s="15" t="n"/>
    </row>
    <row r="134">
      <c r="B134" s="9" t="n"/>
      <c r="AF134" s="15" t="n"/>
    </row>
    <row r="135">
      <c r="B135" s="9" t="n"/>
      <c r="AF135" s="15" t="n"/>
    </row>
    <row r="136">
      <c r="B136" s="9" t="n"/>
      <c r="AF136" s="15" t="n"/>
    </row>
    <row r="137">
      <c r="B137" s="9" t="n"/>
      <c r="AF137" s="15" t="n"/>
    </row>
    <row r="138">
      <c r="B138" s="9" t="n"/>
      <c r="AF138" s="15" t="n"/>
    </row>
    <row r="139">
      <c r="B139" s="9" t="n"/>
      <c r="AF139" s="15" t="n"/>
    </row>
    <row r="140">
      <c r="B140" s="9" t="n"/>
      <c r="AF140" s="15" t="n"/>
    </row>
    <row r="141">
      <c r="B141" s="9" t="n"/>
      <c r="AF141" s="15" t="n"/>
    </row>
    <row r="142">
      <c r="B142" s="9" t="n"/>
      <c r="AF142" s="15" t="n"/>
    </row>
    <row r="143">
      <c r="B143" s="9" t="n"/>
      <c r="AF143" s="15" t="n"/>
    </row>
    <row r="144">
      <c r="B144" s="9" t="n"/>
      <c r="AF144" s="15" t="n"/>
    </row>
    <row r="145">
      <c r="B145" s="47" t="n"/>
      <c r="C145" s="48" t="n"/>
      <c r="D145" s="48" t="n"/>
      <c r="E145" s="48" t="n"/>
      <c r="F145" s="48" t="n"/>
      <c r="G145" s="48" t="n"/>
      <c r="H145" s="48" t="n"/>
      <c r="I145" s="48" t="n"/>
      <c r="J145" s="48" t="n"/>
      <c r="K145" s="48" t="n"/>
      <c r="L145" s="48" t="n"/>
      <c r="M145" s="48" t="n"/>
      <c r="N145" s="48" t="n"/>
      <c r="O145" s="48" t="n"/>
      <c r="P145" s="48" t="n"/>
      <c r="Q145" s="48" t="n"/>
      <c r="R145" s="48" t="n"/>
      <c r="S145" s="48" t="n"/>
      <c r="T145" s="48" t="n"/>
      <c r="U145" s="48" t="n"/>
      <c r="V145" s="48" t="n"/>
      <c r="W145" s="48" t="n"/>
      <c r="X145" s="49" t="inlineStr">
        <is>
          <t>Sheet :</t>
        </is>
      </c>
      <c r="Y145" s="48" t="n"/>
      <c r="Z145" s="48" t="n"/>
      <c r="AA145" s="48" t="n"/>
      <c r="AB145" s="49" t="n">
        <v>2</v>
      </c>
      <c r="AC145" s="48" t="n"/>
      <c r="AD145" s="48" t="n"/>
      <c r="AE145" s="48" t="n"/>
      <c r="AF145" s="50" t="n"/>
    </row>
    <row r="146">
      <c r="B146" s="1" t="n"/>
      <c r="C146" s="2" t="inlineStr">
        <is>
          <t>PROJECT :</t>
        </is>
      </c>
      <c r="D146" s="3" t="n"/>
      <c r="E146" s="3" t="n"/>
      <c r="F146" s="3" t="n"/>
      <c r="G146" s="3" t="n"/>
      <c r="H146" s="4" t="inlineStr">
        <is>
          <t>GEOTHERMAL WELLPAD PSPE BORA PULU - SIGI, CENTRAL SULAWESI</t>
        </is>
      </c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5" t="inlineStr">
        <is>
          <t>Prepared by :</t>
        </is>
      </c>
      <c r="Y146" s="6" t="n"/>
      <c r="Z146" s="6" t="n"/>
      <c r="AA146" s="6" t="n"/>
      <c r="AB146" s="7" t="inlineStr">
        <is>
          <t>Date</t>
        </is>
      </c>
      <c r="AC146" s="6" t="n"/>
      <c r="AD146" s="6" t="n"/>
      <c r="AE146" s="6" t="n"/>
      <c r="AF146" s="8" t="n"/>
    </row>
    <row r="147">
      <c r="B147" s="9" t="n"/>
      <c r="C147" s="10" t="inlineStr">
        <is>
          <t>CLIENT :</t>
        </is>
      </c>
      <c r="H147" s="11" t="inlineStr">
        <is>
          <t>PT EDC PANAS BUMI INDONESIA</t>
        </is>
      </c>
      <c r="X147" s="12" t="inlineStr">
        <is>
          <t>DF</t>
        </is>
      </c>
      <c r="Y147" s="13" t="n"/>
      <c r="Z147" s="13" t="n"/>
      <c r="AA147" s="13" t="n"/>
      <c r="AB147" s="14" t="n">
        <v>46301</v>
      </c>
      <c r="AC147" s="13" t="n"/>
      <c r="AD147" s="13" t="n"/>
      <c r="AE147" s="13" t="n"/>
      <c r="AF147" s="15" t="n"/>
    </row>
    <row r="148">
      <c r="B148" s="9" t="n"/>
      <c r="C148" s="10" t="inlineStr">
        <is>
          <t>LOCATION :</t>
        </is>
      </c>
      <c r="H148" s="11" t="inlineStr">
        <is>
          <t>BH-02 (Wellpad A)</t>
        </is>
      </c>
      <c r="X148" s="12" t="inlineStr">
        <is>
          <t>Verified by :</t>
        </is>
      </c>
      <c r="Y148" s="13" t="n"/>
      <c r="Z148" s="13" t="n"/>
      <c r="AA148" s="13" t="n"/>
      <c r="AB148" s="14" t="inlineStr">
        <is>
          <t>Date</t>
        </is>
      </c>
      <c r="AC148" s="13" t="n"/>
      <c r="AD148" s="13" t="n"/>
      <c r="AE148" s="13" t="n"/>
      <c r="AF148" s="15" t="n"/>
    </row>
    <row r="149">
      <c r="B149" s="16" t="n"/>
      <c r="C149" s="17" t="inlineStr">
        <is>
          <t>SHEET :</t>
        </is>
      </c>
      <c r="D149" s="18" t="n"/>
      <c r="E149" s="18" t="n"/>
      <c r="F149" s="18" t="n"/>
      <c r="G149" s="18" t="n"/>
      <c r="H149" s="19" t="inlineStr">
        <is>
          <t>BEARING CAPACITY AND SETTLEMENT OF SUBGRADE</t>
        </is>
      </c>
      <c r="I149" s="18" t="n"/>
      <c r="J149" s="18" t="n"/>
      <c r="K149" s="18" t="n"/>
      <c r="L149" s="18" t="n"/>
      <c r="M149" s="18" t="n"/>
      <c r="N149" s="18" t="n"/>
      <c r="O149" s="18" t="n"/>
      <c r="P149" s="18" t="n"/>
      <c r="Q149" s="18" t="n"/>
      <c r="R149" s="18" t="n"/>
      <c r="S149" s="18" t="n"/>
      <c r="T149" s="18" t="n"/>
      <c r="U149" s="18" t="n"/>
      <c r="V149" s="18" t="n"/>
      <c r="W149" s="18" t="n"/>
      <c r="X149" s="20" t="inlineStr">
        <is>
          <t>BC</t>
        </is>
      </c>
      <c r="Y149" s="21" t="n"/>
      <c r="Z149" s="21" t="n"/>
      <c r="AA149" s="21" t="n"/>
      <c r="AB149" s="22" t="n">
        <v>46301</v>
      </c>
      <c r="AC149" s="21" t="n"/>
      <c r="AD149" s="21" t="n"/>
      <c r="AE149" s="21" t="n"/>
      <c r="AF149" s="23" t="n"/>
    </row>
    <row r="150">
      <c r="B150" s="9" t="n"/>
      <c r="AF150" s="15" t="n"/>
    </row>
    <row r="151">
      <c r="B151" s="9" t="n"/>
      <c r="C151" s="11" t="inlineStr">
        <is>
          <t>4. IMMEDIATE SETTLEMENT (design condition)</t>
        </is>
      </c>
      <c r="AF151" s="15" t="n"/>
    </row>
    <row r="152">
      <c r="B152" s="9" t="n"/>
      <c r="C152" s="25" t="inlineStr">
        <is>
          <t>Layered elastic method (Steinbrenner 1934; Bowles 1996) at the centre of a flexible B × L area:</t>
        </is>
      </c>
      <c r="AF152" s="15" t="n"/>
    </row>
    <row r="153">
      <c r="B153" s="9" t="n"/>
      <c r="C153" s="25" t="inlineStr">
        <is>
          <t xml:space="preserve">      Si = 4·q·(B/2)·(1 - ν²)/E · [ΔF1 + (1 - 2ν)/(1 - ν)·ΔF2]   for each sub-layer.</t>
        </is>
      </c>
      <c r="AF153" s="15" t="n"/>
    </row>
    <row r="154">
      <c r="B154" s="9" t="n"/>
      <c r="C154" s="25" t="inlineStr">
        <is>
          <t>Sand: drained modulus E = k·N60 and ν of sand; silt/clay: undrained modulus Eu = k·cu and ν = 0.5.</t>
        </is>
      </c>
      <c r="AF154" s="15" t="n"/>
    </row>
    <row r="155">
      <c r="B155" s="9" t="n"/>
      <c r="C155" s="25" t="inlineStr">
        <is>
          <t>Layers with Δσz &lt; 10 % σ'v0 (below the influence depth) and soil replaced to depth Dr are excluded.</t>
        </is>
      </c>
      <c r="AF155" s="15" t="n"/>
    </row>
    <row r="156">
      <c r="B156" s="9" t="n"/>
      <c r="C156" s="25" t="inlineStr">
        <is>
          <t>Table 2. Immediate settlement of BH-02</t>
        </is>
      </c>
      <c r="AF156" s="15" t="n"/>
    </row>
    <row r="157" ht="27" customHeight="1">
      <c r="B157" s="9" t="n"/>
      <c r="C157" s="33" t="inlineStr">
        <is>
          <t>No</t>
        </is>
      </c>
      <c r="D157" s="34" t="n"/>
      <c r="E157" s="33" t="inlineStr">
        <is>
          <t>Top</t>
        </is>
      </c>
      <c r="F157" s="34" t="n"/>
      <c r="G157" s="34" t="n"/>
      <c r="H157" s="33" t="inlineStr">
        <is>
          <t>Bottom</t>
        </is>
      </c>
      <c r="I157" s="34" t="n"/>
      <c r="J157" s="34" t="n"/>
      <c r="K157" s="33" t="inlineStr">
        <is>
          <t>Soil</t>
        </is>
      </c>
      <c r="L157" s="34" t="n"/>
      <c r="M157" s="34" t="n"/>
      <c r="N157" s="33" t="inlineStr">
        <is>
          <t>E</t>
        </is>
      </c>
      <c r="O157" s="34" t="n"/>
      <c r="P157" s="34" t="n"/>
      <c r="Q157" s="33" t="inlineStr">
        <is>
          <t>ν</t>
        </is>
      </c>
      <c r="R157" s="34" t="n"/>
      <c r="S157" s="33" t="inlineStr">
        <is>
          <t>σ'v0</t>
        </is>
      </c>
      <c r="T157" s="34" t="n"/>
      <c r="U157" s="34" t="n"/>
      <c r="V157" s="33" t="inlineStr">
        <is>
          <t>Δσz</t>
        </is>
      </c>
      <c r="W157" s="34" t="n"/>
      <c r="X157" s="34" t="n"/>
      <c r="Y157" s="33" t="inlineStr">
        <is>
          <t>F1</t>
        </is>
      </c>
      <c r="Z157" s="34" t="n"/>
      <c r="AA157" s="33" t="inlineStr">
        <is>
          <t>F2</t>
        </is>
      </c>
      <c r="AB157" s="34" t="n"/>
      <c r="AC157" s="33" t="inlineStr">
        <is>
          <t>Si</t>
        </is>
      </c>
      <c r="AD157" s="34" t="n"/>
      <c r="AE157" s="34" t="n"/>
      <c r="AF157" s="15" t="n"/>
    </row>
    <row r="158">
      <c r="B158" s="9" t="n"/>
      <c r="C158" s="35" t="inlineStr"/>
      <c r="D158" s="36" t="n"/>
      <c r="E158" s="35" t="inlineStr">
        <is>
          <t>m</t>
        </is>
      </c>
      <c r="F158" s="36" t="n"/>
      <c r="G158" s="36" t="n"/>
      <c r="H158" s="35" t="inlineStr">
        <is>
          <t>m</t>
        </is>
      </c>
      <c r="I158" s="36" t="n"/>
      <c r="J158" s="36" t="n"/>
      <c r="K158" s="35" t="inlineStr"/>
      <c r="L158" s="36" t="n"/>
      <c r="M158" s="36" t="n"/>
      <c r="N158" s="35" t="inlineStr">
        <is>
          <t>kPa</t>
        </is>
      </c>
      <c r="O158" s="36" t="n"/>
      <c r="P158" s="36" t="n"/>
      <c r="Q158" s="35" t="inlineStr">
        <is>
          <t>-</t>
        </is>
      </c>
      <c r="R158" s="36" t="n"/>
      <c r="S158" s="35" t="inlineStr">
        <is>
          <t>kPa</t>
        </is>
      </c>
      <c r="T158" s="36" t="n"/>
      <c r="U158" s="36" t="n"/>
      <c r="V158" s="35" t="inlineStr">
        <is>
          <t>kPa</t>
        </is>
      </c>
      <c r="W158" s="36" t="n"/>
      <c r="X158" s="36" t="n"/>
      <c r="Y158" s="35" t="inlineStr">
        <is>
          <t>-</t>
        </is>
      </c>
      <c r="Z158" s="36" t="n"/>
      <c r="AA158" s="35" t="inlineStr">
        <is>
          <t>-</t>
        </is>
      </c>
      <c r="AB158" s="36" t="n"/>
      <c r="AC158" s="35" t="inlineStr">
        <is>
          <t>mm</t>
        </is>
      </c>
      <c r="AD158" s="36" t="n"/>
      <c r="AE158" s="36" t="n"/>
      <c r="AF158" s="15" t="n"/>
    </row>
    <row r="159">
      <c r="B159" s="9" t="n"/>
      <c r="C159" s="57" t="n">
        <v>1</v>
      </c>
      <c r="D159" s="41" t="n"/>
      <c r="E159" s="55">
        <f>AI28</f>
        <v/>
      </c>
      <c r="F159" s="41" t="n"/>
      <c r="G159" s="41" t="n"/>
      <c r="H159" s="55">
        <f>AJ28</f>
        <v/>
      </c>
      <c r="I159" s="41" t="n"/>
      <c r="J159" s="41" t="n"/>
      <c r="K159" s="52">
        <f>AM28</f>
        <v/>
      </c>
      <c r="L159" s="41" t="n"/>
      <c r="M159" s="41" t="n"/>
      <c r="N159" s="54">
        <f>AX28</f>
        <v/>
      </c>
      <c r="O159" s="41" t="n"/>
      <c r="P159" s="41" t="n"/>
      <c r="Q159" s="53">
        <f>AY28</f>
        <v/>
      </c>
      <c r="R159" s="41" t="n"/>
      <c r="S159" s="53">
        <f>AQ28</f>
        <v/>
      </c>
      <c r="T159" s="41" t="n"/>
      <c r="U159" s="41" t="n"/>
      <c r="V159" s="53">
        <f>BC28</f>
        <v/>
      </c>
      <c r="W159" s="41" t="n"/>
      <c r="X159" s="41" t="n"/>
      <c r="Y159" s="40">
        <f>BD28</f>
        <v/>
      </c>
      <c r="Z159" s="41" t="n"/>
      <c r="AA159" s="40">
        <f>BE28</f>
        <v/>
      </c>
      <c r="AB159" s="41" t="n"/>
      <c r="AC159" s="53">
        <f>BG28</f>
        <v/>
      </c>
      <c r="AD159" s="41" t="n"/>
      <c r="AE159" s="41" t="n"/>
      <c r="AF159" s="15" t="n"/>
    </row>
    <row r="160">
      <c r="B160" s="9" t="n"/>
      <c r="C160" s="57" t="n">
        <v>2</v>
      </c>
      <c r="D160" s="41" t="n"/>
      <c r="E160" s="55">
        <f>AI29</f>
        <v/>
      </c>
      <c r="F160" s="41" t="n"/>
      <c r="G160" s="41" t="n"/>
      <c r="H160" s="55">
        <f>AJ29</f>
        <v/>
      </c>
      <c r="I160" s="41" t="n"/>
      <c r="J160" s="41" t="n"/>
      <c r="K160" s="52">
        <f>AM29</f>
        <v/>
      </c>
      <c r="L160" s="41" t="n"/>
      <c r="M160" s="41" t="n"/>
      <c r="N160" s="54">
        <f>AX29</f>
        <v/>
      </c>
      <c r="O160" s="41" t="n"/>
      <c r="P160" s="41" t="n"/>
      <c r="Q160" s="53">
        <f>AY29</f>
        <v/>
      </c>
      <c r="R160" s="41" t="n"/>
      <c r="S160" s="53">
        <f>AQ29</f>
        <v/>
      </c>
      <c r="T160" s="41" t="n"/>
      <c r="U160" s="41" t="n"/>
      <c r="V160" s="53">
        <f>BC29</f>
        <v/>
      </c>
      <c r="W160" s="41" t="n"/>
      <c r="X160" s="41" t="n"/>
      <c r="Y160" s="40">
        <f>BD29</f>
        <v/>
      </c>
      <c r="Z160" s="41" t="n"/>
      <c r="AA160" s="40">
        <f>BE29</f>
        <v/>
      </c>
      <c r="AB160" s="41" t="n"/>
      <c r="AC160" s="53">
        <f>BG29</f>
        <v/>
      </c>
      <c r="AD160" s="41" t="n"/>
      <c r="AE160" s="41" t="n"/>
      <c r="AF160" s="15" t="n"/>
    </row>
    <row r="161">
      <c r="B161" s="9" t="n"/>
      <c r="C161" s="57" t="n">
        <v>3</v>
      </c>
      <c r="D161" s="41" t="n"/>
      <c r="E161" s="55">
        <f>AI30</f>
        <v/>
      </c>
      <c r="F161" s="41" t="n"/>
      <c r="G161" s="41" t="n"/>
      <c r="H161" s="55">
        <f>AJ30</f>
        <v/>
      </c>
      <c r="I161" s="41" t="n"/>
      <c r="J161" s="41" t="n"/>
      <c r="K161" s="52">
        <f>AM30</f>
        <v/>
      </c>
      <c r="L161" s="41" t="n"/>
      <c r="M161" s="41" t="n"/>
      <c r="N161" s="54">
        <f>AX30</f>
        <v/>
      </c>
      <c r="O161" s="41" t="n"/>
      <c r="P161" s="41" t="n"/>
      <c r="Q161" s="53">
        <f>AY30</f>
        <v/>
      </c>
      <c r="R161" s="41" t="n"/>
      <c r="S161" s="53">
        <f>AQ30</f>
        <v/>
      </c>
      <c r="T161" s="41" t="n"/>
      <c r="U161" s="41" t="n"/>
      <c r="V161" s="53">
        <f>BC30</f>
        <v/>
      </c>
      <c r="W161" s="41" t="n"/>
      <c r="X161" s="41" t="n"/>
      <c r="Y161" s="40">
        <f>BD30</f>
        <v/>
      </c>
      <c r="Z161" s="41" t="n"/>
      <c r="AA161" s="40">
        <f>BE30</f>
        <v/>
      </c>
      <c r="AB161" s="41" t="n"/>
      <c r="AC161" s="53">
        <f>BG30</f>
        <v/>
      </c>
      <c r="AD161" s="41" t="n"/>
      <c r="AE161" s="41" t="n"/>
      <c r="AF161" s="15" t="n"/>
    </row>
    <row r="162">
      <c r="B162" s="9" t="n"/>
      <c r="C162" s="57" t="n">
        <v>4</v>
      </c>
      <c r="D162" s="41" t="n"/>
      <c r="E162" s="55">
        <f>AI31</f>
        <v/>
      </c>
      <c r="F162" s="41" t="n"/>
      <c r="G162" s="41" t="n"/>
      <c r="H162" s="55">
        <f>AJ31</f>
        <v/>
      </c>
      <c r="I162" s="41" t="n"/>
      <c r="J162" s="41" t="n"/>
      <c r="K162" s="52">
        <f>AM31</f>
        <v/>
      </c>
      <c r="L162" s="41" t="n"/>
      <c r="M162" s="41" t="n"/>
      <c r="N162" s="54">
        <f>AX31</f>
        <v/>
      </c>
      <c r="O162" s="41" t="n"/>
      <c r="P162" s="41" t="n"/>
      <c r="Q162" s="53">
        <f>AY31</f>
        <v/>
      </c>
      <c r="R162" s="41" t="n"/>
      <c r="S162" s="53">
        <f>AQ31</f>
        <v/>
      </c>
      <c r="T162" s="41" t="n"/>
      <c r="U162" s="41" t="n"/>
      <c r="V162" s="53">
        <f>BC31</f>
        <v/>
      </c>
      <c r="W162" s="41" t="n"/>
      <c r="X162" s="41" t="n"/>
      <c r="Y162" s="40">
        <f>BD31</f>
        <v/>
      </c>
      <c r="Z162" s="41" t="n"/>
      <c r="AA162" s="40">
        <f>BE31</f>
        <v/>
      </c>
      <c r="AB162" s="41" t="n"/>
      <c r="AC162" s="53">
        <f>BG31</f>
        <v/>
      </c>
      <c r="AD162" s="41" t="n"/>
      <c r="AE162" s="41" t="n"/>
      <c r="AF162" s="15" t="n"/>
    </row>
    <row r="163">
      <c r="B163" s="9" t="n"/>
      <c r="C163" s="57" t="n">
        <v>5</v>
      </c>
      <c r="D163" s="41" t="n"/>
      <c r="E163" s="55">
        <f>AI32</f>
        <v/>
      </c>
      <c r="F163" s="41" t="n"/>
      <c r="G163" s="41" t="n"/>
      <c r="H163" s="55">
        <f>AJ32</f>
        <v/>
      </c>
      <c r="I163" s="41" t="n"/>
      <c r="J163" s="41" t="n"/>
      <c r="K163" s="52">
        <f>AM32</f>
        <v/>
      </c>
      <c r="L163" s="41" t="n"/>
      <c r="M163" s="41" t="n"/>
      <c r="N163" s="54">
        <f>AX32</f>
        <v/>
      </c>
      <c r="O163" s="41" t="n"/>
      <c r="P163" s="41" t="n"/>
      <c r="Q163" s="53">
        <f>AY32</f>
        <v/>
      </c>
      <c r="R163" s="41" t="n"/>
      <c r="S163" s="53">
        <f>AQ32</f>
        <v/>
      </c>
      <c r="T163" s="41" t="n"/>
      <c r="U163" s="41" t="n"/>
      <c r="V163" s="53">
        <f>BC32</f>
        <v/>
      </c>
      <c r="W163" s="41" t="n"/>
      <c r="X163" s="41" t="n"/>
      <c r="Y163" s="40">
        <f>BD32</f>
        <v/>
      </c>
      <c r="Z163" s="41" t="n"/>
      <c r="AA163" s="40">
        <f>BE32</f>
        <v/>
      </c>
      <c r="AB163" s="41" t="n"/>
      <c r="AC163" s="53">
        <f>BG32</f>
        <v/>
      </c>
      <c r="AD163" s="41" t="n"/>
      <c r="AE163" s="41" t="n"/>
      <c r="AF163" s="15" t="n"/>
    </row>
    <row r="164">
      <c r="B164" s="9" t="n"/>
      <c r="C164" s="57" t="n">
        <v>6</v>
      </c>
      <c r="D164" s="41" t="n"/>
      <c r="E164" s="55">
        <f>AI33</f>
        <v/>
      </c>
      <c r="F164" s="41" t="n"/>
      <c r="G164" s="41" t="n"/>
      <c r="H164" s="55">
        <f>AJ33</f>
        <v/>
      </c>
      <c r="I164" s="41" t="n"/>
      <c r="J164" s="41" t="n"/>
      <c r="K164" s="52">
        <f>AM33</f>
        <v/>
      </c>
      <c r="L164" s="41" t="n"/>
      <c r="M164" s="41" t="n"/>
      <c r="N164" s="54">
        <f>AX33</f>
        <v/>
      </c>
      <c r="O164" s="41" t="n"/>
      <c r="P164" s="41" t="n"/>
      <c r="Q164" s="53">
        <f>AY33</f>
        <v/>
      </c>
      <c r="R164" s="41" t="n"/>
      <c r="S164" s="53">
        <f>AQ33</f>
        <v/>
      </c>
      <c r="T164" s="41" t="n"/>
      <c r="U164" s="41" t="n"/>
      <c r="V164" s="53">
        <f>BC33</f>
        <v/>
      </c>
      <c r="W164" s="41" t="n"/>
      <c r="X164" s="41" t="n"/>
      <c r="Y164" s="40">
        <f>BD33</f>
        <v/>
      </c>
      <c r="Z164" s="41" t="n"/>
      <c r="AA164" s="40">
        <f>BE33</f>
        <v/>
      </c>
      <c r="AB164" s="41" t="n"/>
      <c r="AC164" s="53">
        <f>BG33</f>
        <v/>
      </c>
      <c r="AD164" s="41" t="n"/>
      <c r="AE164" s="41" t="n"/>
      <c r="AF164" s="15" t="n"/>
    </row>
    <row r="165">
      <c r="B165" s="9" t="n"/>
      <c r="C165" s="57" t="n">
        <v>7</v>
      </c>
      <c r="D165" s="41" t="n"/>
      <c r="E165" s="55">
        <f>AI34</f>
        <v/>
      </c>
      <c r="F165" s="41" t="n"/>
      <c r="G165" s="41" t="n"/>
      <c r="H165" s="55">
        <f>AJ34</f>
        <v/>
      </c>
      <c r="I165" s="41" t="n"/>
      <c r="J165" s="41" t="n"/>
      <c r="K165" s="52">
        <f>AM34</f>
        <v/>
      </c>
      <c r="L165" s="41" t="n"/>
      <c r="M165" s="41" t="n"/>
      <c r="N165" s="54">
        <f>AX34</f>
        <v/>
      </c>
      <c r="O165" s="41" t="n"/>
      <c r="P165" s="41" t="n"/>
      <c r="Q165" s="53">
        <f>AY34</f>
        <v/>
      </c>
      <c r="R165" s="41" t="n"/>
      <c r="S165" s="53">
        <f>AQ34</f>
        <v/>
      </c>
      <c r="T165" s="41" t="n"/>
      <c r="U165" s="41" t="n"/>
      <c r="V165" s="53">
        <f>BC34</f>
        <v/>
      </c>
      <c r="W165" s="41" t="n"/>
      <c r="X165" s="41" t="n"/>
      <c r="Y165" s="40">
        <f>BD34</f>
        <v/>
      </c>
      <c r="Z165" s="41" t="n"/>
      <c r="AA165" s="40">
        <f>BE34</f>
        <v/>
      </c>
      <c r="AB165" s="41" t="n"/>
      <c r="AC165" s="53">
        <f>BG34</f>
        <v/>
      </c>
      <c r="AD165" s="41" t="n"/>
      <c r="AE165" s="41" t="n"/>
      <c r="AF165" s="15" t="n"/>
    </row>
    <row r="166">
      <c r="B166" s="9" t="n"/>
      <c r="C166" s="57" t="n">
        <v>8</v>
      </c>
      <c r="D166" s="41" t="n"/>
      <c r="E166" s="55">
        <f>AI35</f>
        <v/>
      </c>
      <c r="F166" s="41" t="n"/>
      <c r="G166" s="41" t="n"/>
      <c r="H166" s="55">
        <f>AJ35</f>
        <v/>
      </c>
      <c r="I166" s="41" t="n"/>
      <c r="J166" s="41" t="n"/>
      <c r="K166" s="52">
        <f>AM35</f>
        <v/>
      </c>
      <c r="L166" s="41" t="n"/>
      <c r="M166" s="41" t="n"/>
      <c r="N166" s="54">
        <f>AX35</f>
        <v/>
      </c>
      <c r="O166" s="41" t="n"/>
      <c r="P166" s="41" t="n"/>
      <c r="Q166" s="53">
        <f>AY35</f>
        <v/>
      </c>
      <c r="R166" s="41" t="n"/>
      <c r="S166" s="53">
        <f>AQ35</f>
        <v/>
      </c>
      <c r="T166" s="41" t="n"/>
      <c r="U166" s="41" t="n"/>
      <c r="V166" s="53">
        <f>BC35</f>
        <v/>
      </c>
      <c r="W166" s="41" t="n"/>
      <c r="X166" s="41" t="n"/>
      <c r="Y166" s="40">
        <f>BD35</f>
        <v/>
      </c>
      <c r="Z166" s="41" t="n"/>
      <c r="AA166" s="40">
        <f>BE35</f>
        <v/>
      </c>
      <c r="AB166" s="41" t="n"/>
      <c r="AC166" s="53">
        <f>BG35</f>
        <v/>
      </c>
      <c r="AD166" s="41" t="n"/>
      <c r="AE166" s="41" t="n"/>
      <c r="AF166" s="15" t="n"/>
    </row>
    <row r="167">
      <c r="B167" s="9" t="n"/>
      <c r="C167" s="57" t="n">
        <v>9</v>
      </c>
      <c r="D167" s="41" t="n"/>
      <c r="E167" s="55">
        <f>AI36</f>
        <v/>
      </c>
      <c r="F167" s="41" t="n"/>
      <c r="G167" s="41" t="n"/>
      <c r="H167" s="55">
        <f>AJ36</f>
        <v/>
      </c>
      <c r="I167" s="41" t="n"/>
      <c r="J167" s="41" t="n"/>
      <c r="K167" s="52">
        <f>AM36</f>
        <v/>
      </c>
      <c r="L167" s="41" t="n"/>
      <c r="M167" s="41" t="n"/>
      <c r="N167" s="54">
        <f>AX36</f>
        <v/>
      </c>
      <c r="O167" s="41" t="n"/>
      <c r="P167" s="41" t="n"/>
      <c r="Q167" s="53">
        <f>AY36</f>
        <v/>
      </c>
      <c r="R167" s="41" t="n"/>
      <c r="S167" s="53">
        <f>AQ36</f>
        <v/>
      </c>
      <c r="T167" s="41" t="n"/>
      <c r="U167" s="41" t="n"/>
      <c r="V167" s="53">
        <f>BC36</f>
        <v/>
      </c>
      <c r="W167" s="41" t="n"/>
      <c r="X167" s="41" t="n"/>
      <c r="Y167" s="40">
        <f>BD36</f>
        <v/>
      </c>
      <c r="Z167" s="41" t="n"/>
      <c r="AA167" s="40">
        <f>BE36</f>
        <v/>
      </c>
      <c r="AB167" s="41" t="n"/>
      <c r="AC167" s="53">
        <f>BG36</f>
        <v/>
      </c>
      <c r="AD167" s="41" t="n"/>
      <c r="AE167" s="41" t="n"/>
      <c r="AF167" s="15" t="n"/>
    </row>
    <row r="168">
      <c r="B168" s="9" t="n"/>
      <c r="C168" s="57" t="n">
        <v>10</v>
      </c>
      <c r="D168" s="41" t="n"/>
      <c r="E168" s="55">
        <f>AI37</f>
        <v/>
      </c>
      <c r="F168" s="41" t="n"/>
      <c r="G168" s="41" t="n"/>
      <c r="H168" s="55">
        <f>AJ37</f>
        <v/>
      </c>
      <c r="I168" s="41" t="n"/>
      <c r="J168" s="41" t="n"/>
      <c r="K168" s="52">
        <f>AM37</f>
        <v/>
      </c>
      <c r="L168" s="41" t="n"/>
      <c r="M168" s="41" t="n"/>
      <c r="N168" s="54">
        <f>AX37</f>
        <v/>
      </c>
      <c r="O168" s="41" t="n"/>
      <c r="P168" s="41" t="n"/>
      <c r="Q168" s="53">
        <f>AY37</f>
        <v/>
      </c>
      <c r="R168" s="41" t="n"/>
      <c r="S168" s="53">
        <f>AQ37</f>
        <v/>
      </c>
      <c r="T168" s="41" t="n"/>
      <c r="U168" s="41" t="n"/>
      <c r="V168" s="53">
        <f>BC37</f>
        <v/>
      </c>
      <c r="W168" s="41" t="n"/>
      <c r="X168" s="41" t="n"/>
      <c r="Y168" s="40">
        <f>BD37</f>
        <v/>
      </c>
      <c r="Z168" s="41" t="n"/>
      <c r="AA168" s="40">
        <f>BE37</f>
        <v/>
      </c>
      <c r="AB168" s="41" t="n"/>
      <c r="AC168" s="53">
        <f>BG37</f>
        <v/>
      </c>
      <c r="AD168" s="41" t="n"/>
      <c r="AE168" s="41" t="n"/>
      <c r="AF168" s="15" t="n"/>
    </row>
    <row r="169">
      <c r="B169" s="9" t="n"/>
      <c r="C169" s="57" t="n">
        <v>11</v>
      </c>
      <c r="D169" s="41" t="n"/>
      <c r="E169" s="55">
        <f>AI38</f>
        <v/>
      </c>
      <c r="F169" s="41" t="n"/>
      <c r="G169" s="41" t="n"/>
      <c r="H169" s="55">
        <f>AJ38</f>
        <v/>
      </c>
      <c r="I169" s="41" t="n"/>
      <c r="J169" s="41" t="n"/>
      <c r="K169" s="52">
        <f>AM38</f>
        <v/>
      </c>
      <c r="L169" s="41" t="n"/>
      <c r="M169" s="41" t="n"/>
      <c r="N169" s="54">
        <f>AX38</f>
        <v/>
      </c>
      <c r="O169" s="41" t="n"/>
      <c r="P169" s="41" t="n"/>
      <c r="Q169" s="53">
        <f>AY38</f>
        <v/>
      </c>
      <c r="R169" s="41" t="n"/>
      <c r="S169" s="53">
        <f>AQ38</f>
        <v/>
      </c>
      <c r="T169" s="41" t="n"/>
      <c r="U169" s="41" t="n"/>
      <c r="V169" s="53">
        <f>BC38</f>
        <v/>
      </c>
      <c r="W169" s="41" t="n"/>
      <c r="X169" s="41" t="n"/>
      <c r="Y169" s="40">
        <f>BD38</f>
        <v/>
      </c>
      <c r="Z169" s="41" t="n"/>
      <c r="AA169" s="40">
        <f>BE38</f>
        <v/>
      </c>
      <c r="AB169" s="41" t="n"/>
      <c r="AC169" s="53">
        <f>BG38</f>
        <v/>
      </c>
      <c r="AD169" s="41" t="n"/>
      <c r="AE169" s="41" t="n"/>
      <c r="AF169" s="15" t="n"/>
    </row>
    <row r="170">
      <c r="B170" s="9" t="n"/>
      <c r="C170" s="57" t="n">
        <v>12</v>
      </c>
      <c r="D170" s="41" t="n"/>
      <c r="E170" s="55">
        <f>AI39</f>
        <v/>
      </c>
      <c r="F170" s="41" t="n"/>
      <c r="G170" s="41" t="n"/>
      <c r="H170" s="55">
        <f>AJ39</f>
        <v/>
      </c>
      <c r="I170" s="41" t="n"/>
      <c r="J170" s="41" t="n"/>
      <c r="K170" s="52">
        <f>AM39</f>
        <v/>
      </c>
      <c r="L170" s="41" t="n"/>
      <c r="M170" s="41" t="n"/>
      <c r="N170" s="54">
        <f>AX39</f>
        <v/>
      </c>
      <c r="O170" s="41" t="n"/>
      <c r="P170" s="41" t="n"/>
      <c r="Q170" s="53">
        <f>AY39</f>
        <v/>
      </c>
      <c r="R170" s="41" t="n"/>
      <c r="S170" s="53">
        <f>AQ39</f>
        <v/>
      </c>
      <c r="T170" s="41" t="n"/>
      <c r="U170" s="41" t="n"/>
      <c r="V170" s="53">
        <f>BC39</f>
        <v/>
      </c>
      <c r="W170" s="41" t="n"/>
      <c r="X170" s="41" t="n"/>
      <c r="Y170" s="40">
        <f>BD39</f>
        <v/>
      </c>
      <c r="Z170" s="41" t="n"/>
      <c r="AA170" s="40">
        <f>BE39</f>
        <v/>
      </c>
      <c r="AB170" s="41" t="n"/>
      <c r="AC170" s="53">
        <f>BG39</f>
        <v/>
      </c>
      <c r="AD170" s="41" t="n"/>
      <c r="AE170" s="41" t="n"/>
      <c r="AF170" s="15" t="n"/>
    </row>
    <row r="171">
      <c r="B171" s="9" t="n"/>
      <c r="C171" s="57" t="n">
        <v>13</v>
      </c>
      <c r="D171" s="41" t="n"/>
      <c r="E171" s="55">
        <f>AI40</f>
        <v/>
      </c>
      <c r="F171" s="41" t="n"/>
      <c r="G171" s="41" t="n"/>
      <c r="H171" s="55">
        <f>AJ40</f>
        <v/>
      </c>
      <c r="I171" s="41" t="n"/>
      <c r="J171" s="41" t="n"/>
      <c r="K171" s="52">
        <f>AM40</f>
        <v/>
      </c>
      <c r="L171" s="41" t="n"/>
      <c r="M171" s="41" t="n"/>
      <c r="N171" s="54">
        <f>AX40</f>
        <v/>
      </c>
      <c r="O171" s="41" t="n"/>
      <c r="P171" s="41" t="n"/>
      <c r="Q171" s="53">
        <f>AY40</f>
        <v/>
      </c>
      <c r="R171" s="41" t="n"/>
      <c r="S171" s="53">
        <f>AQ40</f>
        <v/>
      </c>
      <c r="T171" s="41" t="n"/>
      <c r="U171" s="41" t="n"/>
      <c r="V171" s="53">
        <f>BC40</f>
        <v/>
      </c>
      <c r="W171" s="41" t="n"/>
      <c r="X171" s="41" t="n"/>
      <c r="Y171" s="40">
        <f>BD40</f>
        <v/>
      </c>
      <c r="Z171" s="41" t="n"/>
      <c r="AA171" s="40">
        <f>BE40</f>
        <v/>
      </c>
      <c r="AB171" s="41" t="n"/>
      <c r="AC171" s="53">
        <f>BG40</f>
        <v/>
      </c>
      <c r="AD171" s="41" t="n"/>
      <c r="AE171" s="41" t="n"/>
      <c r="AF171" s="15" t="n"/>
    </row>
    <row r="172">
      <c r="B172" s="9" t="n"/>
      <c r="C172" s="57" t="n">
        <v>14</v>
      </c>
      <c r="D172" s="41" t="n"/>
      <c r="E172" s="55">
        <f>AI41</f>
        <v/>
      </c>
      <c r="F172" s="41" t="n"/>
      <c r="G172" s="41" t="n"/>
      <c r="H172" s="55">
        <f>AJ41</f>
        <v/>
      </c>
      <c r="I172" s="41" t="n"/>
      <c r="J172" s="41" t="n"/>
      <c r="K172" s="52">
        <f>AM41</f>
        <v/>
      </c>
      <c r="L172" s="41" t="n"/>
      <c r="M172" s="41" t="n"/>
      <c r="N172" s="54">
        <f>AX41</f>
        <v/>
      </c>
      <c r="O172" s="41" t="n"/>
      <c r="P172" s="41" t="n"/>
      <c r="Q172" s="53">
        <f>AY41</f>
        <v/>
      </c>
      <c r="R172" s="41" t="n"/>
      <c r="S172" s="53">
        <f>AQ41</f>
        <v/>
      </c>
      <c r="T172" s="41" t="n"/>
      <c r="U172" s="41" t="n"/>
      <c r="V172" s="53">
        <f>BC41</f>
        <v/>
      </c>
      <c r="W172" s="41" t="n"/>
      <c r="X172" s="41" t="n"/>
      <c r="Y172" s="40">
        <f>BD41</f>
        <v/>
      </c>
      <c r="Z172" s="41" t="n"/>
      <c r="AA172" s="40">
        <f>BE41</f>
        <v/>
      </c>
      <c r="AB172" s="41" t="n"/>
      <c r="AC172" s="53">
        <f>BG41</f>
        <v/>
      </c>
      <c r="AD172" s="41" t="n"/>
      <c r="AE172" s="41" t="n"/>
      <c r="AF172" s="15" t="n"/>
    </row>
    <row r="173">
      <c r="B173" s="9" t="n"/>
      <c r="C173" s="57" t="n">
        <v>15</v>
      </c>
      <c r="D173" s="41" t="n"/>
      <c r="E173" s="55">
        <f>AI42</f>
        <v/>
      </c>
      <c r="F173" s="41" t="n"/>
      <c r="G173" s="41" t="n"/>
      <c r="H173" s="55">
        <f>AJ42</f>
        <v/>
      </c>
      <c r="I173" s="41" t="n"/>
      <c r="J173" s="41" t="n"/>
      <c r="K173" s="52">
        <f>AM42</f>
        <v/>
      </c>
      <c r="L173" s="41" t="n"/>
      <c r="M173" s="41" t="n"/>
      <c r="N173" s="54">
        <f>AX42</f>
        <v/>
      </c>
      <c r="O173" s="41" t="n"/>
      <c r="P173" s="41" t="n"/>
      <c r="Q173" s="53">
        <f>AY42</f>
        <v/>
      </c>
      <c r="R173" s="41" t="n"/>
      <c r="S173" s="53">
        <f>AQ42</f>
        <v/>
      </c>
      <c r="T173" s="41" t="n"/>
      <c r="U173" s="41" t="n"/>
      <c r="V173" s="53">
        <f>BC42</f>
        <v/>
      </c>
      <c r="W173" s="41" t="n"/>
      <c r="X173" s="41" t="n"/>
      <c r="Y173" s="40">
        <f>BD42</f>
        <v/>
      </c>
      <c r="Z173" s="41" t="n"/>
      <c r="AA173" s="40">
        <f>BE42</f>
        <v/>
      </c>
      <c r="AB173" s="41" t="n"/>
      <c r="AC173" s="53">
        <f>BG42</f>
        <v/>
      </c>
      <c r="AD173" s="41" t="n"/>
      <c r="AE173" s="41" t="n"/>
      <c r="AF173" s="15" t="n"/>
    </row>
    <row r="174">
      <c r="B174" s="9" t="n"/>
      <c r="C174" s="57" t="n">
        <v>16</v>
      </c>
      <c r="D174" s="41" t="n"/>
      <c r="E174" s="55">
        <f>AI43</f>
        <v/>
      </c>
      <c r="F174" s="41" t="n"/>
      <c r="G174" s="41" t="n"/>
      <c r="H174" s="55">
        <f>AJ43</f>
        <v/>
      </c>
      <c r="I174" s="41" t="n"/>
      <c r="J174" s="41" t="n"/>
      <c r="K174" s="52">
        <f>AM43</f>
        <v/>
      </c>
      <c r="L174" s="41" t="n"/>
      <c r="M174" s="41" t="n"/>
      <c r="N174" s="54">
        <f>AX43</f>
        <v/>
      </c>
      <c r="O174" s="41" t="n"/>
      <c r="P174" s="41" t="n"/>
      <c r="Q174" s="53">
        <f>AY43</f>
        <v/>
      </c>
      <c r="R174" s="41" t="n"/>
      <c r="S174" s="53">
        <f>AQ43</f>
        <v/>
      </c>
      <c r="T174" s="41" t="n"/>
      <c r="U174" s="41" t="n"/>
      <c r="V174" s="53">
        <f>BC43</f>
        <v/>
      </c>
      <c r="W174" s="41" t="n"/>
      <c r="X174" s="41" t="n"/>
      <c r="Y174" s="40">
        <f>BD43</f>
        <v/>
      </c>
      <c r="Z174" s="41" t="n"/>
      <c r="AA174" s="40">
        <f>BE43</f>
        <v/>
      </c>
      <c r="AB174" s="41" t="n"/>
      <c r="AC174" s="53">
        <f>BG43</f>
        <v/>
      </c>
      <c r="AD174" s="41" t="n"/>
      <c r="AE174" s="41" t="n"/>
      <c r="AF174" s="15" t="n"/>
    </row>
    <row r="175">
      <c r="B175" s="9" t="n"/>
      <c r="C175" s="57" t="n">
        <v>17</v>
      </c>
      <c r="D175" s="41" t="n"/>
      <c r="E175" s="55">
        <f>AI44</f>
        <v/>
      </c>
      <c r="F175" s="41" t="n"/>
      <c r="G175" s="41" t="n"/>
      <c r="H175" s="55">
        <f>AJ44</f>
        <v/>
      </c>
      <c r="I175" s="41" t="n"/>
      <c r="J175" s="41" t="n"/>
      <c r="K175" s="52">
        <f>AM44</f>
        <v/>
      </c>
      <c r="L175" s="41" t="n"/>
      <c r="M175" s="41" t="n"/>
      <c r="N175" s="54">
        <f>AX44</f>
        <v/>
      </c>
      <c r="O175" s="41" t="n"/>
      <c r="P175" s="41" t="n"/>
      <c r="Q175" s="53">
        <f>AY44</f>
        <v/>
      </c>
      <c r="R175" s="41" t="n"/>
      <c r="S175" s="53">
        <f>AQ44</f>
        <v/>
      </c>
      <c r="T175" s="41" t="n"/>
      <c r="U175" s="41" t="n"/>
      <c r="V175" s="53">
        <f>BC44</f>
        <v/>
      </c>
      <c r="W175" s="41" t="n"/>
      <c r="X175" s="41" t="n"/>
      <c r="Y175" s="40">
        <f>BD44</f>
        <v/>
      </c>
      <c r="Z175" s="41" t="n"/>
      <c r="AA175" s="40">
        <f>BE44</f>
        <v/>
      </c>
      <c r="AB175" s="41" t="n"/>
      <c r="AC175" s="53">
        <f>BG44</f>
        <v/>
      </c>
      <c r="AD175" s="41" t="n"/>
      <c r="AE175" s="41" t="n"/>
      <c r="AF175" s="15" t="n"/>
    </row>
    <row r="176">
      <c r="B176" s="9" t="n"/>
      <c r="C176" s="57" t="n">
        <v>18</v>
      </c>
      <c r="D176" s="41" t="n"/>
      <c r="E176" s="55">
        <f>AI45</f>
        <v/>
      </c>
      <c r="F176" s="41" t="n"/>
      <c r="G176" s="41" t="n"/>
      <c r="H176" s="55">
        <f>AJ45</f>
        <v/>
      </c>
      <c r="I176" s="41" t="n"/>
      <c r="J176" s="41" t="n"/>
      <c r="K176" s="52">
        <f>AM45</f>
        <v/>
      </c>
      <c r="L176" s="41" t="n"/>
      <c r="M176" s="41" t="n"/>
      <c r="N176" s="54">
        <f>AX45</f>
        <v/>
      </c>
      <c r="O176" s="41" t="n"/>
      <c r="P176" s="41" t="n"/>
      <c r="Q176" s="53">
        <f>AY45</f>
        <v/>
      </c>
      <c r="R176" s="41" t="n"/>
      <c r="S176" s="53">
        <f>AQ45</f>
        <v/>
      </c>
      <c r="T176" s="41" t="n"/>
      <c r="U176" s="41" t="n"/>
      <c r="V176" s="53">
        <f>BC45</f>
        <v/>
      </c>
      <c r="W176" s="41" t="n"/>
      <c r="X176" s="41" t="n"/>
      <c r="Y176" s="40">
        <f>BD45</f>
        <v/>
      </c>
      <c r="Z176" s="41" t="n"/>
      <c r="AA176" s="40">
        <f>BE45</f>
        <v/>
      </c>
      <c r="AB176" s="41" t="n"/>
      <c r="AC176" s="53">
        <f>BG45</f>
        <v/>
      </c>
      <c r="AD176" s="41" t="n"/>
      <c r="AE176" s="41" t="n"/>
      <c r="AF176" s="15" t="n"/>
    </row>
    <row r="177">
      <c r="B177" s="9" t="n"/>
      <c r="C177" s="57" t="n">
        <v>19</v>
      </c>
      <c r="D177" s="41" t="n"/>
      <c r="E177" s="55">
        <f>AI46</f>
        <v/>
      </c>
      <c r="F177" s="41" t="n"/>
      <c r="G177" s="41" t="n"/>
      <c r="H177" s="55">
        <f>AJ46</f>
        <v/>
      </c>
      <c r="I177" s="41" t="n"/>
      <c r="J177" s="41" t="n"/>
      <c r="K177" s="52">
        <f>AM46</f>
        <v/>
      </c>
      <c r="L177" s="41" t="n"/>
      <c r="M177" s="41" t="n"/>
      <c r="N177" s="54">
        <f>AX46</f>
        <v/>
      </c>
      <c r="O177" s="41" t="n"/>
      <c r="P177" s="41" t="n"/>
      <c r="Q177" s="53">
        <f>AY46</f>
        <v/>
      </c>
      <c r="R177" s="41" t="n"/>
      <c r="S177" s="53">
        <f>AQ46</f>
        <v/>
      </c>
      <c r="T177" s="41" t="n"/>
      <c r="U177" s="41" t="n"/>
      <c r="V177" s="53">
        <f>BC46</f>
        <v/>
      </c>
      <c r="W177" s="41" t="n"/>
      <c r="X177" s="41" t="n"/>
      <c r="Y177" s="40">
        <f>BD46</f>
        <v/>
      </c>
      <c r="Z177" s="41" t="n"/>
      <c r="AA177" s="40">
        <f>BE46</f>
        <v/>
      </c>
      <c r="AB177" s="41" t="n"/>
      <c r="AC177" s="53">
        <f>BG46</f>
        <v/>
      </c>
      <c r="AD177" s="41" t="n"/>
      <c r="AE177" s="41" t="n"/>
      <c r="AF177" s="15" t="n"/>
    </row>
    <row r="178">
      <c r="B178" s="9" t="n"/>
      <c r="C178" s="57" t="n">
        <v>20</v>
      </c>
      <c r="D178" s="41" t="n"/>
      <c r="E178" s="55">
        <f>AI47</f>
        <v/>
      </c>
      <c r="F178" s="41" t="n"/>
      <c r="G178" s="41" t="n"/>
      <c r="H178" s="55">
        <f>AJ47</f>
        <v/>
      </c>
      <c r="I178" s="41" t="n"/>
      <c r="J178" s="41" t="n"/>
      <c r="K178" s="52">
        <f>AM47</f>
        <v/>
      </c>
      <c r="L178" s="41" t="n"/>
      <c r="M178" s="41" t="n"/>
      <c r="N178" s="54">
        <f>AX47</f>
        <v/>
      </c>
      <c r="O178" s="41" t="n"/>
      <c r="P178" s="41" t="n"/>
      <c r="Q178" s="53">
        <f>AY47</f>
        <v/>
      </c>
      <c r="R178" s="41" t="n"/>
      <c r="S178" s="53">
        <f>AQ47</f>
        <v/>
      </c>
      <c r="T178" s="41" t="n"/>
      <c r="U178" s="41" t="n"/>
      <c r="V178" s="53">
        <f>BC47</f>
        <v/>
      </c>
      <c r="W178" s="41" t="n"/>
      <c r="X178" s="41" t="n"/>
      <c r="Y178" s="40">
        <f>BD47</f>
        <v/>
      </c>
      <c r="Z178" s="41" t="n"/>
      <c r="AA178" s="40">
        <f>BE47</f>
        <v/>
      </c>
      <c r="AB178" s="41" t="n"/>
      <c r="AC178" s="53">
        <f>BG47</f>
        <v/>
      </c>
      <c r="AD178" s="41" t="n"/>
      <c r="AE178" s="41" t="n"/>
      <c r="AF178" s="15" t="n"/>
    </row>
    <row r="179">
      <c r="B179" s="9" t="n"/>
      <c r="C179" s="57" t="n">
        <v>21</v>
      </c>
      <c r="D179" s="41" t="n"/>
      <c r="E179" s="55">
        <f>AI48</f>
        <v/>
      </c>
      <c r="F179" s="41" t="n"/>
      <c r="G179" s="41" t="n"/>
      <c r="H179" s="55">
        <f>AJ48</f>
        <v/>
      </c>
      <c r="I179" s="41" t="n"/>
      <c r="J179" s="41" t="n"/>
      <c r="K179" s="52">
        <f>AM48</f>
        <v/>
      </c>
      <c r="L179" s="41" t="n"/>
      <c r="M179" s="41" t="n"/>
      <c r="N179" s="54">
        <f>AX48</f>
        <v/>
      </c>
      <c r="O179" s="41" t="n"/>
      <c r="P179" s="41" t="n"/>
      <c r="Q179" s="53">
        <f>AY48</f>
        <v/>
      </c>
      <c r="R179" s="41" t="n"/>
      <c r="S179" s="53">
        <f>AQ48</f>
        <v/>
      </c>
      <c r="T179" s="41" t="n"/>
      <c r="U179" s="41" t="n"/>
      <c r="V179" s="53">
        <f>BC48</f>
        <v/>
      </c>
      <c r="W179" s="41" t="n"/>
      <c r="X179" s="41" t="n"/>
      <c r="Y179" s="40">
        <f>BD48</f>
        <v/>
      </c>
      <c r="Z179" s="41" t="n"/>
      <c r="AA179" s="40">
        <f>BE48</f>
        <v/>
      </c>
      <c r="AB179" s="41" t="n"/>
      <c r="AC179" s="53">
        <f>BG48</f>
        <v/>
      </c>
      <c r="AD179" s="41" t="n"/>
      <c r="AE179" s="41" t="n"/>
      <c r="AF179" s="15" t="n"/>
    </row>
    <row r="180">
      <c r="B180" s="9" t="n"/>
      <c r="C180" s="57" t="n">
        <v>22</v>
      </c>
      <c r="D180" s="41" t="n"/>
      <c r="E180" s="55">
        <f>AI49</f>
        <v/>
      </c>
      <c r="F180" s="41" t="n"/>
      <c r="G180" s="41" t="n"/>
      <c r="H180" s="55">
        <f>AJ49</f>
        <v/>
      </c>
      <c r="I180" s="41" t="n"/>
      <c r="J180" s="41" t="n"/>
      <c r="K180" s="52">
        <f>AM49</f>
        <v/>
      </c>
      <c r="L180" s="41" t="n"/>
      <c r="M180" s="41" t="n"/>
      <c r="N180" s="54">
        <f>AX49</f>
        <v/>
      </c>
      <c r="O180" s="41" t="n"/>
      <c r="P180" s="41" t="n"/>
      <c r="Q180" s="53">
        <f>AY49</f>
        <v/>
      </c>
      <c r="R180" s="41" t="n"/>
      <c r="S180" s="53">
        <f>AQ49</f>
        <v/>
      </c>
      <c r="T180" s="41" t="n"/>
      <c r="U180" s="41" t="n"/>
      <c r="V180" s="53">
        <f>BC49</f>
        <v/>
      </c>
      <c r="W180" s="41" t="n"/>
      <c r="X180" s="41" t="n"/>
      <c r="Y180" s="40">
        <f>BD49</f>
        <v/>
      </c>
      <c r="Z180" s="41" t="n"/>
      <c r="AA180" s="40">
        <f>BE49</f>
        <v/>
      </c>
      <c r="AB180" s="41" t="n"/>
      <c r="AC180" s="53">
        <f>BG49</f>
        <v/>
      </c>
      <c r="AD180" s="41" t="n"/>
      <c r="AE180" s="41" t="n"/>
      <c r="AF180" s="15" t="n"/>
    </row>
    <row r="181">
      <c r="B181" s="9" t="n"/>
      <c r="C181" s="57" t="n">
        <v>23</v>
      </c>
      <c r="D181" s="41" t="n"/>
      <c r="E181" s="55">
        <f>AI50</f>
        <v/>
      </c>
      <c r="F181" s="41" t="n"/>
      <c r="G181" s="41" t="n"/>
      <c r="H181" s="55">
        <f>AJ50</f>
        <v/>
      </c>
      <c r="I181" s="41" t="n"/>
      <c r="J181" s="41" t="n"/>
      <c r="K181" s="52">
        <f>AM50</f>
        <v/>
      </c>
      <c r="L181" s="41" t="n"/>
      <c r="M181" s="41" t="n"/>
      <c r="N181" s="54">
        <f>AX50</f>
        <v/>
      </c>
      <c r="O181" s="41" t="n"/>
      <c r="P181" s="41" t="n"/>
      <c r="Q181" s="53">
        <f>AY50</f>
        <v/>
      </c>
      <c r="R181" s="41" t="n"/>
      <c r="S181" s="53">
        <f>AQ50</f>
        <v/>
      </c>
      <c r="T181" s="41" t="n"/>
      <c r="U181" s="41" t="n"/>
      <c r="V181" s="53">
        <f>BC50</f>
        <v/>
      </c>
      <c r="W181" s="41" t="n"/>
      <c r="X181" s="41" t="n"/>
      <c r="Y181" s="40">
        <f>BD50</f>
        <v/>
      </c>
      <c r="Z181" s="41" t="n"/>
      <c r="AA181" s="40">
        <f>BE50</f>
        <v/>
      </c>
      <c r="AB181" s="41" t="n"/>
      <c r="AC181" s="53">
        <f>BG50</f>
        <v/>
      </c>
      <c r="AD181" s="41" t="n"/>
      <c r="AE181" s="41" t="n"/>
      <c r="AF181" s="15" t="n"/>
    </row>
    <row r="182">
      <c r="B182" s="9" t="n"/>
      <c r="C182" s="57" t="n">
        <v>24</v>
      </c>
      <c r="D182" s="41" t="n"/>
      <c r="E182" s="55">
        <f>AI51</f>
        <v/>
      </c>
      <c r="F182" s="41" t="n"/>
      <c r="G182" s="41" t="n"/>
      <c r="H182" s="55">
        <f>AJ51</f>
        <v/>
      </c>
      <c r="I182" s="41" t="n"/>
      <c r="J182" s="41" t="n"/>
      <c r="K182" s="52">
        <f>AM51</f>
        <v/>
      </c>
      <c r="L182" s="41" t="n"/>
      <c r="M182" s="41" t="n"/>
      <c r="N182" s="54">
        <f>AX51</f>
        <v/>
      </c>
      <c r="O182" s="41" t="n"/>
      <c r="P182" s="41" t="n"/>
      <c r="Q182" s="53">
        <f>AY51</f>
        <v/>
      </c>
      <c r="R182" s="41" t="n"/>
      <c r="S182" s="53">
        <f>AQ51</f>
        <v/>
      </c>
      <c r="T182" s="41" t="n"/>
      <c r="U182" s="41" t="n"/>
      <c r="V182" s="53">
        <f>BC51</f>
        <v/>
      </c>
      <c r="W182" s="41" t="n"/>
      <c r="X182" s="41" t="n"/>
      <c r="Y182" s="40">
        <f>BD51</f>
        <v/>
      </c>
      <c r="Z182" s="41" t="n"/>
      <c r="AA182" s="40">
        <f>BE51</f>
        <v/>
      </c>
      <c r="AB182" s="41" t="n"/>
      <c r="AC182" s="53">
        <f>BG51</f>
        <v/>
      </c>
      <c r="AD182" s="41" t="n"/>
      <c r="AE182" s="41" t="n"/>
      <c r="AF182" s="15" t="n"/>
    </row>
    <row r="183">
      <c r="B183" s="9" t="n"/>
      <c r="C183" s="57" t="n">
        <v>25</v>
      </c>
      <c r="D183" s="41" t="n"/>
      <c r="E183" s="55">
        <f>AI52</f>
        <v/>
      </c>
      <c r="F183" s="41" t="n"/>
      <c r="G183" s="41" t="n"/>
      <c r="H183" s="55">
        <f>AJ52</f>
        <v/>
      </c>
      <c r="I183" s="41" t="n"/>
      <c r="J183" s="41" t="n"/>
      <c r="K183" s="52">
        <f>AM52</f>
        <v/>
      </c>
      <c r="L183" s="41" t="n"/>
      <c r="M183" s="41" t="n"/>
      <c r="N183" s="54">
        <f>AX52</f>
        <v/>
      </c>
      <c r="O183" s="41" t="n"/>
      <c r="P183" s="41" t="n"/>
      <c r="Q183" s="53">
        <f>AY52</f>
        <v/>
      </c>
      <c r="R183" s="41" t="n"/>
      <c r="S183" s="53">
        <f>AQ52</f>
        <v/>
      </c>
      <c r="T183" s="41" t="n"/>
      <c r="U183" s="41" t="n"/>
      <c r="V183" s="53">
        <f>BC52</f>
        <v/>
      </c>
      <c r="W183" s="41" t="n"/>
      <c r="X183" s="41" t="n"/>
      <c r="Y183" s="40">
        <f>BD52</f>
        <v/>
      </c>
      <c r="Z183" s="41" t="n"/>
      <c r="AA183" s="40">
        <f>BE52</f>
        <v/>
      </c>
      <c r="AB183" s="41" t="n"/>
      <c r="AC183" s="53">
        <f>BG52</f>
        <v/>
      </c>
      <c r="AD183" s="41" t="n"/>
      <c r="AE183" s="41" t="n"/>
      <c r="AF183" s="15" t="n"/>
    </row>
    <row r="184">
      <c r="B184" s="9" t="n"/>
      <c r="C184" s="57" t="n">
        <v>26</v>
      </c>
      <c r="D184" s="41" t="n"/>
      <c r="E184" s="55">
        <f>AI53</f>
        <v/>
      </c>
      <c r="F184" s="41" t="n"/>
      <c r="G184" s="41" t="n"/>
      <c r="H184" s="55">
        <f>AJ53</f>
        <v/>
      </c>
      <c r="I184" s="41" t="n"/>
      <c r="J184" s="41" t="n"/>
      <c r="K184" s="52">
        <f>AM53</f>
        <v/>
      </c>
      <c r="L184" s="41" t="n"/>
      <c r="M184" s="41" t="n"/>
      <c r="N184" s="54">
        <f>AX53</f>
        <v/>
      </c>
      <c r="O184" s="41" t="n"/>
      <c r="P184" s="41" t="n"/>
      <c r="Q184" s="53">
        <f>AY53</f>
        <v/>
      </c>
      <c r="R184" s="41" t="n"/>
      <c r="S184" s="53">
        <f>AQ53</f>
        <v/>
      </c>
      <c r="T184" s="41" t="n"/>
      <c r="U184" s="41" t="n"/>
      <c r="V184" s="53">
        <f>BC53</f>
        <v/>
      </c>
      <c r="W184" s="41" t="n"/>
      <c r="X184" s="41" t="n"/>
      <c r="Y184" s="40">
        <f>BD53</f>
        <v/>
      </c>
      <c r="Z184" s="41" t="n"/>
      <c r="AA184" s="40">
        <f>BE53</f>
        <v/>
      </c>
      <c r="AB184" s="41" t="n"/>
      <c r="AC184" s="53">
        <f>BG53</f>
        <v/>
      </c>
      <c r="AD184" s="41" t="n"/>
      <c r="AE184" s="41" t="n"/>
      <c r="AF184" s="15" t="n"/>
    </row>
    <row r="185">
      <c r="B185" s="9" t="n"/>
      <c r="C185" s="57" t="n">
        <v>27</v>
      </c>
      <c r="D185" s="41" t="n"/>
      <c r="E185" s="55">
        <f>AI54</f>
        <v/>
      </c>
      <c r="F185" s="41" t="n"/>
      <c r="G185" s="41" t="n"/>
      <c r="H185" s="55">
        <f>AJ54</f>
        <v/>
      </c>
      <c r="I185" s="41" t="n"/>
      <c r="J185" s="41" t="n"/>
      <c r="K185" s="52">
        <f>AM54</f>
        <v/>
      </c>
      <c r="L185" s="41" t="n"/>
      <c r="M185" s="41" t="n"/>
      <c r="N185" s="54">
        <f>AX54</f>
        <v/>
      </c>
      <c r="O185" s="41" t="n"/>
      <c r="P185" s="41" t="n"/>
      <c r="Q185" s="53">
        <f>AY54</f>
        <v/>
      </c>
      <c r="R185" s="41" t="n"/>
      <c r="S185" s="53">
        <f>AQ54</f>
        <v/>
      </c>
      <c r="T185" s="41" t="n"/>
      <c r="U185" s="41" t="n"/>
      <c r="V185" s="53">
        <f>BC54</f>
        <v/>
      </c>
      <c r="W185" s="41" t="n"/>
      <c r="X185" s="41" t="n"/>
      <c r="Y185" s="40">
        <f>BD54</f>
        <v/>
      </c>
      <c r="Z185" s="41" t="n"/>
      <c r="AA185" s="40">
        <f>BE54</f>
        <v/>
      </c>
      <c r="AB185" s="41" t="n"/>
      <c r="AC185" s="53">
        <f>BG54</f>
        <v/>
      </c>
      <c r="AD185" s="41" t="n"/>
      <c r="AE185" s="41" t="n"/>
      <c r="AF185" s="15" t="n"/>
    </row>
    <row r="186">
      <c r="B186" s="9" t="n"/>
      <c r="C186" s="57" t="n">
        <v>28</v>
      </c>
      <c r="D186" s="41" t="n"/>
      <c r="E186" s="55">
        <f>AI55</f>
        <v/>
      </c>
      <c r="F186" s="41" t="n"/>
      <c r="G186" s="41" t="n"/>
      <c r="H186" s="55">
        <f>AJ55</f>
        <v/>
      </c>
      <c r="I186" s="41" t="n"/>
      <c r="J186" s="41" t="n"/>
      <c r="K186" s="52">
        <f>AM55</f>
        <v/>
      </c>
      <c r="L186" s="41" t="n"/>
      <c r="M186" s="41" t="n"/>
      <c r="N186" s="54">
        <f>AX55</f>
        <v/>
      </c>
      <c r="O186" s="41" t="n"/>
      <c r="P186" s="41" t="n"/>
      <c r="Q186" s="53">
        <f>AY55</f>
        <v/>
      </c>
      <c r="R186" s="41" t="n"/>
      <c r="S186" s="53">
        <f>AQ55</f>
        <v/>
      </c>
      <c r="T186" s="41" t="n"/>
      <c r="U186" s="41" t="n"/>
      <c r="V186" s="53">
        <f>BC55</f>
        <v/>
      </c>
      <c r="W186" s="41" t="n"/>
      <c r="X186" s="41" t="n"/>
      <c r="Y186" s="40">
        <f>BD55</f>
        <v/>
      </c>
      <c r="Z186" s="41" t="n"/>
      <c r="AA186" s="40">
        <f>BE55</f>
        <v/>
      </c>
      <c r="AB186" s="41" t="n"/>
      <c r="AC186" s="53">
        <f>BG55</f>
        <v/>
      </c>
      <c r="AD186" s="41" t="n"/>
      <c r="AE186" s="41" t="n"/>
      <c r="AF186" s="15" t="n"/>
    </row>
    <row r="187">
      <c r="B187" s="9" t="n"/>
      <c r="C187" s="57" t="n">
        <v>29</v>
      </c>
      <c r="D187" s="41" t="n"/>
      <c r="E187" s="55">
        <f>AI56</f>
        <v/>
      </c>
      <c r="F187" s="41" t="n"/>
      <c r="G187" s="41" t="n"/>
      <c r="H187" s="55">
        <f>AJ56</f>
        <v/>
      </c>
      <c r="I187" s="41" t="n"/>
      <c r="J187" s="41" t="n"/>
      <c r="K187" s="52">
        <f>AM56</f>
        <v/>
      </c>
      <c r="L187" s="41" t="n"/>
      <c r="M187" s="41" t="n"/>
      <c r="N187" s="54">
        <f>AX56</f>
        <v/>
      </c>
      <c r="O187" s="41" t="n"/>
      <c r="P187" s="41" t="n"/>
      <c r="Q187" s="53">
        <f>AY56</f>
        <v/>
      </c>
      <c r="R187" s="41" t="n"/>
      <c r="S187" s="53">
        <f>AQ56</f>
        <v/>
      </c>
      <c r="T187" s="41" t="n"/>
      <c r="U187" s="41" t="n"/>
      <c r="V187" s="53">
        <f>BC56</f>
        <v/>
      </c>
      <c r="W187" s="41" t="n"/>
      <c r="X187" s="41" t="n"/>
      <c r="Y187" s="40">
        <f>BD56</f>
        <v/>
      </c>
      <c r="Z187" s="41" t="n"/>
      <c r="AA187" s="40">
        <f>BE56</f>
        <v/>
      </c>
      <c r="AB187" s="41" t="n"/>
      <c r="AC187" s="53">
        <f>BG56</f>
        <v/>
      </c>
      <c r="AD187" s="41" t="n"/>
      <c r="AE187" s="41" t="n"/>
      <c r="AF187" s="15" t="n"/>
    </row>
    <row r="188">
      <c r="B188" s="9" t="n"/>
      <c r="C188" s="57" t="n">
        <v>30</v>
      </c>
      <c r="D188" s="41" t="n"/>
      <c r="E188" s="55">
        <f>AI57</f>
        <v/>
      </c>
      <c r="F188" s="41" t="n"/>
      <c r="G188" s="41" t="n"/>
      <c r="H188" s="55">
        <f>AJ57</f>
        <v/>
      </c>
      <c r="I188" s="41" t="n"/>
      <c r="J188" s="41" t="n"/>
      <c r="K188" s="52">
        <f>AM57</f>
        <v/>
      </c>
      <c r="L188" s="41" t="n"/>
      <c r="M188" s="41" t="n"/>
      <c r="N188" s="54">
        <f>AX57</f>
        <v/>
      </c>
      <c r="O188" s="41" t="n"/>
      <c r="P188" s="41" t="n"/>
      <c r="Q188" s="53">
        <f>AY57</f>
        <v/>
      </c>
      <c r="R188" s="41" t="n"/>
      <c r="S188" s="53">
        <f>AQ57</f>
        <v/>
      </c>
      <c r="T188" s="41" t="n"/>
      <c r="U188" s="41" t="n"/>
      <c r="V188" s="53">
        <f>BC57</f>
        <v/>
      </c>
      <c r="W188" s="41" t="n"/>
      <c r="X188" s="41" t="n"/>
      <c r="Y188" s="40">
        <f>BD57</f>
        <v/>
      </c>
      <c r="Z188" s="41" t="n"/>
      <c r="AA188" s="40">
        <f>BE57</f>
        <v/>
      </c>
      <c r="AB188" s="41" t="n"/>
      <c r="AC188" s="53">
        <f>BG57</f>
        <v/>
      </c>
      <c r="AD188" s="41" t="n"/>
      <c r="AE188" s="41" t="n"/>
      <c r="AF188" s="15" t="n"/>
    </row>
    <row r="189">
      <c r="B189" s="9" t="n"/>
      <c r="C189" s="57" t="n">
        <v>31</v>
      </c>
      <c r="D189" s="41" t="n"/>
      <c r="E189" s="55">
        <f>AI58</f>
        <v/>
      </c>
      <c r="F189" s="41" t="n"/>
      <c r="G189" s="41" t="n"/>
      <c r="H189" s="55">
        <f>AJ58</f>
        <v/>
      </c>
      <c r="I189" s="41" t="n"/>
      <c r="J189" s="41" t="n"/>
      <c r="K189" s="52">
        <f>AM58</f>
        <v/>
      </c>
      <c r="L189" s="41" t="n"/>
      <c r="M189" s="41" t="n"/>
      <c r="N189" s="54">
        <f>AX58</f>
        <v/>
      </c>
      <c r="O189" s="41" t="n"/>
      <c r="P189" s="41" t="n"/>
      <c r="Q189" s="53">
        <f>AY58</f>
        <v/>
      </c>
      <c r="R189" s="41" t="n"/>
      <c r="S189" s="53">
        <f>AQ58</f>
        <v/>
      </c>
      <c r="T189" s="41" t="n"/>
      <c r="U189" s="41" t="n"/>
      <c r="V189" s="53">
        <f>BC58</f>
        <v/>
      </c>
      <c r="W189" s="41" t="n"/>
      <c r="X189" s="41" t="n"/>
      <c r="Y189" s="40">
        <f>BD58</f>
        <v/>
      </c>
      <c r="Z189" s="41" t="n"/>
      <c r="AA189" s="40">
        <f>BE58</f>
        <v/>
      </c>
      <c r="AB189" s="41" t="n"/>
      <c r="AC189" s="53">
        <f>BG58</f>
        <v/>
      </c>
      <c r="AD189" s="41" t="n"/>
      <c r="AE189" s="41" t="n"/>
      <c r="AF189" s="15" t="n"/>
    </row>
    <row r="190">
      <c r="B190" s="9" t="n"/>
      <c r="C190" s="57" t="n">
        <v>32</v>
      </c>
      <c r="D190" s="41" t="n"/>
      <c r="E190" s="55">
        <f>AI59</f>
        <v/>
      </c>
      <c r="F190" s="41" t="n"/>
      <c r="G190" s="41" t="n"/>
      <c r="H190" s="55">
        <f>AJ59</f>
        <v/>
      </c>
      <c r="I190" s="41" t="n"/>
      <c r="J190" s="41" t="n"/>
      <c r="K190" s="52">
        <f>AM59</f>
        <v/>
      </c>
      <c r="L190" s="41" t="n"/>
      <c r="M190" s="41" t="n"/>
      <c r="N190" s="54">
        <f>AX59</f>
        <v/>
      </c>
      <c r="O190" s="41" t="n"/>
      <c r="P190" s="41" t="n"/>
      <c r="Q190" s="53">
        <f>AY59</f>
        <v/>
      </c>
      <c r="R190" s="41" t="n"/>
      <c r="S190" s="53">
        <f>AQ59</f>
        <v/>
      </c>
      <c r="T190" s="41" t="n"/>
      <c r="U190" s="41" t="n"/>
      <c r="V190" s="53">
        <f>BC59</f>
        <v/>
      </c>
      <c r="W190" s="41" t="n"/>
      <c r="X190" s="41" t="n"/>
      <c r="Y190" s="40">
        <f>BD59</f>
        <v/>
      </c>
      <c r="Z190" s="41" t="n"/>
      <c r="AA190" s="40">
        <f>BE59</f>
        <v/>
      </c>
      <c r="AB190" s="41" t="n"/>
      <c r="AC190" s="53">
        <f>BG59</f>
        <v/>
      </c>
      <c r="AD190" s="41" t="n"/>
      <c r="AE190" s="41" t="n"/>
      <c r="AF190" s="15" t="n"/>
    </row>
    <row r="191">
      <c r="B191" s="9" t="n"/>
      <c r="C191" s="57" t="n">
        <v>33</v>
      </c>
      <c r="D191" s="41" t="n"/>
      <c r="E191" s="55">
        <f>AI60</f>
        <v/>
      </c>
      <c r="F191" s="41" t="n"/>
      <c r="G191" s="41" t="n"/>
      <c r="H191" s="55">
        <f>AJ60</f>
        <v/>
      </c>
      <c r="I191" s="41" t="n"/>
      <c r="J191" s="41" t="n"/>
      <c r="K191" s="52">
        <f>AM60</f>
        <v/>
      </c>
      <c r="L191" s="41" t="n"/>
      <c r="M191" s="41" t="n"/>
      <c r="N191" s="54">
        <f>AX60</f>
        <v/>
      </c>
      <c r="O191" s="41" t="n"/>
      <c r="P191" s="41" t="n"/>
      <c r="Q191" s="53">
        <f>AY60</f>
        <v/>
      </c>
      <c r="R191" s="41" t="n"/>
      <c r="S191" s="53">
        <f>AQ60</f>
        <v/>
      </c>
      <c r="T191" s="41" t="n"/>
      <c r="U191" s="41" t="n"/>
      <c r="V191" s="53">
        <f>BC60</f>
        <v/>
      </c>
      <c r="W191" s="41" t="n"/>
      <c r="X191" s="41" t="n"/>
      <c r="Y191" s="40">
        <f>BD60</f>
        <v/>
      </c>
      <c r="Z191" s="41" t="n"/>
      <c r="AA191" s="40">
        <f>BE60</f>
        <v/>
      </c>
      <c r="AB191" s="41" t="n"/>
      <c r="AC191" s="53">
        <f>BG60</f>
        <v/>
      </c>
      <c r="AD191" s="41" t="n"/>
      <c r="AE191" s="41" t="n"/>
      <c r="AF191" s="15" t="n"/>
    </row>
    <row r="192">
      <c r="B192" s="9" t="n"/>
      <c r="C192" s="57" t="n">
        <v>34</v>
      </c>
      <c r="D192" s="41" t="n"/>
      <c r="E192" s="55">
        <f>AI61</f>
        <v/>
      </c>
      <c r="F192" s="41" t="n"/>
      <c r="G192" s="41" t="n"/>
      <c r="H192" s="55">
        <f>AJ61</f>
        <v/>
      </c>
      <c r="I192" s="41" t="n"/>
      <c r="J192" s="41" t="n"/>
      <c r="K192" s="52">
        <f>AM61</f>
        <v/>
      </c>
      <c r="L192" s="41" t="n"/>
      <c r="M192" s="41" t="n"/>
      <c r="N192" s="54">
        <f>AX61</f>
        <v/>
      </c>
      <c r="O192" s="41" t="n"/>
      <c r="P192" s="41" t="n"/>
      <c r="Q192" s="53">
        <f>AY61</f>
        <v/>
      </c>
      <c r="R192" s="41" t="n"/>
      <c r="S192" s="53">
        <f>AQ61</f>
        <v/>
      </c>
      <c r="T192" s="41" t="n"/>
      <c r="U192" s="41" t="n"/>
      <c r="V192" s="53">
        <f>BC61</f>
        <v/>
      </c>
      <c r="W192" s="41" t="n"/>
      <c r="X192" s="41" t="n"/>
      <c r="Y192" s="40">
        <f>BD61</f>
        <v/>
      </c>
      <c r="Z192" s="41" t="n"/>
      <c r="AA192" s="40">
        <f>BE61</f>
        <v/>
      </c>
      <c r="AB192" s="41" t="n"/>
      <c r="AC192" s="53">
        <f>BG61</f>
        <v/>
      </c>
      <c r="AD192" s="41" t="n"/>
      <c r="AE192" s="41" t="n"/>
      <c r="AF192" s="15" t="n"/>
    </row>
    <row r="193">
      <c r="B193" s="9" t="n"/>
      <c r="C193" s="57" t="n">
        <v>35</v>
      </c>
      <c r="D193" s="41" t="n"/>
      <c r="E193" s="55">
        <f>AI62</f>
        <v/>
      </c>
      <c r="F193" s="41" t="n"/>
      <c r="G193" s="41" t="n"/>
      <c r="H193" s="55">
        <f>AJ62</f>
        <v/>
      </c>
      <c r="I193" s="41" t="n"/>
      <c r="J193" s="41" t="n"/>
      <c r="K193" s="52">
        <f>AM62</f>
        <v/>
      </c>
      <c r="L193" s="41" t="n"/>
      <c r="M193" s="41" t="n"/>
      <c r="N193" s="54">
        <f>AX62</f>
        <v/>
      </c>
      <c r="O193" s="41" t="n"/>
      <c r="P193" s="41" t="n"/>
      <c r="Q193" s="53">
        <f>AY62</f>
        <v/>
      </c>
      <c r="R193" s="41" t="n"/>
      <c r="S193" s="53">
        <f>AQ62</f>
        <v/>
      </c>
      <c r="T193" s="41" t="n"/>
      <c r="U193" s="41" t="n"/>
      <c r="V193" s="53">
        <f>BC62</f>
        <v/>
      </c>
      <c r="W193" s="41" t="n"/>
      <c r="X193" s="41" t="n"/>
      <c r="Y193" s="40">
        <f>BD62</f>
        <v/>
      </c>
      <c r="Z193" s="41" t="n"/>
      <c r="AA193" s="40">
        <f>BE62</f>
        <v/>
      </c>
      <c r="AB193" s="41" t="n"/>
      <c r="AC193" s="53">
        <f>BG62</f>
        <v/>
      </c>
      <c r="AD193" s="41" t="n"/>
      <c r="AE193" s="41" t="n"/>
      <c r="AF193" s="15" t="n"/>
    </row>
    <row r="194">
      <c r="B194" s="9" t="n"/>
      <c r="C194" s="57" t="n">
        <v>36</v>
      </c>
      <c r="D194" s="41" t="n"/>
      <c r="E194" s="55">
        <f>AI63</f>
        <v/>
      </c>
      <c r="F194" s="41" t="n"/>
      <c r="G194" s="41" t="n"/>
      <c r="H194" s="55">
        <f>AJ63</f>
        <v/>
      </c>
      <c r="I194" s="41" t="n"/>
      <c r="J194" s="41" t="n"/>
      <c r="K194" s="52">
        <f>AM63</f>
        <v/>
      </c>
      <c r="L194" s="41" t="n"/>
      <c r="M194" s="41" t="n"/>
      <c r="N194" s="54">
        <f>AX63</f>
        <v/>
      </c>
      <c r="O194" s="41" t="n"/>
      <c r="P194" s="41" t="n"/>
      <c r="Q194" s="53">
        <f>AY63</f>
        <v/>
      </c>
      <c r="R194" s="41" t="n"/>
      <c r="S194" s="53">
        <f>AQ63</f>
        <v/>
      </c>
      <c r="T194" s="41" t="n"/>
      <c r="U194" s="41" t="n"/>
      <c r="V194" s="53">
        <f>BC63</f>
        <v/>
      </c>
      <c r="W194" s="41" t="n"/>
      <c r="X194" s="41" t="n"/>
      <c r="Y194" s="40">
        <f>BD63</f>
        <v/>
      </c>
      <c r="Z194" s="41" t="n"/>
      <c r="AA194" s="40">
        <f>BE63</f>
        <v/>
      </c>
      <c r="AB194" s="41" t="n"/>
      <c r="AC194" s="53">
        <f>BG63</f>
        <v/>
      </c>
      <c r="AD194" s="41" t="n"/>
      <c r="AE194" s="41" t="n"/>
      <c r="AF194" s="15" t="n"/>
    </row>
    <row r="195">
      <c r="B195" s="9" t="n"/>
      <c r="C195" s="57" t="n">
        <v>37</v>
      </c>
      <c r="D195" s="41" t="n"/>
      <c r="E195" s="55">
        <f>AI64</f>
        <v/>
      </c>
      <c r="F195" s="41" t="n"/>
      <c r="G195" s="41" t="n"/>
      <c r="H195" s="55">
        <f>AJ64</f>
        <v/>
      </c>
      <c r="I195" s="41" t="n"/>
      <c r="J195" s="41" t="n"/>
      <c r="K195" s="52">
        <f>AM64</f>
        <v/>
      </c>
      <c r="L195" s="41" t="n"/>
      <c r="M195" s="41" t="n"/>
      <c r="N195" s="54">
        <f>AX64</f>
        <v/>
      </c>
      <c r="O195" s="41" t="n"/>
      <c r="P195" s="41" t="n"/>
      <c r="Q195" s="53">
        <f>AY64</f>
        <v/>
      </c>
      <c r="R195" s="41" t="n"/>
      <c r="S195" s="53">
        <f>AQ64</f>
        <v/>
      </c>
      <c r="T195" s="41" t="n"/>
      <c r="U195" s="41" t="n"/>
      <c r="V195" s="53">
        <f>BC64</f>
        <v/>
      </c>
      <c r="W195" s="41" t="n"/>
      <c r="X195" s="41" t="n"/>
      <c r="Y195" s="40">
        <f>BD64</f>
        <v/>
      </c>
      <c r="Z195" s="41" t="n"/>
      <c r="AA195" s="40">
        <f>BE64</f>
        <v/>
      </c>
      <c r="AB195" s="41" t="n"/>
      <c r="AC195" s="53">
        <f>BG64</f>
        <v/>
      </c>
      <c r="AD195" s="41" t="n"/>
      <c r="AE195" s="41" t="n"/>
      <c r="AF195" s="15" t="n"/>
    </row>
    <row r="196">
      <c r="B196" s="9" t="n"/>
      <c r="C196" s="57" t="n">
        <v>38</v>
      </c>
      <c r="D196" s="41" t="n"/>
      <c r="E196" s="55">
        <f>AI65</f>
        <v/>
      </c>
      <c r="F196" s="41" t="n"/>
      <c r="G196" s="41" t="n"/>
      <c r="H196" s="55">
        <f>AJ65</f>
        <v/>
      </c>
      <c r="I196" s="41" t="n"/>
      <c r="J196" s="41" t="n"/>
      <c r="K196" s="52">
        <f>AM65</f>
        <v/>
      </c>
      <c r="L196" s="41" t="n"/>
      <c r="M196" s="41" t="n"/>
      <c r="N196" s="54">
        <f>AX65</f>
        <v/>
      </c>
      <c r="O196" s="41" t="n"/>
      <c r="P196" s="41" t="n"/>
      <c r="Q196" s="53">
        <f>AY65</f>
        <v/>
      </c>
      <c r="R196" s="41" t="n"/>
      <c r="S196" s="53">
        <f>AQ65</f>
        <v/>
      </c>
      <c r="T196" s="41" t="n"/>
      <c r="U196" s="41" t="n"/>
      <c r="V196" s="53">
        <f>BC65</f>
        <v/>
      </c>
      <c r="W196" s="41" t="n"/>
      <c r="X196" s="41" t="n"/>
      <c r="Y196" s="40">
        <f>BD65</f>
        <v/>
      </c>
      <c r="Z196" s="41" t="n"/>
      <c r="AA196" s="40">
        <f>BE65</f>
        <v/>
      </c>
      <c r="AB196" s="41" t="n"/>
      <c r="AC196" s="53">
        <f>BG65</f>
        <v/>
      </c>
      <c r="AD196" s="41" t="n"/>
      <c r="AE196" s="41" t="n"/>
      <c r="AF196" s="15" t="n"/>
    </row>
    <row r="197">
      <c r="B197" s="9" t="n"/>
      <c r="C197" s="57" t="n">
        <v>39</v>
      </c>
      <c r="D197" s="41" t="n"/>
      <c r="E197" s="55">
        <f>AI66</f>
        <v/>
      </c>
      <c r="F197" s="41" t="n"/>
      <c r="G197" s="41" t="n"/>
      <c r="H197" s="55">
        <f>AJ66</f>
        <v/>
      </c>
      <c r="I197" s="41" t="n"/>
      <c r="J197" s="41" t="n"/>
      <c r="K197" s="52">
        <f>AM66</f>
        <v/>
      </c>
      <c r="L197" s="41" t="n"/>
      <c r="M197" s="41" t="n"/>
      <c r="N197" s="54">
        <f>AX66</f>
        <v/>
      </c>
      <c r="O197" s="41" t="n"/>
      <c r="P197" s="41" t="n"/>
      <c r="Q197" s="53">
        <f>AY66</f>
        <v/>
      </c>
      <c r="R197" s="41" t="n"/>
      <c r="S197" s="53">
        <f>AQ66</f>
        <v/>
      </c>
      <c r="T197" s="41" t="n"/>
      <c r="U197" s="41" t="n"/>
      <c r="V197" s="53">
        <f>BC66</f>
        <v/>
      </c>
      <c r="W197" s="41" t="n"/>
      <c r="X197" s="41" t="n"/>
      <c r="Y197" s="40">
        <f>BD66</f>
        <v/>
      </c>
      <c r="Z197" s="41" t="n"/>
      <c r="AA197" s="40">
        <f>BE66</f>
        <v/>
      </c>
      <c r="AB197" s="41" t="n"/>
      <c r="AC197" s="53">
        <f>BG66</f>
        <v/>
      </c>
      <c r="AD197" s="41" t="n"/>
      <c r="AE197" s="41" t="n"/>
      <c r="AF197" s="15" t="n"/>
    </row>
    <row r="198">
      <c r="B198" s="9" t="n"/>
      <c r="C198" s="57" t="n">
        <v>40</v>
      </c>
      <c r="D198" s="41" t="n"/>
      <c r="E198" s="55">
        <f>AI67</f>
        <v/>
      </c>
      <c r="F198" s="41" t="n"/>
      <c r="G198" s="41" t="n"/>
      <c r="H198" s="55">
        <f>AJ67</f>
        <v/>
      </c>
      <c r="I198" s="41" t="n"/>
      <c r="J198" s="41" t="n"/>
      <c r="K198" s="52">
        <f>AM67</f>
        <v/>
      </c>
      <c r="L198" s="41" t="n"/>
      <c r="M198" s="41" t="n"/>
      <c r="N198" s="54">
        <f>AX67</f>
        <v/>
      </c>
      <c r="O198" s="41" t="n"/>
      <c r="P198" s="41" t="n"/>
      <c r="Q198" s="53">
        <f>AY67</f>
        <v/>
      </c>
      <c r="R198" s="41" t="n"/>
      <c r="S198" s="53">
        <f>AQ67</f>
        <v/>
      </c>
      <c r="T198" s="41" t="n"/>
      <c r="U198" s="41" t="n"/>
      <c r="V198" s="53">
        <f>BC67</f>
        <v/>
      </c>
      <c r="W198" s="41" t="n"/>
      <c r="X198" s="41" t="n"/>
      <c r="Y198" s="40">
        <f>BD67</f>
        <v/>
      </c>
      <c r="Z198" s="41" t="n"/>
      <c r="AA198" s="40">
        <f>BE67</f>
        <v/>
      </c>
      <c r="AB198" s="41" t="n"/>
      <c r="AC198" s="53">
        <f>BG67</f>
        <v/>
      </c>
      <c r="AD198" s="41" t="n"/>
      <c r="AE198" s="41" t="n"/>
      <c r="AF198" s="15" t="n"/>
    </row>
    <row r="199">
      <c r="B199" s="9" t="n"/>
      <c r="C199" s="69" t="n">
        <v>41</v>
      </c>
      <c r="D199" s="46" t="n"/>
      <c r="E199" s="70">
        <f>AI68</f>
        <v/>
      </c>
      <c r="F199" s="46" t="n"/>
      <c r="G199" s="46" t="n"/>
      <c r="H199" s="70">
        <f>AJ68</f>
        <v/>
      </c>
      <c r="I199" s="46" t="n"/>
      <c r="J199" s="46" t="n"/>
      <c r="K199" s="59">
        <f>AM68</f>
        <v/>
      </c>
      <c r="L199" s="46" t="n"/>
      <c r="M199" s="46" t="n"/>
      <c r="N199" s="74">
        <f>AX68</f>
        <v/>
      </c>
      <c r="O199" s="46" t="n"/>
      <c r="P199" s="46" t="n"/>
      <c r="Q199" s="60">
        <f>AY68</f>
        <v/>
      </c>
      <c r="R199" s="46" t="n"/>
      <c r="S199" s="60">
        <f>AQ68</f>
        <v/>
      </c>
      <c r="T199" s="46" t="n"/>
      <c r="U199" s="46" t="n"/>
      <c r="V199" s="60">
        <f>BC68</f>
        <v/>
      </c>
      <c r="W199" s="46" t="n"/>
      <c r="X199" s="46" t="n"/>
      <c r="Y199" s="45">
        <f>BD68</f>
        <v/>
      </c>
      <c r="Z199" s="46" t="n"/>
      <c r="AA199" s="45">
        <f>BE68</f>
        <v/>
      </c>
      <c r="AB199" s="46" t="n"/>
      <c r="AC199" s="60">
        <f>BG68</f>
        <v/>
      </c>
      <c r="AD199" s="46" t="n"/>
      <c r="AE199" s="46" t="n"/>
      <c r="AF199" s="15" t="n"/>
    </row>
    <row r="200">
      <c r="B200" s="9" t="n"/>
      <c r="AF200" s="15" t="n"/>
    </row>
    <row r="201">
      <c r="B201" s="9" t="n"/>
      <c r="C201" s="25" t="inlineStr">
        <is>
          <t>Total immediate settlement</t>
        </is>
      </c>
      <c r="O201" s="26" t="inlineStr">
        <is>
          <t>Si = Σ Si</t>
        </is>
      </c>
      <c r="X201" s="27" t="inlineStr">
        <is>
          <t>Si =</t>
        </is>
      </c>
      <c r="Y201" s="13" t="n"/>
      <c r="Z201" s="13" t="n"/>
      <c r="AA201" s="30">
        <f>SUM(BG28:BG68)</f>
        <v/>
      </c>
      <c r="AB201" s="13" t="n"/>
      <c r="AC201" s="13" t="n"/>
      <c r="AD201" s="25" t="inlineStr">
        <is>
          <t>mm</t>
        </is>
      </c>
      <c r="AF201" s="15" t="n"/>
    </row>
    <row r="202">
      <c r="B202" s="9" t="n"/>
      <c r="C202" s="25" t="inlineStr">
        <is>
          <t xml:space="preserve">   - contribution of sand layers</t>
        </is>
      </c>
      <c r="O202" s="26" t="inlineStr"/>
      <c r="X202" s="27" t="inlineStr"/>
      <c r="Y202" s="13" t="n"/>
      <c r="Z202" s="13" t="n"/>
      <c r="AA202" s="62">
        <f>SUMPRODUCT(--(AM28:AM68="Sand"),BG28:BG68)</f>
        <v/>
      </c>
      <c r="AB202" s="13" t="n"/>
      <c r="AC202" s="13" t="n"/>
      <c r="AD202" s="25" t="inlineStr">
        <is>
          <t>mm</t>
        </is>
      </c>
      <c r="AF202" s="15" t="n"/>
    </row>
    <row r="203">
      <c r="B203" s="9" t="n"/>
      <c r="C203" s="25" t="inlineStr">
        <is>
          <t xml:space="preserve">   - contribution of silt/clay layers</t>
        </is>
      </c>
      <c r="O203" s="26" t="inlineStr"/>
      <c r="X203" s="27" t="inlineStr"/>
      <c r="Y203" s="13" t="n"/>
      <c r="Z203" s="13" t="n"/>
      <c r="AA203" s="62">
        <f>$AA$201-$AA$202</f>
        <v/>
      </c>
      <c r="AB203" s="13" t="n"/>
      <c r="AC203" s="13" t="n"/>
      <c r="AD203" s="25" t="inlineStr">
        <is>
          <t>mm</t>
        </is>
      </c>
      <c r="AF203" s="15" t="n"/>
    </row>
    <row r="204">
      <c r="B204" s="9" t="n"/>
      <c r="AF204" s="15" t="n"/>
    </row>
    <row r="205">
      <c r="B205" s="9" t="n"/>
      <c r="AF205" s="15" t="n"/>
    </row>
    <row r="206">
      <c r="B206" s="9" t="n"/>
      <c r="AF206" s="15" t="n"/>
    </row>
    <row r="207">
      <c r="B207" s="9" t="n"/>
      <c r="AF207" s="15" t="n"/>
    </row>
    <row r="208">
      <c r="B208" s="9" t="n"/>
      <c r="AF208" s="15" t="n"/>
    </row>
    <row r="209">
      <c r="B209" s="9" t="n"/>
      <c r="AF209" s="15" t="n"/>
    </row>
    <row r="210">
      <c r="B210" s="9" t="n"/>
      <c r="AF210" s="15" t="n"/>
    </row>
    <row r="211">
      <c r="B211" s="9" t="n"/>
      <c r="AF211" s="15" t="n"/>
    </row>
    <row r="212">
      <c r="B212" s="9" t="n"/>
      <c r="AF212" s="15" t="n"/>
    </row>
    <row r="213">
      <c r="B213" s="9" t="n"/>
      <c r="AF213" s="15" t="n"/>
    </row>
    <row r="214">
      <c r="B214" s="9" t="n"/>
      <c r="AF214" s="15" t="n"/>
    </row>
    <row r="215">
      <c r="B215" s="9" t="n"/>
      <c r="AF215" s="15" t="n"/>
    </row>
    <row r="216">
      <c r="B216" s="9" t="n"/>
      <c r="AF216" s="15" t="n"/>
    </row>
    <row r="217">
      <c r="B217" s="47" t="n"/>
      <c r="C217" s="48" t="n"/>
      <c r="D217" s="48" t="n"/>
      <c r="E217" s="48" t="n"/>
      <c r="F217" s="48" t="n"/>
      <c r="G217" s="48" t="n"/>
      <c r="H217" s="48" t="n"/>
      <c r="I217" s="48" t="n"/>
      <c r="J217" s="48" t="n"/>
      <c r="K217" s="48" t="n"/>
      <c r="L217" s="48" t="n"/>
      <c r="M217" s="48" t="n"/>
      <c r="N217" s="48" t="n"/>
      <c r="O217" s="48" t="n"/>
      <c r="P217" s="48" t="n"/>
      <c r="Q217" s="48" t="n"/>
      <c r="R217" s="48" t="n"/>
      <c r="S217" s="48" t="n"/>
      <c r="T217" s="48" t="n"/>
      <c r="U217" s="48" t="n"/>
      <c r="V217" s="48" t="n"/>
      <c r="W217" s="48" t="n"/>
      <c r="X217" s="49" t="inlineStr">
        <is>
          <t>Sheet :</t>
        </is>
      </c>
      <c r="Y217" s="48" t="n"/>
      <c r="Z217" s="48" t="n"/>
      <c r="AA217" s="48" t="n"/>
      <c r="AB217" s="49" t="n">
        <v>3</v>
      </c>
      <c r="AC217" s="48" t="n"/>
      <c r="AD217" s="48" t="n"/>
      <c r="AE217" s="48" t="n"/>
      <c r="AF217" s="50" t="n"/>
    </row>
    <row r="218">
      <c r="B218" s="1" t="n"/>
      <c r="C218" s="2" t="inlineStr">
        <is>
          <t>PROJECT :</t>
        </is>
      </c>
      <c r="D218" s="3" t="n"/>
      <c r="E218" s="3" t="n"/>
      <c r="F218" s="3" t="n"/>
      <c r="G218" s="3" t="n"/>
      <c r="H218" s="4" t="inlineStr">
        <is>
          <t>GEOTHERMAL WELLPAD PSPE BORA PULU - SIGI, CENTRAL SULAWESI</t>
        </is>
      </c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5" t="inlineStr">
        <is>
          <t>Prepared by :</t>
        </is>
      </c>
      <c r="Y218" s="6" t="n"/>
      <c r="Z218" s="6" t="n"/>
      <c r="AA218" s="6" t="n"/>
      <c r="AB218" s="7" t="inlineStr">
        <is>
          <t>Date</t>
        </is>
      </c>
      <c r="AC218" s="6" t="n"/>
      <c r="AD218" s="6" t="n"/>
      <c r="AE218" s="6" t="n"/>
      <c r="AF218" s="8" t="n"/>
    </row>
    <row r="219">
      <c r="B219" s="9" t="n"/>
      <c r="C219" s="10" t="inlineStr">
        <is>
          <t>CLIENT :</t>
        </is>
      </c>
      <c r="H219" s="11" t="inlineStr">
        <is>
          <t>PT EDC PANAS BUMI INDONESIA</t>
        </is>
      </c>
      <c r="X219" s="12" t="inlineStr">
        <is>
          <t>DF</t>
        </is>
      </c>
      <c r="Y219" s="13" t="n"/>
      <c r="Z219" s="13" t="n"/>
      <c r="AA219" s="13" t="n"/>
      <c r="AB219" s="14" t="n">
        <v>46301</v>
      </c>
      <c r="AC219" s="13" t="n"/>
      <c r="AD219" s="13" t="n"/>
      <c r="AE219" s="13" t="n"/>
      <c r="AF219" s="15" t="n"/>
    </row>
    <row r="220">
      <c r="B220" s="9" t="n"/>
      <c r="C220" s="10" t="inlineStr">
        <is>
          <t>LOCATION :</t>
        </is>
      </c>
      <c r="H220" s="11" t="inlineStr">
        <is>
          <t>BH-02 (Wellpad A)</t>
        </is>
      </c>
      <c r="X220" s="12" t="inlineStr">
        <is>
          <t>Verified by :</t>
        </is>
      </c>
      <c r="Y220" s="13" t="n"/>
      <c r="Z220" s="13" t="n"/>
      <c r="AA220" s="13" t="n"/>
      <c r="AB220" s="14" t="inlineStr">
        <is>
          <t>Date</t>
        </is>
      </c>
      <c r="AC220" s="13" t="n"/>
      <c r="AD220" s="13" t="n"/>
      <c r="AE220" s="13" t="n"/>
      <c r="AF220" s="15" t="n"/>
    </row>
    <row r="221">
      <c r="B221" s="16" t="n"/>
      <c r="C221" s="17" t="inlineStr">
        <is>
          <t>SHEET :</t>
        </is>
      </c>
      <c r="D221" s="18" t="n"/>
      <c r="E221" s="18" t="n"/>
      <c r="F221" s="18" t="n"/>
      <c r="G221" s="18" t="n"/>
      <c r="H221" s="19" t="inlineStr">
        <is>
          <t>BEARING CAPACITY AND SETTLEMENT OF SUBGRADE</t>
        </is>
      </c>
      <c r="I221" s="18" t="n"/>
      <c r="J221" s="18" t="n"/>
      <c r="K221" s="18" t="n"/>
      <c r="L221" s="18" t="n"/>
      <c r="M221" s="18" t="n"/>
      <c r="N221" s="18" t="n"/>
      <c r="O221" s="18" t="n"/>
      <c r="P221" s="18" t="n"/>
      <c r="Q221" s="18" t="n"/>
      <c r="R221" s="18" t="n"/>
      <c r="S221" s="18" t="n"/>
      <c r="T221" s="18" t="n"/>
      <c r="U221" s="18" t="n"/>
      <c r="V221" s="18" t="n"/>
      <c r="W221" s="18" t="n"/>
      <c r="X221" s="20" t="inlineStr">
        <is>
          <t>BC</t>
        </is>
      </c>
      <c r="Y221" s="21" t="n"/>
      <c r="Z221" s="21" t="n"/>
      <c r="AA221" s="21" t="n"/>
      <c r="AB221" s="22" t="n">
        <v>46301</v>
      </c>
      <c r="AC221" s="21" t="n"/>
      <c r="AD221" s="21" t="n"/>
      <c r="AE221" s="21" t="n"/>
      <c r="AF221" s="23" t="n"/>
    </row>
    <row r="222">
      <c r="B222" s="9" t="n"/>
      <c r="AF222" s="15" t="n"/>
    </row>
    <row r="223">
      <c r="B223" s="9" t="n"/>
      <c r="C223" s="11" t="inlineStr">
        <is>
          <t>4.1. Check for granular soil - Burland &amp; Burbidge (1985), normally consolidated sand</t>
        </is>
      </c>
      <c r="AF223" s="15" t="n"/>
    </row>
    <row r="224">
      <c r="B224" s="9" t="n"/>
      <c r="C224" s="26" t="inlineStr">
        <is>
          <t xml:space="preserve">      S = fs · fl · q · B^0.7 · Ic ,   Ic = 1.71 / N̄^1.4 ,   zI = B^0.763</t>
        </is>
      </c>
      <c r="AF224" s="15" t="n"/>
    </row>
    <row r="225">
      <c r="B225" s="9" t="n"/>
      <c r="C225" s="25" t="inlineStr">
        <is>
          <t>Depth of influence</t>
        </is>
      </c>
      <c r="O225" s="26" t="inlineStr">
        <is>
          <t>zI = B^0.763</t>
        </is>
      </c>
      <c r="X225" s="27" t="inlineStr">
        <is>
          <t>zI =</t>
        </is>
      </c>
      <c r="Y225" s="13" t="n"/>
      <c r="Z225" s="13" t="n"/>
      <c r="AA225" s="61">
        <f>MIN(Input!$AA$15^0.763,AJ68)</f>
        <v/>
      </c>
      <c r="AB225" s="13" t="n"/>
      <c r="AC225" s="13" t="n"/>
      <c r="AD225" s="25" t="inlineStr">
        <is>
          <t>m</t>
        </is>
      </c>
      <c r="AF225" s="15" t="n"/>
    </row>
    <row r="226">
      <c r="B226" s="9" t="n"/>
      <c r="C226" s="25" t="inlineStr">
        <is>
          <t>Average measured N within zI</t>
        </is>
      </c>
      <c r="O226" s="26" t="inlineStr"/>
      <c r="X226" s="27" t="inlineStr">
        <is>
          <t>N̄ =</t>
        </is>
      </c>
      <c r="Y226" s="13" t="n"/>
      <c r="Z226" s="13" t="n"/>
      <c r="AA226" s="62">
        <f>SUMPRODUCT(BP28:BP68,AN28:AN68)/$AA$225</f>
        <v/>
      </c>
      <c r="AB226" s="13" t="n"/>
      <c r="AC226" s="13" t="n"/>
      <c r="AD226" s="25" t="inlineStr">
        <is>
          <t>-</t>
        </is>
      </c>
      <c r="AF226" s="15" t="n"/>
    </row>
    <row r="227">
      <c r="B227" s="9" t="n"/>
      <c r="C227" s="25" t="inlineStr">
        <is>
          <t>Compressibility index</t>
        </is>
      </c>
      <c r="O227" s="26" t="inlineStr">
        <is>
          <t>Ic = 1.71 / N̄^1.4</t>
        </is>
      </c>
      <c r="X227" s="27" t="inlineStr">
        <is>
          <t>Ic =</t>
        </is>
      </c>
      <c r="Y227" s="13" t="n"/>
      <c r="Z227" s="13" t="n"/>
      <c r="AA227" s="75">
        <f>1.71/$AA$226^1.4</f>
        <v/>
      </c>
      <c r="AB227" s="13" t="n"/>
      <c r="AC227" s="13" t="n"/>
      <c r="AD227" s="25" t="inlineStr">
        <is>
          <t>-</t>
        </is>
      </c>
      <c r="AF227" s="15" t="n"/>
    </row>
    <row r="228">
      <c r="B228" s="9" t="n"/>
      <c r="C228" s="25" t="inlineStr">
        <is>
          <t>Shape factor</t>
        </is>
      </c>
      <c r="O228" s="26" t="inlineStr">
        <is>
          <t>fs = [1.25(L/B)/(L/B+0.25)]²</t>
        </is>
      </c>
      <c r="X228" s="27" t="inlineStr">
        <is>
          <t>fs =</t>
        </is>
      </c>
      <c r="Y228" s="13" t="n"/>
      <c r="Z228" s="13" t="n"/>
      <c r="AA228" s="61">
        <f>(1.25*Input!$AA$16/Input!$AA$15/(Input!$AA$16/Input!$AA$15+0.25))^2</f>
        <v/>
      </c>
      <c r="AB228" s="13" t="n"/>
      <c r="AC228" s="13" t="n"/>
      <c r="AD228" s="25" t="inlineStr">
        <is>
          <t>-</t>
        </is>
      </c>
      <c r="AF228" s="15" t="n"/>
    </row>
    <row r="229">
      <c r="B229" s="9" t="n"/>
      <c r="C229" s="25" t="inlineStr">
        <is>
          <t>Settlement of sand (fl = 1)</t>
        </is>
      </c>
      <c r="O229" s="26" t="inlineStr">
        <is>
          <t>S = fs·q·B^0.7·Ic</t>
        </is>
      </c>
      <c r="X229" s="27" t="inlineStr">
        <is>
          <t>S =</t>
        </is>
      </c>
      <c r="Y229" s="13" t="n"/>
      <c r="Z229" s="13" t="n"/>
      <c r="AA229" s="30">
        <f>$AA$228*Input!$AA$14*Input!$AA$15^0.7*$AA$227</f>
        <v/>
      </c>
      <c r="AB229" s="13" t="n"/>
      <c r="AC229" s="13" t="n"/>
      <c r="AD229" s="25" t="inlineStr">
        <is>
          <t>mm</t>
        </is>
      </c>
      <c r="AF229" s="15" t="n"/>
    </row>
    <row r="230">
      <c r="B230" s="9" t="n"/>
      <c r="C230" s="24" t="inlineStr">
        <is>
          <t>Burland &amp; Burbidge assumes the whole influence zone is sand; where silt/clay is present the layered elastic value governs.</t>
        </is>
      </c>
      <c r="AF230" s="15" t="n"/>
    </row>
    <row r="231">
      <c r="B231" s="9" t="n"/>
      <c r="AF231" s="15" t="n"/>
    </row>
    <row r="232">
      <c r="B232" s="9" t="n"/>
      <c r="C232" s="11" t="inlineStr">
        <is>
          <t>5. PRIMARY CONSOLIDATION SETTLEMENT (silt/clay layers, design condition)</t>
        </is>
      </c>
      <c r="AF232" s="15" t="n"/>
    </row>
    <row r="233">
      <c r="B233" s="9" t="n"/>
      <c r="C233" s="25" t="inlineStr">
        <is>
          <t>Sc = h/(1+e0) · [Cr·log(σ'p/σ'v0) + Cc·log((σ'v0+Δσz)/σ'p)]  (Das 2019); Δσz from Boussinesq at the centre of the area;</t>
        </is>
      </c>
      <c r="AF233" s="15" t="n"/>
    </row>
    <row r="234">
      <c r="B234" s="9" t="n"/>
      <c r="C234" s="25" t="inlineStr">
        <is>
          <t>σ'p = max(cu/0.22 ; σ'v0) (Mesri 1975); t90 = Tv·Hdr²/Cv with double drainage (Hdr = h/2), layers bounded by sand.</t>
        </is>
      </c>
      <c r="AF234" s="15" t="n"/>
    </row>
    <row r="235">
      <c r="B235" s="9" t="n"/>
      <c r="C235" s="25" t="inlineStr">
        <is>
          <t>Table 3. Consolidation settlement of BH-02</t>
        </is>
      </c>
      <c r="AF235" s="15" t="n"/>
    </row>
    <row r="236" ht="27" customHeight="1">
      <c r="B236" s="9" t="n"/>
      <c r="C236" s="33" t="inlineStr">
        <is>
          <t>No</t>
        </is>
      </c>
      <c r="D236" s="34" t="n"/>
      <c r="E236" s="33" t="inlineStr">
        <is>
          <t>Top</t>
        </is>
      </c>
      <c r="F236" s="34" t="n"/>
      <c r="G236" s="34" t="n"/>
      <c r="H236" s="33" t="inlineStr">
        <is>
          <t>Soil</t>
        </is>
      </c>
      <c r="I236" s="34" t="n"/>
      <c r="J236" s="34" t="n"/>
      <c r="K236" s="33" t="inlineStr">
        <is>
          <t>σ'v0</t>
        </is>
      </c>
      <c r="L236" s="34" t="n"/>
      <c r="M236" s="34" t="n"/>
      <c r="N236" s="33" t="inlineStr">
        <is>
          <t>Δσz</t>
        </is>
      </c>
      <c r="O236" s="34" t="n"/>
      <c r="P236" s="34" t="n"/>
      <c r="Q236" s="33" t="inlineStr">
        <is>
          <t>σ'p</t>
        </is>
      </c>
      <c r="R236" s="34" t="n"/>
      <c r="S236" s="34" t="n"/>
      <c r="T236" s="33" t="inlineStr">
        <is>
          <t>e0</t>
        </is>
      </c>
      <c r="U236" s="34" t="n"/>
      <c r="V236" s="33" t="inlineStr">
        <is>
          <t>Cc</t>
        </is>
      </c>
      <c r="W236" s="34" t="n"/>
      <c r="X236" s="33" t="inlineStr">
        <is>
          <t>Cr</t>
        </is>
      </c>
      <c r="Y236" s="34" t="n"/>
      <c r="Z236" s="33" t="inlineStr">
        <is>
          <t>Sc</t>
        </is>
      </c>
      <c r="AA236" s="34" t="n"/>
      <c r="AB236" s="34" t="n"/>
      <c r="AC236" s="33" t="inlineStr">
        <is>
          <t>t90</t>
        </is>
      </c>
      <c r="AD236" s="34" t="n"/>
      <c r="AE236" s="34" t="n"/>
      <c r="AF236" s="15" t="n"/>
    </row>
    <row r="237">
      <c r="B237" s="9" t="n"/>
      <c r="C237" s="35" t="inlineStr"/>
      <c r="D237" s="36" t="n"/>
      <c r="E237" s="35" t="inlineStr">
        <is>
          <t>m</t>
        </is>
      </c>
      <c r="F237" s="36" t="n"/>
      <c r="G237" s="36" t="n"/>
      <c r="H237" s="35" t="inlineStr"/>
      <c r="I237" s="36" t="n"/>
      <c r="J237" s="36" t="n"/>
      <c r="K237" s="35" t="inlineStr">
        <is>
          <t>kPa</t>
        </is>
      </c>
      <c r="L237" s="36" t="n"/>
      <c r="M237" s="36" t="n"/>
      <c r="N237" s="35" t="inlineStr">
        <is>
          <t>kPa</t>
        </is>
      </c>
      <c r="O237" s="36" t="n"/>
      <c r="P237" s="36" t="n"/>
      <c r="Q237" s="35" t="inlineStr">
        <is>
          <t>kPa</t>
        </is>
      </c>
      <c r="R237" s="36" t="n"/>
      <c r="S237" s="36" t="n"/>
      <c r="T237" s="35" t="inlineStr">
        <is>
          <t>-</t>
        </is>
      </c>
      <c r="U237" s="36" t="n"/>
      <c r="V237" s="35" t="inlineStr">
        <is>
          <t>-</t>
        </is>
      </c>
      <c r="W237" s="36" t="n"/>
      <c r="X237" s="35" t="inlineStr">
        <is>
          <t>-</t>
        </is>
      </c>
      <c r="Y237" s="36" t="n"/>
      <c r="Z237" s="35" t="inlineStr">
        <is>
          <t>mm</t>
        </is>
      </c>
      <c r="AA237" s="36" t="n"/>
      <c r="AB237" s="36" t="n"/>
      <c r="AC237" s="35" t="inlineStr">
        <is>
          <t>year</t>
        </is>
      </c>
      <c r="AD237" s="36" t="n"/>
      <c r="AE237" s="36" t="n"/>
      <c r="AF237" s="15" t="n"/>
    </row>
    <row r="238">
      <c r="B238" s="9" t="n"/>
      <c r="C238" s="57" t="n">
        <v>1</v>
      </c>
      <c r="D238" s="41" t="n"/>
      <c r="E238" s="55">
        <f>AI28</f>
        <v/>
      </c>
      <c r="F238" s="41" t="n"/>
      <c r="G238" s="41" t="n"/>
      <c r="H238" s="52">
        <f>AM28</f>
        <v/>
      </c>
      <c r="I238" s="41" t="n"/>
      <c r="J238" s="41" t="n"/>
      <c r="K238" s="53">
        <f>AQ28</f>
        <v/>
      </c>
      <c r="L238" s="41" t="n"/>
      <c r="M238" s="41" t="n"/>
      <c r="N238" s="53">
        <f>BC28</f>
        <v/>
      </c>
      <c r="O238" s="41" t="n"/>
      <c r="P238" s="41" t="n"/>
      <c r="Q238" s="66">
        <f>BJ28</f>
        <v/>
      </c>
      <c r="R238" s="41" t="n"/>
      <c r="S238" s="41" t="n"/>
      <c r="T238" s="55">
        <f>AU28</f>
        <v/>
      </c>
      <c r="U238" s="41" t="n"/>
      <c r="V238" s="76">
        <f>BH28</f>
        <v/>
      </c>
      <c r="W238" s="41" t="n"/>
      <c r="X238" s="76">
        <f>BI28</f>
        <v/>
      </c>
      <c r="Y238" s="41" t="n"/>
      <c r="Z238" s="77">
        <f>BK28</f>
        <v/>
      </c>
      <c r="AA238" s="41" t="n"/>
      <c r="AB238" s="41" t="n"/>
      <c r="AC238" s="78">
        <f>BM28</f>
        <v/>
      </c>
      <c r="AD238" s="41" t="n"/>
      <c r="AE238" s="41" t="n"/>
      <c r="AF238" s="15" t="n"/>
    </row>
    <row r="239">
      <c r="B239" s="9" t="n"/>
      <c r="C239" s="57" t="n">
        <v>2</v>
      </c>
      <c r="D239" s="41" t="n"/>
      <c r="E239" s="55">
        <f>AI29</f>
        <v/>
      </c>
      <c r="F239" s="41" t="n"/>
      <c r="G239" s="41" t="n"/>
      <c r="H239" s="52">
        <f>AM29</f>
        <v/>
      </c>
      <c r="I239" s="41" t="n"/>
      <c r="J239" s="41" t="n"/>
      <c r="K239" s="53">
        <f>AQ29</f>
        <v/>
      </c>
      <c r="L239" s="41" t="n"/>
      <c r="M239" s="41" t="n"/>
      <c r="N239" s="53">
        <f>BC29</f>
        <v/>
      </c>
      <c r="O239" s="41" t="n"/>
      <c r="P239" s="41" t="n"/>
      <c r="Q239" s="66">
        <f>BJ29</f>
        <v/>
      </c>
      <c r="R239" s="41" t="n"/>
      <c r="S239" s="41" t="n"/>
      <c r="T239" s="55">
        <f>AU29</f>
        <v/>
      </c>
      <c r="U239" s="41" t="n"/>
      <c r="V239" s="76">
        <f>BH29</f>
        <v/>
      </c>
      <c r="W239" s="41" t="n"/>
      <c r="X239" s="76">
        <f>BI29</f>
        <v/>
      </c>
      <c r="Y239" s="41" t="n"/>
      <c r="Z239" s="77">
        <f>BK29</f>
        <v/>
      </c>
      <c r="AA239" s="41" t="n"/>
      <c r="AB239" s="41" t="n"/>
      <c r="AC239" s="78">
        <f>BM29</f>
        <v/>
      </c>
      <c r="AD239" s="41" t="n"/>
      <c r="AE239" s="41" t="n"/>
      <c r="AF239" s="15" t="n"/>
    </row>
    <row r="240">
      <c r="B240" s="9" t="n"/>
      <c r="C240" s="57" t="n">
        <v>3</v>
      </c>
      <c r="D240" s="41" t="n"/>
      <c r="E240" s="55">
        <f>AI30</f>
        <v/>
      </c>
      <c r="F240" s="41" t="n"/>
      <c r="G240" s="41" t="n"/>
      <c r="H240" s="52">
        <f>AM30</f>
        <v/>
      </c>
      <c r="I240" s="41" t="n"/>
      <c r="J240" s="41" t="n"/>
      <c r="K240" s="53">
        <f>AQ30</f>
        <v/>
      </c>
      <c r="L240" s="41" t="n"/>
      <c r="M240" s="41" t="n"/>
      <c r="N240" s="53">
        <f>BC30</f>
        <v/>
      </c>
      <c r="O240" s="41" t="n"/>
      <c r="P240" s="41" t="n"/>
      <c r="Q240" s="66">
        <f>BJ30</f>
        <v/>
      </c>
      <c r="R240" s="41" t="n"/>
      <c r="S240" s="41" t="n"/>
      <c r="T240" s="55">
        <f>AU30</f>
        <v/>
      </c>
      <c r="U240" s="41" t="n"/>
      <c r="V240" s="76">
        <f>BH30</f>
        <v/>
      </c>
      <c r="W240" s="41" t="n"/>
      <c r="X240" s="76">
        <f>BI30</f>
        <v/>
      </c>
      <c r="Y240" s="41" t="n"/>
      <c r="Z240" s="77">
        <f>BK30</f>
        <v/>
      </c>
      <c r="AA240" s="41" t="n"/>
      <c r="AB240" s="41" t="n"/>
      <c r="AC240" s="78">
        <f>BM30</f>
        <v/>
      </c>
      <c r="AD240" s="41" t="n"/>
      <c r="AE240" s="41" t="n"/>
      <c r="AF240" s="15" t="n"/>
    </row>
    <row r="241">
      <c r="B241" s="9" t="n"/>
      <c r="C241" s="57" t="n">
        <v>4</v>
      </c>
      <c r="D241" s="41" t="n"/>
      <c r="E241" s="55">
        <f>AI31</f>
        <v/>
      </c>
      <c r="F241" s="41" t="n"/>
      <c r="G241" s="41" t="n"/>
      <c r="H241" s="52">
        <f>AM31</f>
        <v/>
      </c>
      <c r="I241" s="41" t="n"/>
      <c r="J241" s="41" t="n"/>
      <c r="K241" s="53">
        <f>AQ31</f>
        <v/>
      </c>
      <c r="L241" s="41" t="n"/>
      <c r="M241" s="41" t="n"/>
      <c r="N241" s="53">
        <f>BC31</f>
        <v/>
      </c>
      <c r="O241" s="41" t="n"/>
      <c r="P241" s="41" t="n"/>
      <c r="Q241" s="66">
        <f>BJ31</f>
        <v/>
      </c>
      <c r="R241" s="41" t="n"/>
      <c r="S241" s="41" t="n"/>
      <c r="T241" s="55">
        <f>AU31</f>
        <v/>
      </c>
      <c r="U241" s="41" t="n"/>
      <c r="V241" s="76">
        <f>BH31</f>
        <v/>
      </c>
      <c r="W241" s="41" t="n"/>
      <c r="X241" s="76">
        <f>BI31</f>
        <v/>
      </c>
      <c r="Y241" s="41" t="n"/>
      <c r="Z241" s="77">
        <f>BK31</f>
        <v/>
      </c>
      <c r="AA241" s="41" t="n"/>
      <c r="AB241" s="41" t="n"/>
      <c r="AC241" s="78">
        <f>BM31</f>
        <v/>
      </c>
      <c r="AD241" s="41" t="n"/>
      <c r="AE241" s="41" t="n"/>
      <c r="AF241" s="15" t="n"/>
    </row>
    <row r="242">
      <c r="B242" s="9" t="n"/>
      <c r="C242" s="57" t="n">
        <v>5</v>
      </c>
      <c r="D242" s="41" t="n"/>
      <c r="E242" s="55">
        <f>AI32</f>
        <v/>
      </c>
      <c r="F242" s="41" t="n"/>
      <c r="G242" s="41" t="n"/>
      <c r="H242" s="52">
        <f>AM32</f>
        <v/>
      </c>
      <c r="I242" s="41" t="n"/>
      <c r="J242" s="41" t="n"/>
      <c r="K242" s="53">
        <f>AQ32</f>
        <v/>
      </c>
      <c r="L242" s="41" t="n"/>
      <c r="M242" s="41" t="n"/>
      <c r="N242" s="53">
        <f>BC32</f>
        <v/>
      </c>
      <c r="O242" s="41" t="n"/>
      <c r="P242" s="41" t="n"/>
      <c r="Q242" s="66">
        <f>BJ32</f>
        <v/>
      </c>
      <c r="R242" s="41" t="n"/>
      <c r="S242" s="41" t="n"/>
      <c r="T242" s="55">
        <f>AU32</f>
        <v/>
      </c>
      <c r="U242" s="41" t="n"/>
      <c r="V242" s="76">
        <f>BH32</f>
        <v/>
      </c>
      <c r="W242" s="41" t="n"/>
      <c r="X242" s="76">
        <f>BI32</f>
        <v/>
      </c>
      <c r="Y242" s="41" t="n"/>
      <c r="Z242" s="77">
        <f>BK32</f>
        <v/>
      </c>
      <c r="AA242" s="41" t="n"/>
      <c r="AB242" s="41" t="n"/>
      <c r="AC242" s="78">
        <f>BM32</f>
        <v/>
      </c>
      <c r="AD242" s="41" t="n"/>
      <c r="AE242" s="41" t="n"/>
      <c r="AF242" s="15" t="n"/>
    </row>
    <row r="243">
      <c r="B243" s="9" t="n"/>
      <c r="C243" s="57" t="n">
        <v>6</v>
      </c>
      <c r="D243" s="41" t="n"/>
      <c r="E243" s="55">
        <f>AI33</f>
        <v/>
      </c>
      <c r="F243" s="41" t="n"/>
      <c r="G243" s="41" t="n"/>
      <c r="H243" s="52">
        <f>AM33</f>
        <v/>
      </c>
      <c r="I243" s="41" t="n"/>
      <c r="J243" s="41" t="n"/>
      <c r="K243" s="53">
        <f>AQ33</f>
        <v/>
      </c>
      <c r="L243" s="41" t="n"/>
      <c r="M243" s="41" t="n"/>
      <c r="N243" s="53">
        <f>BC33</f>
        <v/>
      </c>
      <c r="O243" s="41" t="n"/>
      <c r="P243" s="41" t="n"/>
      <c r="Q243" s="66">
        <f>BJ33</f>
        <v/>
      </c>
      <c r="R243" s="41" t="n"/>
      <c r="S243" s="41" t="n"/>
      <c r="T243" s="55">
        <f>AU33</f>
        <v/>
      </c>
      <c r="U243" s="41" t="n"/>
      <c r="V243" s="76">
        <f>BH33</f>
        <v/>
      </c>
      <c r="W243" s="41" t="n"/>
      <c r="X243" s="76">
        <f>BI33</f>
        <v/>
      </c>
      <c r="Y243" s="41" t="n"/>
      <c r="Z243" s="77">
        <f>BK33</f>
        <v/>
      </c>
      <c r="AA243" s="41" t="n"/>
      <c r="AB243" s="41" t="n"/>
      <c r="AC243" s="78">
        <f>BM33</f>
        <v/>
      </c>
      <c r="AD243" s="41" t="n"/>
      <c r="AE243" s="41" t="n"/>
      <c r="AF243" s="15" t="n"/>
    </row>
    <row r="244">
      <c r="B244" s="9" t="n"/>
      <c r="C244" s="57" t="n">
        <v>7</v>
      </c>
      <c r="D244" s="41" t="n"/>
      <c r="E244" s="55">
        <f>AI34</f>
        <v/>
      </c>
      <c r="F244" s="41" t="n"/>
      <c r="G244" s="41" t="n"/>
      <c r="H244" s="52">
        <f>AM34</f>
        <v/>
      </c>
      <c r="I244" s="41" t="n"/>
      <c r="J244" s="41" t="n"/>
      <c r="K244" s="53">
        <f>AQ34</f>
        <v/>
      </c>
      <c r="L244" s="41" t="n"/>
      <c r="M244" s="41" t="n"/>
      <c r="N244" s="53">
        <f>BC34</f>
        <v/>
      </c>
      <c r="O244" s="41" t="n"/>
      <c r="P244" s="41" t="n"/>
      <c r="Q244" s="66">
        <f>BJ34</f>
        <v/>
      </c>
      <c r="R244" s="41" t="n"/>
      <c r="S244" s="41" t="n"/>
      <c r="T244" s="55">
        <f>AU34</f>
        <v/>
      </c>
      <c r="U244" s="41" t="n"/>
      <c r="V244" s="76">
        <f>BH34</f>
        <v/>
      </c>
      <c r="W244" s="41" t="n"/>
      <c r="X244" s="76">
        <f>BI34</f>
        <v/>
      </c>
      <c r="Y244" s="41" t="n"/>
      <c r="Z244" s="77">
        <f>BK34</f>
        <v/>
      </c>
      <c r="AA244" s="41" t="n"/>
      <c r="AB244" s="41" t="n"/>
      <c r="AC244" s="78">
        <f>BM34</f>
        <v/>
      </c>
      <c r="AD244" s="41" t="n"/>
      <c r="AE244" s="41" t="n"/>
      <c r="AF244" s="15" t="n"/>
    </row>
    <row r="245">
      <c r="B245" s="9" t="n"/>
      <c r="C245" s="57" t="n">
        <v>8</v>
      </c>
      <c r="D245" s="41" t="n"/>
      <c r="E245" s="55">
        <f>AI35</f>
        <v/>
      </c>
      <c r="F245" s="41" t="n"/>
      <c r="G245" s="41" t="n"/>
      <c r="H245" s="52">
        <f>AM35</f>
        <v/>
      </c>
      <c r="I245" s="41" t="n"/>
      <c r="J245" s="41" t="n"/>
      <c r="K245" s="53">
        <f>AQ35</f>
        <v/>
      </c>
      <c r="L245" s="41" t="n"/>
      <c r="M245" s="41" t="n"/>
      <c r="N245" s="53">
        <f>BC35</f>
        <v/>
      </c>
      <c r="O245" s="41" t="n"/>
      <c r="P245" s="41" t="n"/>
      <c r="Q245" s="66">
        <f>BJ35</f>
        <v/>
      </c>
      <c r="R245" s="41" t="n"/>
      <c r="S245" s="41" t="n"/>
      <c r="T245" s="55">
        <f>AU35</f>
        <v/>
      </c>
      <c r="U245" s="41" t="n"/>
      <c r="V245" s="76">
        <f>BH35</f>
        <v/>
      </c>
      <c r="W245" s="41" t="n"/>
      <c r="X245" s="76">
        <f>BI35</f>
        <v/>
      </c>
      <c r="Y245" s="41" t="n"/>
      <c r="Z245" s="77">
        <f>BK35</f>
        <v/>
      </c>
      <c r="AA245" s="41" t="n"/>
      <c r="AB245" s="41" t="n"/>
      <c r="AC245" s="78">
        <f>BM35</f>
        <v/>
      </c>
      <c r="AD245" s="41" t="n"/>
      <c r="AE245" s="41" t="n"/>
      <c r="AF245" s="15" t="n"/>
    </row>
    <row r="246">
      <c r="B246" s="9" t="n"/>
      <c r="C246" s="57" t="n">
        <v>9</v>
      </c>
      <c r="D246" s="41" t="n"/>
      <c r="E246" s="55">
        <f>AI36</f>
        <v/>
      </c>
      <c r="F246" s="41" t="n"/>
      <c r="G246" s="41" t="n"/>
      <c r="H246" s="52">
        <f>AM36</f>
        <v/>
      </c>
      <c r="I246" s="41" t="n"/>
      <c r="J246" s="41" t="n"/>
      <c r="K246" s="53">
        <f>AQ36</f>
        <v/>
      </c>
      <c r="L246" s="41" t="n"/>
      <c r="M246" s="41" t="n"/>
      <c r="N246" s="53">
        <f>BC36</f>
        <v/>
      </c>
      <c r="O246" s="41" t="n"/>
      <c r="P246" s="41" t="n"/>
      <c r="Q246" s="66">
        <f>BJ36</f>
        <v/>
      </c>
      <c r="R246" s="41" t="n"/>
      <c r="S246" s="41" t="n"/>
      <c r="T246" s="55">
        <f>AU36</f>
        <v/>
      </c>
      <c r="U246" s="41" t="n"/>
      <c r="V246" s="76">
        <f>BH36</f>
        <v/>
      </c>
      <c r="W246" s="41" t="n"/>
      <c r="X246" s="76">
        <f>BI36</f>
        <v/>
      </c>
      <c r="Y246" s="41" t="n"/>
      <c r="Z246" s="77">
        <f>BK36</f>
        <v/>
      </c>
      <c r="AA246" s="41" t="n"/>
      <c r="AB246" s="41" t="n"/>
      <c r="AC246" s="78">
        <f>BM36</f>
        <v/>
      </c>
      <c r="AD246" s="41" t="n"/>
      <c r="AE246" s="41" t="n"/>
      <c r="AF246" s="15" t="n"/>
    </row>
    <row r="247">
      <c r="B247" s="9" t="n"/>
      <c r="C247" s="57" t="n">
        <v>10</v>
      </c>
      <c r="D247" s="41" t="n"/>
      <c r="E247" s="55">
        <f>AI37</f>
        <v/>
      </c>
      <c r="F247" s="41" t="n"/>
      <c r="G247" s="41" t="n"/>
      <c r="H247" s="52">
        <f>AM37</f>
        <v/>
      </c>
      <c r="I247" s="41" t="n"/>
      <c r="J247" s="41" t="n"/>
      <c r="K247" s="53">
        <f>AQ37</f>
        <v/>
      </c>
      <c r="L247" s="41" t="n"/>
      <c r="M247" s="41" t="n"/>
      <c r="N247" s="53">
        <f>BC37</f>
        <v/>
      </c>
      <c r="O247" s="41" t="n"/>
      <c r="P247" s="41" t="n"/>
      <c r="Q247" s="66">
        <f>BJ37</f>
        <v/>
      </c>
      <c r="R247" s="41" t="n"/>
      <c r="S247" s="41" t="n"/>
      <c r="T247" s="55">
        <f>AU37</f>
        <v/>
      </c>
      <c r="U247" s="41" t="n"/>
      <c r="V247" s="76">
        <f>BH37</f>
        <v/>
      </c>
      <c r="W247" s="41" t="n"/>
      <c r="X247" s="76">
        <f>BI37</f>
        <v/>
      </c>
      <c r="Y247" s="41" t="n"/>
      <c r="Z247" s="77">
        <f>BK37</f>
        <v/>
      </c>
      <c r="AA247" s="41" t="n"/>
      <c r="AB247" s="41" t="n"/>
      <c r="AC247" s="78">
        <f>BM37</f>
        <v/>
      </c>
      <c r="AD247" s="41" t="n"/>
      <c r="AE247" s="41" t="n"/>
      <c r="AF247" s="15" t="n"/>
    </row>
    <row r="248">
      <c r="B248" s="9" t="n"/>
      <c r="C248" s="57" t="n">
        <v>11</v>
      </c>
      <c r="D248" s="41" t="n"/>
      <c r="E248" s="55">
        <f>AI38</f>
        <v/>
      </c>
      <c r="F248" s="41" t="n"/>
      <c r="G248" s="41" t="n"/>
      <c r="H248" s="52">
        <f>AM38</f>
        <v/>
      </c>
      <c r="I248" s="41" t="n"/>
      <c r="J248" s="41" t="n"/>
      <c r="K248" s="53">
        <f>AQ38</f>
        <v/>
      </c>
      <c r="L248" s="41" t="n"/>
      <c r="M248" s="41" t="n"/>
      <c r="N248" s="53">
        <f>BC38</f>
        <v/>
      </c>
      <c r="O248" s="41" t="n"/>
      <c r="P248" s="41" t="n"/>
      <c r="Q248" s="66">
        <f>BJ38</f>
        <v/>
      </c>
      <c r="R248" s="41" t="n"/>
      <c r="S248" s="41" t="n"/>
      <c r="T248" s="55">
        <f>AU38</f>
        <v/>
      </c>
      <c r="U248" s="41" t="n"/>
      <c r="V248" s="76">
        <f>BH38</f>
        <v/>
      </c>
      <c r="W248" s="41" t="n"/>
      <c r="X248" s="76">
        <f>BI38</f>
        <v/>
      </c>
      <c r="Y248" s="41" t="n"/>
      <c r="Z248" s="77">
        <f>BK38</f>
        <v/>
      </c>
      <c r="AA248" s="41" t="n"/>
      <c r="AB248" s="41" t="n"/>
      <c r="AC248" s="78">
        <f>BM38</f>
        <v/>
      </c>
      <c r="AD248" s="41" t="n"/>
      <c r="AE248" s="41" t="n"/>
      <c r="AF248" s="15" t="n"/>
    </row>
    <row r="249">
      <c r="B249" s="9" t="n"/>
      <c r="C249" s="57" t="n">
        <v>12</v>
      </c>
      <c r="D249" s="41" t="n"/>
      <c r="E249" s="55">
        <f>AI39</f>
        <v/>
      </c>
      <c r="F249" s="41" t="n"/>
      <c r="G249" s="41" t="n"/>
      <c r="H249" s="52">
        <f>AM39</f>
        <v/>
      </c>
      <c r="I249" s="41" t="n"/>
      <c r="J249" s="41" t="n"/>
      <c r="K249" s="53">
        <f>AQ39</f>
        <v/>
      </c>
      <c r="L249" s="41" t="n"/>
      <c r="M249" s="41" t="n"/>
      <c r="N249" s="53">
        <f>BC39</f>
        <v/>
      </c>
      <c r="O249" s="41" t="n"/>
      <c r="P249" s="41" t="n"/>
      <c r="Q249" s="66">
        <f>BJ39</f>
        <v/>
      </c>
      <c r="R249" s="41" t="n"/>
      <c r="S249" s="41" t="n"/>
      <c r="T249" s="55">
        <f>AU39</f>
        <v/>
      </c>
      <c r="U249" s="41" t="n"/>
      <c r="V249" s="76">
        <f>BH39</f>
        <v/>
      </c>
      <c r="W249" s="41" t="n"/>
      <c r="X249" s="76">
        <f>BI39</f>
        <v/>
      </c>
      <c r="Y249" s="41" t="n"/>
      <c r="Z249" s="77">
        <f>BK39</f>
        <v/>
      </c>
      <c r="AA249" s="41" t="n"/>
      <c r="AB249" s="41" t="n"/>
      <c r="AC249" s="78">
        <f>BM39</f>
        <v/>
      </c>
      <c r="AD249" s="41" t="n"/>
      <c r="AE249" s="41" t="n"/>
      <c r="AF249" s="15" t="n"/>
    </row>
    <row r="250">
      <c r="B250" s="9" t="n"/>
      <c r="C250" s="57" t="n">
        <v>13</v>
      </c>
      <c r="D250" s="41" t="n"/>
      <c r="E250" s="55">
        <f>AI40</f>
        <v/>
      </c>
      <c r="F250" s="41" t="n"/>
      <c r="G250" s="41" t="n"/>
      <c r="H250" s="52">
        <f>AM40</f>
        <v/>
      </c>
      <c r="I250" s="41" t="n"/>
      <c r="J250" s="41" t="n"/>
      <c r="K250" s="53">
        <f>AQ40</f>
        <v/>
      </c>
      <c r="L250" s="41" t="n"/>
      <c r="M250" s="41" t="n"/>
      <c r="N250" s="53">
        <f>BC40</f>
        <v/>
      </c>
      <c r="O250" s="41" t="n"/>
      <c r="P250" s="41" t="n"/>
      <c r="Q250" s="66">
        <f>BJ40</f>
        <v/>
      </c>
      <c r="R250" s="41" t="n"/>
      <c r="S250" s="41" t="n"/>
      <c r="T250" s="55">
        <f>AU40</f>
        <v/>
      </c>
      <c r="U250" s="41" t="n"/>
      <c r="V250" s="76">
        <f>BH40</f>
        <v/>
      </c>
      <c r="W250" s="41" t="n"/>
      <c r="X250" s="76">
        <f>BI40</f>
        <v/>
      </c>
      <c r="Y250" s="41" t="n"/>
      <c r="Z250" s="77">
        <f>BK40</f>
        <v/>
      </c>
      <c r="AA250" s="41" t="n"/>
      <c r="AB250" s="41" t="n"/>
      <c r="AC250" s="78">
        <f>BM40</f>
        <v/>
      </c>
      <c r="AD250" s="41" t="n"/>
      <c r="AE250" s="41" t="n"/>
      <c r="AF250" s="15" t="n"/>
    </row>
    <row r="251">
      <c r="B251" s="9" t="n"/>
      <c r="C251" s="57" t="n">
        <v>14</v>
      </c>
      <c r="D251" s="41" t="n"/>
      <c r="E251" s="55">
        <f>AI41</f>
        <v/>
      </c>
      <c r="F251" s="41" t="n"/>
      <c r="G251" s="41" t="n"/>
      <c r="H251" s="52">
        <f>AM41</f>
        <v/>
      </c>
      <c r="I251" s="41" t="n"/>
      <c r="J251" s="41" t="n"/>
      <c r="K251" s="53">
        <f>AQ41</f>
        <v/>
      </c>
      <c r="L251" s="41" t="n"/>
      <c r="M251" s="41" t="n"/>
      <c r="N251" s="53">
        <f>BC41</f>
        <v/>
      </c>
      <c r="O251" s="41" t="n"/>
      <c r="P251" s="41" t="n"/>
      <c r="Q251" s="66">
        <f>BJ41</f>
        <v/>
      </c>
      <c r="R251" s="41" t="n"/>
      <c r="S251" s="41" t="n"/>
      <c r="T251" s="55">
        <f>AU41</f>
        <v/>
      </c>
      <c r="U251" s="41" t="n"/>
      <c r="V251" s="76">
        <f>BH41</f>
        <v/>
      </c>
      <c r="W251" s="41" t="n"/>
      <c r="X251" s="76">
        <f>BI41</f>
        <v/>
      </c>
      <c r="Y251" s="41" t="n"/>
      <c r="Z251" s="77">
        <f>BK41</f>
        <v/>
      </c>
      <c r="AA251" s="41" t="n"/>
      <c r="AB251" s="41" t="n"/>
      <c r="AC251" s="78">
        <f>BM41</f>
        <v/>
      </c>
      <c r="AD251" s="41" t="n"/>
      <c r="AE251" s="41" t="n"/>
      <c r="AF251" s="15" t="n"/>
    </row>
    <row r="252">
      <c r="B252" s="9" t="n"/>
      <c r="C252" s="57" t="n">
        <v>15</v>
      </c>
      <c r="D252" s="41" t="n"/>
      <c r="E252" s="55">
        <f>AI42</f>
        <v/>
      </c>
      <c r="F252" s="41" t="n"/>
      <c r="G252" s="41" t="n"/>
      <c r="H252" s="52">
        <f>AM42</f>
        <v/>
      </c>
      <c r="I252" s="41" t="n"/>
      <c r="J252" s="41" t="n"/>
      <c r="K252" s="53">
        <f>AQ42</f>
        <v/>
      </c>
      <c r="L252" s="41" t="n"/>
      <c r="M252" s="41" t="n"/>
      <c r="N252" s="53">
        <f>BC42</f>
        <v/>
      </c>
      <c r="O252" s="41" t="n"/>
      <c r="P252" s="41" t="n"/>
      <c r="Q252" s="66">
        <f>BJ42</f>
        <v/>
      </c>
      <c r="R252" s="41" t="n"/>
      <c r="S252" s="41" t="n"/>
      <c r="T252" s="55">
        <f>AU42</f>
        <v/>
      </c>
      <c r="U252" s="41" t="n"/>
      <c r="V252" s="76">
        <f>BH42</f>
        <v/>
      </c>
      <c r="W252" s="41" t="n"/>
      <c r="X252" s="76">
        <f>BI42</f>
        <v/>
      </c>
      <c r="Y252" s="41" t="n"/>
      <c r="Z252" s="77">
        <f>BK42</f>
        <v/>
      </c>
      <c r="AA252" s="41" t="n"/>
      <c r="AB252" s="41" t="n"/>
      <c r="AC252" s="78">
        <f>BM42</f>
        <v/>
      </c>
      <c r="AD252" s="41" t="n"/>
      <c r="AE252" s="41" t="n"/>
      <c r="AF252" s="15" t="n"/>
    </row>
    <row r="253">
      <c r="B253" s="9" t="n"/>
      <c r="C253" s="57" t="n">
        <v>16</v>
      </c>
      <c r="D253" s="41" t="n"/>
      <c r="E253" s="55">
        <f>AI43</f>
        <v/>
      </c>
      <c r="F253" s="41" t="n"/>
      <c r="G253" s="41" t="n"/>
      <c r="H253" s="52">
        <f>AM43</f>
        <v/>
      </c>
      <c r="I253" s="41" t="n"/>
      <c r="J253" s="41" t="n"/>
      <c r="K253" s="53">
        <f>AQ43</f>
        <v/>
      </c>
      <c r="L253" s="41" t="n"/>
      <c r="M253" s="41" t="n"/>
      <c r="N253" s="53">
        <f>BC43</f>
        <v/>
      </c>
      <c r="O253" s="41" t="n"/>
      <c r="P253" s="41" t="n"/>
      <c r="Q253" s="66">
        <f>BJ43</f>
        <v/>
      </c>
      <c r="R253" s="41" t="n"/>
      <c r="S253" s="41" t="n"/>
      <c r="T253" s="55">
        <f>AU43</f>
        <v/>
      </c>
      <c r="U253" s="41" t="n"/>
      <c r="V253" s="76">
        <f>BH43</f>
        <v/>
      </c>
      <c r="W253" s="41" t="n"/>
      <c r="X253" s="76">
        <f>BI43</f>
        <v/>
      </c>
      <c r="Y253" s="41" t="n"/>
      <c r="Z253" s="77">
        <f>BK43</f>
        <v/>
      </c>
      <c r="AA253" s="41" t="n"/>
      <c r="AB253" s="41" t="n"/>
      <c r="AC253" s="78">
        <f>BM43</f>
        <v/>
      </c>
      <c r="AD253" s="41" t="n"/>
      <c r="AE253" s="41" t="n"/>
      <c r="AF253" s="15" t="n"/>
    </row>
    <row r="254">
      <c r="B254" s="9" t="n"/>
      <c r="C254" s="57" t="n">
        <v>17</v>
      </c>
      <c r="D254" s="41" t="n"/>
      <c r="E254" s="55">
        <f>AI44</f>
        <v/>
      </c>
      <c r="F254" s="41" t="n"/>
      <c r="G254" s="41" t="n"/>
      <c r="H254" s="52">
        <f>AM44</f>
        <v/>
      </c>
      <c r="I254" s="41" t="n"/>
      <c r="J254" s="41" t="n"/>
      <c r="K254" s="53">
        <f>AQ44</f>
        <v/>
      </c>
      <c r="L254" s="41" t="n"/>
      <c r="M254" s="41" t="n"/>
      <c r="N254" s="53">
        <f>BC44</f>
        <v/>
      </c>
      <c r="O254" s="41" t="n"/>
      <c r="P254" s="41" t="n"/>
      <c r="Q254" s="66">
        <f>BJ44</f>
        <v/>
      </c>
      <c r="R254" s="41" t="n"/>
      <c r="S254" s="41" t="n"/>
      <c r="T254" s="55">
        <f>AU44</f>
        <v/>
      </c>
      <c r="U254" s="41" t="n"/>
      <c r="V254" s="76">
        <f>BH44</f>
        <v/>
      </c>
      <c r="W254" s="41" t="n"/>
      <c r="X254" s="76">
        <f>BI44</f>
        <v/>
      </c>
      <c r="Y254" s="41" t="n"/>
      <c r="Z254" s="77">
        <f>BK44</f>
        <v/>
      </c>
      <c r="AA254" s="41" t="n"/>
      <c r="AB254" s="41" t="n"/>
      <c r="AC254" s="78">
        <f>BM44</f>
        <v/>
      </c>
      <c r="AD254" s="41" t="n"/>
      <c r="AE254" s="41" t="n"/>
      <c r="AF254" s="15" t="n"/>
    </row>
    <row r="255">
      <c r="B255" s="9" t="n"/>
      <c r="C255" s="57" t="n">
        <v>18</v>
      </c>
      <c r="D255" s="41" t="n"/>
      <c r="E255" s="55">
        <f>AI45</f>
        <v/>
      </c>
      <c r="F255" s="41" t="n"/>
      <c r="G255" s="41" t="n"/>
      <c r="H255" s="52">
        <f>AM45</f>
        <v/>
      </c>
      <c r="I255" s="41" t="n"/>
      <c r="J255" s="41" t="n"/>
      <c r="K255" s="53">
        <f>AQ45</f>
        <v/>
      </c>
      <c r="L255" s="41" t="n"/>
      <c r="M255" s="41" t="n"/>
      <c r="N255" s="53">
        <f>BC45</f>
        <v/>
      </c>
      <c r="O255" s="41" t="n"/>
      <c r="P255" s="41" t="n"/>
      <c r="Q255" s="66">
        <f>BJ45</f>
        <v/>
      </c>
      <c r="R255" s="41" t="n"/>
      <c r="S255" s="41" t="n"/>
      <c r="T255" s="55">
        <f>AU45</f>
        <v/>
      </c>
      <c r="U255" s="41" t="n"/>
      <c r="V255" s="76">
        <f>BH45</f>
        <v/>
      </c>
      <c r="W255" s="41" t="n"/>
      <c r="X255" s="76">
        <f>BI45</f>
        <v/>
      </c>
      <c r="Y255" s="41" t="n"/>
      <c r="Z255" s="77">
        <f>BK45</f>
        <v/>
      </c>
      <c r="AA255" s="41" t="n"/>
      <c r="AB255" s="41" t="n"/>
      <c r="AC255" s="78">
        <f>BM45</f>
        <v/>
      </c>
      <c r="AD255" s="41" t="n"/>
      <c r="AE255" s="41" t="n"/>
      <c r="AF255" s="15" t="n"/>
    </row>
    <row r="256">
      <c r="B256" s="9" t="n"/>
      <c r="C256" s="57" t="n">
        <v>19</v>
      </c>
      <c r="D256" s="41" t="n"/>
      <c r="E256" s="55">
        <f>AI46</f>
        <v/>
      </c>
      <c r="F256" s="41" t="n"/>
      <c r="G256" s="41" t="n"/>
      <c r="H256" s="52">
        <f>AM46</f>
        <v/>
      </c>
      <c r="I256" s="41" t="n"/>
      <c r="J256" s="41" t="n"/>
      <c r="K256" s="53">
        <f>AQ46</f>
        <v/>
      </c>
      <c r="L256" s="41" t="n"/>
      <c r="M256" s="41" t="n"/>
      <c r="N256" s="53">
        <f>BC46</f>
        <v/>
      </c>
      <c r="O256" s="41" t="n"/>
      <c r="P256" s="41" t="n"/>
      <c r="Q256" s="66">
        <f>BJ46</f>
        <v/>
      </c>
      <c r="R256" s="41" t="n"/>
      <c r="S256" s="41" t="n"/>
      <c r="T256" s="55">
        <f>AU46</f>
        <v/>
      </c>
      <c r="U256" s="41" t="n"/>
      <c r="V256" s="76">
        <f>BH46</f>
        <v/>
      </c>
      <c r="W256" s="41" t="n"/>
      <c r="X256" s="76">
        <f>BI46</f>
        <v/>
      </c>
      <c r="Y256" s="41" t="n"/>
      <c r="Z256" s="77">
        <f>BK46</f>
        <v/>
      </c>
      <c r="AA256" s="41" t="n"/>
      <c r="AB256" s="41" t="n"/>
      <c r="AC256" s="78">
        <f>BM46</f>
        <v/>
      </c>
      <c r="AD256" s="41" t="n"/>
      <c r="AE256" s="41" t="n"/>
      <c r="AF256" s="15" t="n"/>
    </row>
    <row r="257">
      <c r="B257" s="9" t="n"/>
      <c r="C257" s="57" t="n">
        <v>20</v>
      </c>
      <c r="D257" s="41" t="n"/>
      <c r="E257" s="55">
        <f>AI47</f>
        <v/>
      </c>
      <c r="F257" s="41" t="n"/>
      <c r="G257" s="41" t="n"/>
      <c r="H257" s="52">
        <f>AM47</f>
        <v/>
      </c>
      <c r="I257" s="41" t="n"/>
      <c r="J257" s="41" t="n"/>
      <c r="K257" s="53">
        <f>AQ47</f>
        <v/>
      </c>
      <c r="L257" s="41" t="n"/>
      <c r="M257" s="41" t="n"/>
      <c r="N257" s="53">
        <f>BC47</f>
        <v/>
      </c>
      <c r="O257" s="41" t="n"/>
      <c r="P257" s="41" t="n"/>
      <c r="Q257" s="66">
        <f>BJ47</f>
        <v/>
      </c>
      <c r="R257" s="41" t="n"/>
      <c r="S257" s="41" t="n"/>
      <c r="T257" s="55">
        <f>AU47</f>
        <v/>
      </c>
      <c r="U257" s="41" t="n"/>
      <c r="V257" s="76">
        <f>BH47</f>
        <v/>
      </c>
      <c r="W257" s="41" t="n"/>
      <c r="X257" s="76">
        <f>BI47</f>
        <v/>
      </c>
      <c r="Y257" s="41" t="n"/>
      <c r="Z257" s="77">
        <f>BK47</f>
        <v/>
      </c>
      <c r="AA257" s="41" t="n"/>
      <c r="AB257" s="41" t="n"/>
      <c r="AC257" s="78">
        <f>BM47</f>
        <v/>
      </c>
      <c r="AD257" s="41" t="n"/>
      <c r="AE257" s="41" t="n"/>
      <c r="AF257" s="15" t="n"/>
    </row>
    <row r="258">
      <c r="B258" s="9" t="n"/>
      <c r="C258" s="57" t="n">
        <v>21</v>
      </c>
      <c r="D258" s="41" t="n"/>
      <c r="E258" s="55">
        <f>AI48</f>
        <v/>
      </c>
      <c r="F258" s="41" t="n"/>
      <c r="G258" s="41" t="n"/>
      <c r="H258" s="52">
        <f>AM48</f>
        <v/>
      </c>
      <c r="I258" s="41" t="n"/>
      <c r="J258" s="41" t="n"/>
      <c r="K258" s="53">
        <f>AQ48</f>
        <v/>
      </c>
      <c r="L258" s="41" t="n"/>
      <c r="M258" s="41" t="n"/>
      <c r="N258" s="53">
        <f>BC48</f>
        <v/>
      </c>
      <c r="O258" s="41" t="n"/>
      <c r="P258" s="41" t="n"/>
      <c r="Q258" s="66">
        <f>BJ48</f>
        <v/>
      </c>
      <c r="R258" s="41" t="n"/>
      <c r="S258" s="41" t="n"/>
      <c r="T258" s="55">
        <f>AU48</f>
        <v/>
      </c>
      <c r="U258" s="41" t="n"/>
      <c r="V258" s="76">
        <f>BH48</f>
        <v/>
      </c>
      <c r="W258" s="41" t="n"/>
      <c r="X258" s="76">
        <f>BI48</f>
        <v/>
      </c>
      <c r="Y258" s="41" t="n"/>
      <c r="Z258" s="77">
        <f>BK48</f>
        <v/>
      </c>
      <c r="AA258" s="41" t="n"/>
      <c r="AB258" s="41" t="n"/>
      <c r="AC258" s="78">
        <f>BM48</f>
        <v/>
      </c>
      <c r="AD258" s="41" t="n"/>
      <c r="AE258" s="41" t="n"/>
      <c r="AF258" s="15" t="n"/>
    </row>
    <row r="259">
      <c r="B259" s="9" t="n"/>
      <c r="C259" s="57" t="n">
        <v>22</v>
      </c>
      <c r="D259" s="41" t="n"/>
      <c r="E259" s="55">
        <f>AI49</f>
        <v/>
      </c>
      <c r="F259" s="41" t="n"/>
      <c r="G259" s="41" t="n"/>
      <c r="H259" s="52">
        <f>AM49</f>
        <v/>
      </c>
      <c r="I259" s="41" t="n"/>
      <c r="J259" s="41" t="n"/>
      <c r="K259" s="53">
        <f>AQ49</f>
        <v/>
      </c>
      <c r="L259" s="41" t="n"/>
      <c r="M259" s="41" t="n"/>
      <c r="N259" s="53">
        <f>BC49</f>
        <v/>
      </c>
      <c r="O259" s="41" t="n"/>
      <c r="P259" s="41" t="n"/>
      <c r="Q259" s="66">
        <f>BJ49</f>
        <v/>
      </c>
      <c r="R259" s="41" t="n"/>
      <c r="S259" s="41" t="n"/>
      <c r="T259" s="55">
        <f>AU49</f>
        <v/>
      </c>
      <c r="U259" s="41" t="n"/>
      <c r="V259" s="76">
        <f>BH49</f>
        <v/>
      </c>
      <c r="W259" s="41" t="n"/>
      <c r="X259" s="76">
        <f>BI49</f>
        <v/>
      </c>
      <c r="Y259" s="41" t="n"/>
      <c r="Z259" s="77">
        <f>BK49</f>
        <v/>
      </c>
      <c r="AA259" s="41" t="n"/>
      <c r="AB259" s="41" t="n"/>
      <c r="AC259" s="78">
        <f>BM49</f>
        <v/>
      </c>
      <c r="AD259" s="41" t="n"/>
      <c r="AE259" s="41" t="n"/>
      <c r="AF259" s="15" t="n"/>
    </row>
    <row r="260">
      <c r="B260" s="9" t="n"/>
      <c r="C260" s="57" t="n">
        <v>23</v>
      </c>
      <c r="D260" s="41" t="n"/>
      <c r="E260" s="55">
        <f>AI50</f>
        <v/>
      </c>
      <c r="F260" s="41" t="n"/>
      <c r="G260" s="41" t="n"/>
      <c r="H260" s="52">
        <f>AM50</f>
        <v/>
      </c>
      <c r="I260" s="41" t="n"/>
      <c r="J260" s="41" t="n"/>
      <c r="K260" s="53">
        <f>AQ50</f>
        <v/>
      </c>
      <c r="L260" s="41" t="n"/>
      <c r="M260" s="41" t="n"/>
      <c r="N260" s="53">
        <f>BC50</f>
        <v/>
      </c>
      <c r="O260" s="41" t="n"/>
      <c r="P260" s="41" t="n"/>
      <c r="Q260" s="66">
        <f>BJ50</f>
        <v/>
      </c>
      <c r="R260" s="41" t="n"/>
      <c r="S260" s="41" t="n"/>
      <c r="T260" s="55">
        <f>AU50</f>
        <v/>
      </c>
      <c r="U260" s="41" t="n"/>
      <c r="V260" s="76">
        <f>BH50</f>
        <v/>
      </c>
      <c r="W260" s="41" t="n"/>
      <c r="X260" s="76">
        <f>BI50</f>
        <v/>
      </c>
      <c r="Y260" s="41" t="n"/>
      <c r="Z260" s="77">
        <f>BK50</f>
        <v/>
      </c>
      <c r="AA260" s="41" t="n"/>
      <c r="AB260" s="41" t="n"/>
      <c r="AC260" s="78">
        <f>BM50</f>
        <v/>
      </c>
      <c r="AD260" s="41" t="n"/>
      <c r="AE260" s="41" t="n"/>
      <c r="AF260" s="15" t="n"/>
    </row>
    <row r="261">
      <c r="B261" s="9" t="n"/>
      <c r="C261" s="57" t="n">
        <v>24</v>
      </c>
      <c r="D261" s="41" t="n"/>
      <c r="E261" s="55">
        <f>AI51</f>
        <v/>
      </c>
      <c r="F261" s="41" t="n"/>
      <c r="G261" s="41" t="n"/>
      <c r="H261" s="52">
        <f>AM51</f>
        <v/>
      </c>
      <c r="I261" s="41" t="n"/>
      <c r="J261" s="41" t="n"/>
      <c r="K261" s="53">
        <f>AQ51</f>
        <v/>
      </c>
      <c r="L261" s="41" t="n"/>
      <c r="M261" s="41" t="n"/>
      <c r="N261" s="53">
        <f>BC51</f>
        <v/>
      </c>
      <c r="O261" s="41" t="n"/>
      <c r="P261" s="41" t="n"/>
      <c r="Q261" s="66">
        <f>BJ51</f>
        <v/>
      </c>
      <c r="R261" s="41" t="n"/>
      <c r="S261" s="41" t="n"/>
      <c r="T261" s="55">
        <f>AU51</f>
        <v/>
      </c>
      <c r="U261" s="41" t="n"/>
      <c r="V261" s="76">
        <f>BH51</f>
        <v/>
      </c>
      <c r="W261" s="41" t="n"/>
      <c r="X261" s="76">
        <f>BI51</f>
        <v/>
      </c>
      <c r="Y261" s="41" t="n"/>
      <c r="Z261" s="77">
        <f>BK51</f>
        <v/>
      </c>
      <c r="AA261" s="41" t="n"/>
      <c r="AB261" s="41" t="n"/>
      <c r="AC261" s="78">
        <f>BM51</f>
        <v/>
      </c>
      <c r="AD261" s="41" t="n"/>
      <c r="AE261" s="41" t="n"/>
      <c r="AF261" s="15" t="n"/>
    </row>
    <row r="262">
      <c r="B262" s="9" t="n"/>
      <c r="C262" s="57" t="n">
        <v>25</v>
      </c>
      <c r="D262" s="41" t="n"/>
      <c r="E262" s="55">
        <f>AI52</f>
        <v/>
      </c>
      <c r="F262" s="41" t="n"/>
      <c r="G262" s="41" t="n"/>
      <c r="H262" s="52">
        <f>AM52</f>
        <v/>
      </c>
      <c r="I262" s="41" t="n"/>
      <c r="J262" s="41" t="n"/>
      <c r="K262" s="53">
        <f>AQ52</f>
        <v/>
      </c>
      <c r="L262" s="41" t="n"/>
      <c r="M262" s="41" t="n"/>
      <c r="N262" s="53">
        <f>BC52</f>
        <v/>
      </c>
      <c r="O262" s="41" t="n"/>
      <c r="P262" s="41" t="n"/>
      <c r="Q262" s="66">
        <f>BJ52</f>
        <v/>
      </c>
      <c r="R262" s="41" t="n"/>
      <c r="S262" s="41" t="n"/>
      <c r="T262" s="55">
        <f>AU52</f>
        <v/>
      </c>
      <c r="U262" s="41" t="n"/>
      <c r="V262" s="76">
        <f>BH52</f>
        <v/>
      </c>
      <c r="W262" s="41" t="n"/>
      <c r="X262" s="76">
        <f>BI52</f>
        <v/>
      </c>
      <c r="Y262" s="41" t="n"/>
      <c r="Z262" s="77">
        <f>BK52</f>
        <v/>
      </c>
      <c r="AA262" s="41" t="n"/>
      <c r="AB262" s="41" t="n"/>
      <c r="AC262" s="78">
        <f>BM52</f>
        <v/>
      </c>
      <c r="AD262" s="41" t="n"/>
      <c r="AE262" s="41" t="n"/>
      <c r="AF262" s="15" t="n"/>
    </row>
    <row r="263">
      <c r="B263" s="9" t="n"/>
      <c r="C263" s="57" t="n">
        <v>26</v>
      </c>
      <c r="D263" s="41" t="n"/>
      <c r="E263" s="55">
        <f>AI53</f>
        <v/>
      </c>
      <c r="F263" s="41" t="n"/>
      <c r="G263" s="41" t="n"/>
      <c r="H263" s="52">
        <f>AM53</f>
        <v/>
      </c>
      <c r="I263" s="41" t="n"/>
      <c r="J263" s="41" t="n"/>
      <c r="K263" s="53">
        <f>AQ53</f>
        <v/>
      </c>
      <c r="L263" s="41" t="n"/>
      <c r="M263" s="41" t="n"/>
      <c r="N263" s="53">
        <f>BC53</f>
        <v/>
      </c>
      <c r="O263" s="41" t="n"/>
      <c r="P263" s="41" t="n"/>
      <c r="Q263" s="66">
        <f>BJ53</f>
        <v/>
      </c>
      <c r="R263" s="41" t="n"/>
      <c r="S263" s="41" t="n"/>
      <c r="T263" s="55">
        <f>AU53</f>
        <v/>
      </c>
      <c r="U263" s="41" t="n"/>
      <c r="V263" s="76">
        <f>BH53</f>
        <v/>
      </c>
      <c r="W263" s="41" t="n"/>
      <c r="X263" s="76">
        <f>BI53</f>
        <v/>
      </c>
      <c r="Y263" s="41" t="n"/>
      <c r="Z263" s="77">
        <f>BK53</f>
        <v/>
      </c>
      <c r="AA263" s="41" t="n"/>
      <c r="AB263" s="41" t="n"/>
      <c r="AC263" s="78">
        <f>BM53</f>
        <v/>
      </c>
      <c r="AD263" s="41" t="n"/>
      <c r="AE263" s="41" t="n"/>
      <c r="AF263" s="15" t="n"/>
    </row>
    <row r="264">
      <c r="B264" s="9" t="n"/>
      <c r="C264" s="57" t="n">
        <v>27</v>
      </c>
      <c r="D264" s="41" t="n"/>
      <c r="E264" s="55">
        <f>AI54</f>
        <v/>
      </c>
      <c r="F264" s="41" t="n"/>
      <c r="G264" s="41" t="n"/>
      <c r="H264" s="52">
        <f>AM54</f>
        <v/>
      </c>
      <c r="I264" s="41" t="n"/>
      <c r="J264" s="41" t="n"/>
      <c r="K264" s="53">
        <f>AQ54</f>
        <v/>
      </c>
      <c r="L264" s="41" t="n"/>
      <c r="M264" s="41" t="n"/>
      <c r="N264" s="53">
        <f>BC54</f>
        <v/>
      </c>
      <c r="O264" s="41" t="n"/>
      <c r="P264" s="41" t="n"/>
      <c r="Q264" s="66">
        <f>BJ54</f>
        <v/>
      </c>
      <c r="R264" s="41" t="n"/>
      <c r="S264" s="41" t="n"/>
      <c r="T264" s="55">
        <f>AU54</f>
        <v/>
      </c>
      <c r="U264" s="41" t="n"/>
      <c r="V264" s="76">
        <f>BH54</f>
        <v/>
      </c>
      <c r="W264" s="41" t="n"/>
      <c r="X264" s="76">
        <f>BI54</f>
        <v/>
      </c>
      <c r="Y264" s="41" t="n"/>
      <c r="Z264" s="77">
        <f>BK54</f>
        <v/>
      </c>
      <c r="AA264" s="41" t="n"/>
      <c r="AB264" s="41" t="n"/>
      <c r="AC264" s="78">
        <f>BM54</f>
        <v/>
      </c>
      <c r="AD264" s="41" t="n"/>
      <c r="AE264" s="41" t="n"/>
      <c r="AF264" s="15" t="n"/>
    </row>
    <row r="265">
      <c r="B265" s="9" t="n"/>
      <c r="C265" s="57" t="n">
        <v>28</v>
      </c>
      <c r="D265" s="41" t="n"/>
      <c r="E265" s="55">
        <f>AI55</f>
        <v/>
      </c>
      <c r="F265" s="41" t="n"/>
      <c r="G265" s="41" t="n"/>
      <c r="H265" s="52">
        <f>AM55</f>
        <v/>
      </c>
      <c r="I265" s="41" t="n"/>
      <c r="J265" s="41" t="n"/>
      <c r="K265" s="53">
        <f>AQ55</f>
        <v/>
      </c>
      <c r="L265" s="41" t="n"/>
      <c r="M265" s="41" t="n"/>
      <c r="N265" s="53">
        <f>BC55</f>
        <v/>
      </c>
      <c r="O265" s="41" t="n"/>
      <c r="P265" s="41" t="n"/>
      <c r="Q265" s="66">
        <f>BJ55</f>
        <v/>
      </c>
      <c r="R265" s="41" t="n"/>
      <c r="S265" s="41" t="n"/>
      <c r="T265" s="55">
        <f>AU55</f>
        <v/>
      </c>
      <c r="U265" s="41" t="n"/>
      <c r="V265" s="76">
        <f>BH55</f>
        <v/>
      </c>
      <c r="W265" s="41" t="n"/>
      <c r="X265" s="76">
        <f>BI55</f>
        <v/>
      </c>
      <c r="Y265" s="41" t="n"/>
      <c r="Z265" s="77">
        <f>BK55</f>
        <v/>
      </c>
      <c r="AA265" s="41" t="n"/>
      <c r="AB265" s="41" t="n"/>
      <c r="AC265" s="78">
        <f>BM55</f>
        <v/>
      </c>
      <c r="AD265" s="41" t="n"/>
      <c r="AE265" s="41" t="n"/>
      <c r="AF265" s="15" t="n"/>
    </row>
    <row r="266">
      <c r="B266" s="9" t="n"/>
      <c r="C266" s="57" t="n">
        <v>29</v>
      </c>
      <c r="D266" s="41" t="n"/>
      <c r="E266" s="55">
        <f>AI56</f>
        <v/>
      </c>
      <c r="F266" s="41" t="n"/>
      <c r="G266" s="41" t="n"/>
      <c r="H266" s="52">
        <f>AM56</f>
        <v/>
      </c>
      <c r="I266" s="41" t="n"/>
      <c r="J266" s="41" t="n"/>
      <c r="K266" s="53">
        <f>AQ56</f>
        <v/>
      </c>
      <c r="L266" s="41" t="n"/>
      <c r="M266" s="41" t="n"/>
      <c r="N266" s="53">
        <f>BC56</f>
        <v/>
      </c>
      <c r="O266" s="41" t="n"/>
      <c r="P266" s="41" t="n"/>
      <c r="Q266" s="66">
        <f>BJ56</f>
        <v/>
      </c>
      <c r="R266" s="41" t="n"/>
      <c r="S266" s="41" t="n"/>
      <c r="T266" s="55">
        <f>AU56</f>
        <v/>
      </c>
      <c r="U266" s="41" t="n"/>
      <c r="V266" s="76">
        <f>BH56</f>
        <v/>
      </c>
      <c r="W266" s="41" t="n"/>
      <c r="X266" s="76">
        <f>BI56</f>
        <v/>
      </c>
      <c r="Y266" s="41" t="n"/>
      <c r="Z266" s="77">
        <f>BK56</f>
        <v/>
      </c>
      <c r="AA266" s="41" t="n"/>
      <c r="AB266" s="41" t="n"/>
      <c r="AC266" s="78">
        <f>BM56</f>
        <v/>
      </c>
      <c r="AD266" s="41" t="n"/>
      <c r="AE266" s="41" t="n"/>
      <c r="AF266" s="15" t="n"/>
    </row>
    <row r="267">
      <c r="B267" s="9" t="n"/>
      <c r="C267" s="57" t="n">
        <v>30</v>
      </c>
      <c r="D267" s="41" t="n"/>
      <c r="E267" s="55">
        <f>AI57</f>
        <v/>
      </c>
      <c r="F267" s="41" t="n"/>
      <c r="G267" s="41" t="n"/>
      <c r="H267" s="52">
        <f>AM57</f>
        <v/>
      </c>
      <c r="I267" s="41" t="n"/>
      <c r="J267" s="41" t="n"/>
      <c r="K267" s="53">
        <f>AQ57</f>
        <v/>
      </c>
      <c r="L267" s="41" t="n"/>
      <c r="M267" s="41" t="n"/>
      <c r="N267" s="53">
        <f>BC57</f>
        <v/>
      </c>
      <c r="O267" s="41" t="n"/>
      <c r="P267" s="41" t="n"/>
      <c r="Q267" s="66">
        <f>BJ57</f>
        <v/>
      </c>
      <c r="R267" s="41" t="n"/>
      <c r="S267" s="41" t="n"/>
      <c r="T267" s="55">
        <f>AU57</f>
        <v/>
      </c>
      <c r="U267" s="41" t="n"/>
      <c r="V267" s="76">
        <f>BH57</f>
        <v/>
      </c>
      <c r="W267" s="41" t="n"/>
      <c r="X267" s="76">
        <f>BI57</f>
        <v/>
      </c>
      <c r="Y267" s="41" t="n"/>
      <c r="Z267" s="77">
        <f>BK57</f>
        <v/>
      </c>
      <c r="AA267" s="41" t="n"/>
      <c r="AB267" s="41" t="n"/>
      <c r="AC267" s="78">
        <f>BM57</f>
        <v/>
      </c>
      <c r="AD267" s="41" t="n"/>
      <c r="AE267" s="41" t="n"/>
      <c r="AF267" s="15" t="n"/>
    </row>
    <row r="268">
      <c r="B268" s="9" t="n"/>
      <c r="C268" s="57" t="n">
        <v>31</v>
      </c>
      <c r="D268" s="41" t="n"/>
      <c r="E268" s="55">
        <f>AI58</f>
        <v/>
      </c>
      <c r="F268" s="41" t="n"/>
      <c r="G268" s="41" t="n"/>
      <c r="H268" s="52">
        <f>AM58</f>
        <v/>
      </c>
      <c r="I268" s="41" t="n"/>
      <c r="J268" s="41" t="n"/>
      <c r="K268" s="53">
        <f>AQ58</f>
        <v/>
      </c>
      <c r="L268" s="41" t="n"/>
      <c r="M268" s="41" t="n"/>
      <c r="N268" s="53">
        <f>BC58</f>
        <v/>
      </c>
      <c r="O268" s="41" t="n"/>
      <c r="P268" s="41" t="n"/>
      <c r="Q268" s="66">
        <f>BJ58</f>
        <v/>
      </c>
      <c r="R268" s="41" t="n"/>
      <c r="S268" s="41" t="n"/>
      <c r="T268" s="55">
        <f>AU58</f>
        <v/>
      </c>
      <c r="U268" s="41" t="n"/>
      <c r="V268" s="76">
        <f>BH58</f>
        <v/>
      </c>
      <c r="W268" s="41" t="n"/>
      <c r="X268" s="76">
        <f>BI58</f>
        <v/>
      </c>
      <c r="Y268" s="41" t="n"/>
      <c r="Z268" s="77">
        <f>BK58</f>
        <v/>
      </c>
      <c r="AA268" s="41" t="n"/>
      <c r="AB268" s="41" t="n"/>
      <c r="AC268" s="78">
        <f>BM58</f>
        <v/>
      </c>
      <c r="AD268" s="41" t="n"/>
      <c r="AE268" s="41" t="n"/>
      <c r="AF268" s="15" t="n"/>
    </row>
    <row r="269">
      <c r="B269" s="9" t="n"/>
      <c r="C269" s="57" t="n">
        <v>32</v>
      </c>
      <c r="D269" s="41" t="n"/>
      <c r="E269" s="55">
        <f>AI59</f>
        <v/>
      </c>
      <c r="F269" s="41" t="n"/>
      <c r="G269" s="41" t="n"/>
      <c r="H269" s="52">
        <f>AM59</f>
        <v/>
      </c>
      <c r="I269" s="41" t="n"/>
      <c r="J269" s="41" t="n"/>
      <c r="K269" s="53">
        <f>AQ59</f>
        <v/>
      </c>
      <c r="L269" s="41" t="n"/>
      <c r="M269" s="41" t="n"/>
      <c r="N269" s="53">
        <f>BC59</f>
        <v/>
      </c>
      <c r="O269" s="41" t="n"/>
      <c r="P269" s="41" t="n"/>
      <c r="Q269" s="66">
        <f>BJ59</f>
        <v/>
      </c>
      <c r="R269" s="41" t="n"/>
      <c r="S269" s="41" t="n"/>
      <c r="T269" s="55">
        <f>AU59</f>
        <v/>
      </c>
      <c r="U269" s="41" t="n"/>
      <c r="V269" s="76">
        <f>BH59</f>
        <v/>
      </c>
      <c r="W269" s="41" t="n"/>
      <c r="X269" s="76">
        <f>BI59</f>
        <v/>
      </c>
      <c r="Y269" s="41" t="n"/>
      <c r="Z269" s="77">
        <f>BK59</f>
        <v/>
      </c>
      <c r="AA269" s="41" t="n"/>
      <c r="AB269" s="41" t="n"/>
      <c r="AC269" s="78">
        <f>BM59</f>
        <v/>
      </c>
      <c r="AD269" s="41" t="n"/>
      <c r="AE269" s="41" t="n"/>
      <c r="AF269" s="15" t="n"/>
    </row>
    <row r="270">
      <c r="B270" s="9" t="n"/>
      <c r="C270" s="57" t="n">
        <v>33</v>
      </c>
      <c r="D270" s="41" t="n"/>
      <c r="E270" s="55">
        <f>AI60</f>
        <v/>
      </c>
      <c r="F270" s="41" t="n"/>
      <c r="G270" s="41" t="n"/>
      <c r="H270" s="52">
        <f>AM60</f>
        <v/>
      </c>
      <c r="I270" s="41" t="n"/>
      <c r="J270" s="41" t="n"/>
      <c r="K270" s="53">
        <f>AQ60</f>
        <v/>
      </c>
      <c r="L270" s="41" t="n"/>
      <c r="M270" s="41" t="n"/>
      <c r="N270" s="53">
        <f>BC60</f>
        <v/>
      </c>
      <c r="O270" s="41" t="n"/>
      <c r="P270" s="41" t="n"/>
      <c r="Q270" s="66">
        <f>BJ60</f>
        <v/>
      </c>
      <c r="R270" s="41" t="n"/>
      <c r="S270" s="41" t="n"/>
      <c r="T270" s="55">
        <f>AU60</f>
        <v/>
      </c>
      <c r="U270" s="41" t="n"/>
      <c r="V270" s="76">
        <f>BH60</f>
        <v/>
      </c>
      <c r="W270" s="41" t="n"/>
      <c r="X270" s="76">
        <f>BI60</f>
        <v/>
      </c>
      <c r="Y270" s="41" t="n"/>
      <c r="Z270" s="77">
        <f>BK60</f>
        <v/>
      </c>
      <c r="AA270" s="41" t="n"/>
      <c r="AB270" s="41" t="n"/>
      <c r="AC270" s="78">
        <f>BM60</f>
        <v/>
      </c>
      <c r="AD270" s="41" t="n"/>
      <c r="AE270" s="41" t="n"/>
      <c r="AF270" s="15" t="n"/>
    </row>
    <row r="271">
      <c r="B271" s="9" t="n"/>
      <c r="C271" s="57" t="n">
        <v>34</v>
      </c>
      <c r="D271" s="41" t="n"/>
      <c r="E271" s="55">
        <f>AI61</f>
        <v/>
      </c>
      <c r="F271" s="41" t="n"/>
      <c r="G271" s="41" t="n"/>
      <c r="H271" s="52">
        <f>AM61</f>
        <v/>
      </c>
      <c r="I271" s="41" t="n"/>
      <c r="J271" s="41" t="n"/>
      <c r="K271" s="53">
        <f>AQ61</f>
        <v/>
      </c>
      <c r="L271" s="41" t="n"/>
      <c r="M271" s="41" t="n"/>
      <c r="N271" s="53">
        <f>BC61</f>
        <v/>
      </c>
      <c r="O271" s="41" t="n"/>
      <c r="P271" s="41" t="n"/>
      <c r="Q271" s="66">
        <f>BJ61</f>
        <v/>
      </c>
      <c r="R271" s="41" t="n"/>
      <c r="S271" s="41" t="n"/>
      <c r="T271" s="55">
        <f>AU61</f>
        <v/>
      </c>
      <c r="U271" s="41" t="n"/>
      <c r="V271" s="76">
        <f>BH61</f>
        <v/>
      </c>
      <c r="W271" s="41" t="n"/>
      <c r="X271" s="76">
        <f>BI61</f>
        <v/>
      </c>
      <c r="Y271" s="41" t="n"/>
      <c r="Z271" s="77">
        <f>BK61</f>
        <v/>
      </c>
      <c r="AA271" s="41" t="n"/>
      <c r="AB271" s="41" t="n"/>
      <c r="AC271" s="78">
        <f>BM61</f>
        <v/>
      </c>
      <c r="AD271" s="41" t="n"/>
      <c r="AE271" s="41" t="n"/>
      <c r="AF271" s="15" t="n"/>
    </row>
    <row r="272">
      <c r="B272" s="9" t="n"/>
      <c r="C272" s="57" t="n">
        <v>35</v>
      </c>
      <c r="D272" s="41" t="n"/>
      <c r="E272" s="55">
        <f>AI62</f>
        <v/>
      </c>
      <c r="F272" s="41" t="n"/>
      <c r="G272" s="41" t="n"/>
      <c r="H272" s="52">
        <f>AM62</f>
        <v/>
      </c>
      <c r="I272" s="41" t="n"/>
      <c r="J272" s="41" t="n"/>
      <c r="K272" s="53">
        <f>AQ62</f>
        <v/>
      </c>
      <c r="L272" s="41" t="n"/>
      <c r="M272" s="41" t="n"/>
      <c r="N272" s="53">
        <f>BC62</f>
        <v/>
      </c>
      <c r="O272" s="41" t="n"/>
      <c r="P272" s="41" t="n"/>
      <c r="Q272" s="66">
        <f>BJ62</f>
        <v/>
      </c>
      <c r="R272" s="41" t="n"/>
      <c r="S272" s="41" t="n"/>
      <c r="T272" s="55">
        <f>AU62</f>
        <v/>
      </c>
      <c r="U272" s="41" t="n"/>
      <c r="V272" s="76">
        <f>BH62</f>
        <v/>
      </c>
      <c r="W272" s="41" t="n"/>
      <c r="X272" s="76">
        <f>BI62</f>
        <v/>
      </c>
      <c r="Y272" s="41" t="n"/>
      <c r="Z272" s="77">
        <f>BK62</f>
        <v/>
      </c>
      <c r="AA272" s="41" t="n"/>
      <c r="AB272" s="41" t="n"/>
      <c r="AC272" s="78">
        <f>BM62</f>
        <v/>
      </c>
      <c r="AD272" s="41" t="n"/>
      <c r="AE272" s="41" t="n"/>
      <c r="AF272" s="15" t="n"/>
    </row>
    <row r="273">
      <c r="B273" s="9" t="n"/>
      <c r="C273" s="57" t="n">
        <v>36</v>
      </c>
      <c r="D273" s="41" t="n"/>
      <c r="E273" s="55">
        <f>AI63</f>
        <v/>
      </c>
      <c r="F273" s="41" t="n"/>
      <c r="G273" s="41" t="n"/>
      <c r="H273" s="52">
        <f>AM63</f>
        <v/>
      </c>
      <c r="I273" s="41" t="n"/>
      <c r="J273" s="41" t="n"/>
      <c r="K273" s="53">
        <f>AQ63</f>
        <v/>
      </c>
      <c r="L273" s="41" t="n"/>
      <c r="M273" s="41" t="n"/>
      <c r="N273" s="53">
        <f>BC63</f>
        <v/>
      </c>
      <c r="O273" s="41" t="n"/>
      <c r="P273" s="41" t="n"/>
      <c r="Q273" s="66">
        <f>BJ63</f>
        <v/>
      </c>
      <c r="R273" s="41" t="n"/>
      <c r="S273" s="41" t="n"/>
      <c r="T273" s="55">
        <f>AU63</f>
        <v/>
      </c>
      <c r="U273" s="41" t="n"/>
      <c r="V273" s="76">
        <f>BH63</f>
        <v/>
      </c>
      <c r="W273" s="41" t="n"/>
      <c r="X273" s="76">
        <f>BI63</f>
        <v/>
      </c>
      <c r="Y273" s="41" t="n"/>
      <c r="Z273" s="77">
        <f>BK63</f>
        <v/>
      </c>
      <c r="AA273" s="41" t="n"/>
      <c r="AB273" s="41" t="n"/>
      <c r="AC273" s="78">
        <f>BM63</f>
        <v/>
      </c>
      <c r="AD273" s="41" t="n"/>
      <c r="AE273" s="41" t="n"/>
      <c r="AF273" s="15" t="n"/>
    </row>
    <row r="274">
      <c r="B274" s="9" t="n"/>
      <c r="C274" s="57" t="n">
        <v>37</v>
      </c>
      <c r="D274" s="41" t="n"/>
      <c r="E274" s="55">
        <f>AI64</f>
        <v/>
      </c>
      <c r="F274" s="41" t="n"/>
      <c r="G274" s="41" t="n"/>
      <c r="H274" s="52">
        <f>AM64</f>
        <v/>
      </c>
      <c r="I274" s="41" t="n"/>
      <c r="J274" s="41" t="n"/>
      <c r="K274" s="53">
        <f>AQ64</f>
        <v/>
      </c>
      <c r="L274" s="41" t="n"/>
      <c r="M274" s="41" t="n"/>
      <c r="N274" s="53">
        <f>BC64</f>
        <v/>
      </c>
      <c r="O274" s="41" t="n"/>
      <c r="P274" s="41" t="n"/>
      <c r="Q274" s="66">
        <f>BJ64</f>
        <v/>
      </c>
      <c r="R274" s="41" t="n"/>
      <c r="S274" s="41" t="n"/>
      <c r="T274" s="55">
        <f>AU64</f>
        <v/>
      </c>
      <c r="U274" s="41" t="n"/>
      <c r="V274" s="76">
        <f>BH64</f>
        <v/>
      </c>
      <c r="W274" s="41" t="n"/>
      <c r="X274" s="76">
        <f>BI64</f>
        <v/>
      </c>
      <c r="Y274" s="41" t="n"/>
      <c r="Z274" s="77">
        <f>BK64</f>
        <v/>
      </c>
      <c r="AA274" s="41" t="n"/>
      <c r="AB274" s="41" t="n"/>
      <c r="AC274" s="78">
        <f>BM64</f>
        <v/>
      </c>
      <c r="AD274" s="41" t="n"/>
      <c r="AE274" s="41" t="n"/>
      <c r="AF274" s="15" t="n"/>
    </row>
    <row r="275">
      <c r="B275" s="9" t="n"/>
      <c r="C275" s="57" t="n">
        <v>38</v>
      </c>
      <c r="D275" s="41" t="n"/>
      <c r="E275" s="55">
        <f>AI65</f>
        <v/>
      </c>
      <c r="F275" s="41" t="n"/>
      <c r="G275" s="41" t="n"/>
      <c r="H275" s="52">
        <f>AM65</f>
        <v/>
      </c>
      <c r="I275" s="41" t="n"/>
      <c r="J275" s="41" t="n"/>
      <c r="K275" s="53">
        <f>AQ65</f>
        <v/>
      </c>
      <c r="L275" s="41" t="n"/>
      <c r="M275" s="41" t="n"/>
      <c r="N275" s="53">
        <f>BC65</f>
        <v/>
      </c>
      <c r="O275" s="41" t="n"/>
      <c r="P275" s="41" t="n"/>
      <c r="Q275" s="66">
        <f>BJ65</f>
        <v/>
      </c>
      <c r="R275" s="41" t="n"/>
      <c r="S275" s="41" t="n"/>
      <c r="T275" s="55">
        <f>AU65</f>
        <v/>
      </c>
      <c r="U275" s="41" t="n"/>
      <c r="V275" s="76">
        <f>BH65</f>
        <v/>
      </c>
      <c r="W275" s="41" t="n"/>
      <c r="X275" s="76">
        <f>BI65</f>
        <v/>
      </c>
      <c r="Y275" s="41" t="n"/>
      <c r="Z275" s="77">
        <f>BK65</f>
        <v/>
      </c>
      <c r="AA275" s="41" t="n"/>
      <c r="AB275" s="41" t="n"/>
      <c r="AC275" s="78">
        <f>BM65</f>
        <v/>
      </c>
      <c r="AD275" s="41" t="n"/>
      <c r="AE275" s="41" t="n"/>
      <c r="AF275" s="15" t="n"/>
    </row>
    <row r="276">
      <c r="B276" s="9" t="n"/>
      <c r="C276" s="57" t="n">
        <v>39</v>
      </c>
      <c r="D276" s="41" t="n"/>
      <c r="E276" s="55">
        <f>AI66</f>
        <v/>
      </c>
      <c r="F276" s="41" t="n"/>
      <c r="G276" s="41" t="n"/>
      <c r="H276" s="52">
        <f>AM66</f>
        <v/>
      </c>
      <c r="I276" s="41" t="n"/>
      <c r="J276" s="41" t="n"/>
      <c r="K276" s="53">
        <f>AQ66</f>
        <v/>
      </c>
      <c r="L276" s="41" t="n"/>
      <c r="M276" s="41" t="n"/>
      <c r="N276" s="53">
        <f>BC66</f>
        <v/>
      </c>
      <c r="O276" s="41" t="n"/>
      <c r="P276" s="41" t="n"/>
      <c r="Q276" s="66">
        <f>BJ66</f>
        <v/>
      </c>
      <c r="R276" s="41" t="n"/>
      <c r="S276" s="41" t="n"/>
      <c r="T276" s="55">
        <f>AU66</f>
        <v/>
      </c>
      <c r="U276" s="41" t="n"/>
      <c r="V276" s="76">
        <f>BH66</f>
        <v/>
      </c>
      <c r="W276" s="41" t="n"/>
      <c r="X276" s="76">
        <f>BI66</f>
        <v/>
      </c>
      <c r="Y276" s="41" t="n"/>
      <c r="Z276" s="77">
        <f>BK66</f>
        <v/>
      </c>
      <c r="AA276" s="41" t="n"/>
      <c r="AB276" s="41" t="n"/>
      <c r="AC276" s="78">
        <f>BM66</f>
        <v/>
      </c>
      <c r="AD276" s="41" t="n"/>
      <c r="AE276" s="41" t="n"/>
      <c r="AF276" s="15" t="n"/>
    </row>
    <row r="277">
      <c r="B277" s="9" t="n"/>
      <c r="C277" s="57" t="n">
        <v>40</v>
      </c>
      <c r="D277" s="41" t="n"/>
      <c r="E277" s="55">
        <f>AI67</f>
        <v/>
      </c>
      <c r="F277" s="41" t="n"/>
      <c r="G277" s="41" t="n"/>
      <c r="H277" s="52">
        <f>AM67</f>
        <v/>
      </c>
      <c r="I277" s="41" t="n"/>
      <c r="J277" s="41" t="n"/>
      <c r="K277" s="53">
        <f>AQ67</f>
        <v/>
      </c>
      <c r="L277" s="41" t="n"/>
      <c r="M277" s="41" t="n"/>
      <c r="N277" s="53">
        <f>BC67</f>
        <v/>
      </c>
      <c r="O277" s="41" t="n"/>
      <c r="P277" s="41" t="n"/>
      <c r="Q277" s="66">
        <f>BJ67</f>
        <v/>
      </c>
      <c r="R277" s="41" t="n"/>
      <c r="S277" s="41" t="n"/>
      <c r="T277" s="55">
        <f>AU67</f>
        <v/>
      </c>
      <c r="U277" s="41" t="n"/>
      <c r="V277" s="76">
        <f>BH67</f>
        <v/>
      </c>
      <c r="W277" s="41" t="n"/>
      <c r="X277" s="76">
        <f>BI67</f>
        <v/>
      </c>
      <c r="Y277" s="41" t="n"/>
      <c r="Z277" s="77">
        <f>BK67</f>
        <v/>
      </c>
      <c r="AA277" s="41" t="n"/>
      <c r="AB277" s="41" t="n"/>
      <c r="AC277" s="78">
        <f>BM67</f>
        <v/>
      </c>
      <c r="AD277" s="41" t="n"/>
      <c r="AE277" s="41" t="n"/>
      <c r="AF277" s="15" t="n"/>
    </row>
    <row r="278">
      <c r="B278" s="9" t="n"/>
      <c r="C278" s="69" t="n">
        <v>41</v>
      </c>
      <c r="D278" s="46" t="n"/>
      <c r="E278" s="70">
        <f>AI68</f>
        <v/>
      </c>
      <c r="F278" s="46" t="n"/>
      <c r="G278" s="46" t="n"/>
      <c r="H278" s="59">
        <f>AM68</f>
        <v/>
      </c>
      <c r="I278" s="46" t="n"/>
      <c r="J278" s="46" t="n"/>
      <c r="K278" s="60">
        <f>AQ68</f>
        <v/>
      </c>
      <c r="L278" s="46" t="n"/>
      <c r="M278" s="46" t="n"/>
      <c r="N278" s="60">
        <f>BC68</f>
        <v/>
      </c>
      <c r="O278" s="46" t="n"/>
      <c r="P278" s="46" t="n"/>
      <c r="Q278" s="71">
        <f>BJ68</f>
        <v/>
      </c>
      <c r="R278" s="46" t="n"/>
      <c r="S278" s="46" t="n"/>
      <c r="T278" s="70">
        <f>AU68</f>
        <v/>
      </c>
      <c r="U278" s="46" t="n"/>
      <c r="V278" s="79">
        <f>BH68</f>
        <v/>
      </c>
      <c r="W278" s="46" t="n"/>
      <c r="X278" s="79">
        <f>BI68</f>
        <v/>
      </c>
      <c r="Y278" s="46" t="n"/>
      <c r="Z278" s="80">
        <f>BK68</f>
        <v/>
      </c>
      <c r="AA278" s="46" t="n"/>
      <c r="AB278" s="46" t="n"/>
      <c r="AC278" s="81">
        <f>BM68</f>
        <v/>
      </c>
      <c r="AD278" s="46" t="n"/>
      <c r="AE278" s="46" t="n"/>
      <c r="AF278" s="15" t="n"/>
    </row>
    <row r="279">
      <c r="B279" s="9" t="n"/>
      <c r="AF279" s="15" t="n"/>
    </row>
    <row r="280">
      <c r="B280" s="9" t="n"/>
      <c r="C280" s="25" t="inlineStr">
        <is>
          <t>Total consolidation settlement</t>
        </is>
      </c>
      <c r="O280" s="26" t="inlineStr">
        <is>
          <t>Sc = Σ Sc</t>
        </is>
      </c>
      <c r="X280" s="27" t="inlineStr">
        <is>
          <t>Sc =</t>
        </is>
      </c>
      <c r="Y280" s="13" t="n"/>
      <c r="Z280" s="13" t="n"/>
      <c r="AA280" s="30">
        <f>SUM(BK28:BK68)</f>
        <v/>
      </c>
      <c r="AB280" s="13" t="n"/>
      <c r="AC280" s="13" t="n"/>
      <c r="AD280" s="25" t="inlineStr">
        <is>
          <t>mm</t>
        </is>
      </c>
      <c r="AF280" s="15" t="n"/>
    </row>
    <row r="281">
      <c r="B281" s="9" t="n"/>
      <c r="C281" s="25" t="inlineStr">
        <is>
          <t>Time for 90 % consolidation (slowest layer)</t>
        </is>
      </c>
      <c r="O281" s="26" t="inlineStr">
        <is>
          <t>t90 = max</t>
        </is>
      </c>
      <c r="X281" s="27" t="inlineStr">
        <is>
          <t>t90 =</t>
        </is>
      </c>
      <c r="Y281" s="13" t="n"/>
      <c r="Z281" s="13" t="n"/>
      <c r="AA281" s="61">
        <f>MAX(BM28:BM68)</f>
        <v/>
      </c>
      <c r="AB281" s="13" t="n"/>
      <c r="AC281" s="13" t="n"/>
      <c r="AD281" s="25" t="inlineStr">
        <is>
          <t>year</t>
        </is>
      </c>
      <c r="AF281" s="15" t="n"/>
    </row>
    <row r="282">
      <c r="B282" s="9" t="n"/>
      <c r="AF282" s="15" t="n"/>
    </row>
    <row r="283">
      <c r="B283" s="9" t="n"/>
      <c r="AF283" s="15" t="n"/>
    </row>
    <row r="284">
      <c r="B284" s="9" t="n"/>
      <c r="AF284" s="15" t="n"/>
    </row>
    <row r="285">
      <c r="B285" s="9" t="n"/>
      <c r="AF285" s="15" t="n"/>
    </row>
    <row r="286">
      <c r="B286" s="9" t="n"/>
      <c r="AF286" s="15" t="n"/>
    </row>
    <row r="287">
      <c r="B287" s="9" t="n"/>
      <c r="AF287" s="15" t="n"/>
    </row>
    <row r="288">
      <c r="B288" s="9" t="n"/>
      <c r="AF288" s="15" t="n"/>
    </row>
    <row r="289">
      <c r="B289" s="47" t="n"/>
      <c r="C289" s="48" t="n"/>
      <c r="D289" s="48" t="n"/>
      <c r="E289" s="48" t="n"/>
      <c r="F289" s="48" t="n"/>
      <c r="G289" s="48" t="n"/>
      <c r="H289" s="48" t="n"/>
      <c r="I289" s="48" t="n"/>
      <c r="J289" s="48" t="n"/>
      <c r="K289" s="48" t="n"/>
      <c r="L289" s="48" t="n"/>
      <c r="M289" s="48" t="n"/>
      <c r="N289" s="48" t="n"/>
      <c r="O289" s="48" t="n"/>
      <c r="P289" s="48" t="n"/>
      <c r="Q289" s="48" t="n"/>
      <c r="R289" s="48" t="n"/>
      <c r="S289" s="48" t="n"/>
      <c r="T289" s="48" t="n"/>
      <c r="U289" s="48" t="n"/>
      <c r="V289" s="48" t="n"/>
      <c r="W289" s="48" t="n"/>
      <c r="X289" s="49" t="inlineStr">
        <is>
          <t>Sheet :</t>
        </is>
      </c>
      <c r="Y289" s="48" t="n"/>
      <c r="Z289" s="48" t="n"/>
      <c r="AA289" s="48" t="n"/>
      <c r="AB289" s="49" t="n">
        <v>4</v>
      </c>
      <c r="AC289" s="48" t="n"/>
      <c r="AD289" s="48" t="n"/>
      <c r="AE289" s="48" t="n"/>
      <c r="AF289" s="50" t="n"/>
    </row>
    <row r="290">
      <c r="B290" s="1" t="n"/>
      <c r="C290" s="2" t="inlineStr">
        <is>
          <t>PROJECT :</t>
        </is>
      </c>
      <c r="D290" s="3" t="n"/>
      <c r="E290" s="3" t="n"/>
      <c r="F290" s="3" t="n"/>
      <c r="G290" s="3" t="n"/>
      <c r="H290" s="4" t="inlineStr">
        <is>
          <t>GEOTHERMAL WELLPAD PSPE BORA PULU - SIGI, CENTRAL SULAWESI</t>
        </is>
      </c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5" t="inlineStr">
        <is>
          <t>Prepared by :</t>
        </is>
      </c>
      <c r="Y290" s="6" t="n"/>
      <c r="Z290" s="6" t="n"/>
      <c r="AA290" s="6" t="n"/>
      <c r="AB290" s="7" t="inlineStr">
        <is>
          <t>Date</t>
        </is>
      </c>
      <c r="AC290" s="6" t="n"/>
      <c r="AD290" s="6" t="n"/>
      <c r="AE290" s="6" t="n"/>
      <c r="AF290" s="8" t="n"/>
    </row>
    <row r="291">
      <c r="B291" s="9" t="n"/>
      <c r="C291" s="10" t="inlineStr">
        <is>
          <t>CLIENT :</t>
        </is>
      </c>
      <c r="H291" s="11" t="inlineStr">
        <is>
          <t>PT EDC PANAS BUMI INDONESIA</t>
        </is>
      </c>
      <c r="X291" s="12" t="inlineStr">
        <is>
          <t>DF</t>
        </is>
      </c>
      <c r="Y291" s="13" t="n"/>
      <c r="Z291" s="13" t="n"/>
      <c r="AA291" s="13" t="n"/>
      <c r="AB291" s="14" t="n">
        <v>46301</v>
      </c>
      <c r="AC291" s="13" t="n"/>
      <c r="AD291" s="13" t="n"/>
      <c r="AE291" s="13" t="n"/>
      <c r="AF291" s="15" t="n"/>
    </row>
    <row r="292">
      <c r="B292" s="9" t="n"/>
      <c r="C292" s="10" t="inlineStr">
        <is>
          <t>LOCATION :</t>
        </is>
      </c>
      <c r="H292" s="11" t="inlineStr">
        <is>
          <t>BH-02 (Wellpad A)</t>
        </is>
      </c>
      <c r="X292" s="12" t="inlineStr">
        <is>
          <t>Verified by :</t>
        </is>
      </c>
      <c r="Y292" s="13" t="n"/>
      <c r="Z292" s="13" t="n"/>
      <c r="AA292" s="13" t="n"/>
      <c r="AB292" s="14" t="inlineStr">
        <is>
          <t>Date</t>
        </is>
      </c>
      <c r="AC292" s="13" t="n"/>
      <c r="AD292" s="13" t="n"/>
      <c r="AE292" s="13" t="n"/>
      <c r="AF292" s="15" t="n"/>
    </row>
    <row r="293">
      <c r="B293" s="16" t="n"/>
      <c r="C293" s="17" t="inlineStr">
        <is>
          <t>SHEET :</t>
        </is>
      </c>
      <c r="D293" s="18" t="n"/>
      <c r="E293" s="18" t="n"/>
      <c r="F293" s="18" t="n"/>
      <c r="G293" s="18" t="n"/>
      <c r="H293" s="19" t="inlineStr">
        <is>
          <t>BEARING CAPACITY AND SETTLEMENT OF SUBGRADE</t>
        </is>
      </c>
      <c r="I293" s="18" t="n"/>
      <c r="J293" s="18" t="n"/>
      <c r="K293" s="18" t="n"/>
      <c r="L293" s="18" t="n"/>
      <c r="M293" s="18" t="n"/>
      <c r="N293" s="18" t="n"/>
      <c r="O293" s="18" t="n"/>
      <c r="P293" s="18" t="n"/>
      <c r="Q293" s="18" t="n"/>
      <c r="R293" s="18" t="n"/>
      <c r="S293" s="18" t="n"/>
      <c r="T293" s="18" t="n"/>
      <c r="U293" s="18" t="n"/>
      <c r="V293" s="18" t="n"/>
      <c r="W293" s="18" t="n"/>
      <c r="X293" s="20" t="inlineStr">
        <is>
          <t>BC</t>
        </is>
      </c>
      <c r="Y293" s="21" t="n"/>
      <c r="Z293" s="21" t="n"/>
      <c r="AA293" s="21" t="n"/>
      <c r="AB293" s="22" t="n">
        <v>46301</v>
      </c>
      <c r="AC293" s="21" t="n"/>
      <c r="AD293" s="21" t="n"/>
      <c r="AE293" s="21" t="n"/>
      <c r="AF293" s="23" t="n"/>
    </row>
    <row r="294">
      <c r="B294" s="9" t="n"/>
      <c r="AF294" s="15" t="n"/>
    </row>
    <row r="295">
      <c r="B295" s="9" t="n"/>
      <c r="C295" s="11" t="inlineStr">
        <is>
          <t>6. SUMMARY</t>
        </is>
      </c>
      <c r="AF295" s="15" t="n"/>
    </row>
    <row r="296">
      <c r="B296" s="9" t="n"/>
      <c r="AF296" s="15" t="n"/>
    </row>
    <row r="297">
      <c r="B297" s="9" t="n"/>
      <c r="C297" s="25" t="inlineStr">
        <is>
          <t>Allowable bearing capacity - without improvement</t>
        </is>
      </c>
      <c r="O297" s="26" t="inlineStr"/>
      <c r="X297" s="27" t="inlineStr">
        <is>
          <t>qall =</t>
        </is>
      </c>
      <c r="Y297" s="13" t="n"/>
      <c r="Z297" s="13" t="n"/>
      <c r="AA297" s="62">
        <f>$AA$97</f>
        <v/>
      </c>
      <c r="AB297" s="13" t="n"/>
      <c r="AC297" s="13" t="n"/>
      <c r="AD297" s="25" t="inlineStr">
        <is>
          <t>kPa</t>
        </is>
      </c>
      <c r="AF297" s="15" t="n"/>
    </row>
    <row r="298">
      <c r="B298" s="9" t="n"/>
      <c r="C298" s="25" t="inlineStr">
        <is>
          <t xml:space="preserve">   check</t>
        </is>
      </c>
      <c r="X298" s="82">
        <f>$X$101</f>
        <v/>
      </c>
      <c r="AF298" s="15" t="n"/>
    </row>
    <row r="299">
      <c r="B299" s="9" t="n"/>
      <c r="C299" s="25" t="inlineStr">
        <is>
          <t>Allowable bearing capacity - design condition</t>
        </is>
      </c>
      <c r="O299" s="26" t="inlineStr">
        <is>
          <t>Dr from Section 1.2</t>
        </is>
      </c>
      <c r="X299" s="27" t="inlineStr">
        <is>
          <t>qall =</t>
        </is>
      </c>
      <c r="Y299" s="13" t="n"/>
      <c r="Z299" s="13" t="n"/>
      <c r="AA299" s="62">
        <f>$AA$115</f>
        <v/>
      </c>
      <c r="AB299" s="13" t="n"/>
      <c r="AC299" s="13" t="n"/>
      <c r="AD299" s="25" t="inlineStr">
        <is>
          <t>kPa</t>
        </is>
      </c>
      <c r="AF299" s="15" t="n"/>
    </row>
    <row r="300">
      <c r="B300" s="9" t="n"/>
      <c r="C300" s="25" t="inlineStr">
        <is>
          <t xml:space="preserve">   check</t>
        </is>
      </c>
      <c r="X300" s="82">
        <f>$X$119</f>
        <v/>
      </c>
      <c r="AF300" s="15" t="n"/>
    </row>
    <row r="301">
      <c r="B301" s="9" t="n"/>
      <c r="C301" s="25" t="inlineStr">
        <is>
          <t>Immediate settlement (layered elastic)</t>
        </is>
      </c>
      <c r="O301" s="26" t="inlineStr">
        <is>
          <t>Section 4</t>
        </is>
      </c>
      <c r="X301" s="27" t="inlineStr">
        <is>
          <t>Si =</t>
        </is>
      </c>
      <c r="Y301" s="13" t="n"/>
      <c r="Z301" s="13" t="n"/>
      <c r="AA301" s="62">
        <f>$AA$201</f>
        <v/>
      </c>
      <c r="AB301" s="13" t="n"/>
      <c r="AC301" s="13" t="n"/>
      <c r="AD301" s="25" t="inlineStr">
        <is>
          <t>mm</t>
        </is>
      </c>
      <c r="AF301" s="15" t="n"/>
    </row>
    <row r="302">
      <c r="B302" s="9" t="n"/>
      <c r="C302" s="25" t="inlineStr">
        <is>
          <t>Immediate settlement of sand (B&amp;B check)</t>
        </is>
      </c>
      <c r="O302" s="26" t="inlineStr">
        <is>
          <t>Section 4.1</t>
        </is>
      </c>
      <c r="X302" s="27" t="inlineStr">
        <is>
          <t>S =</t>
        </is>
      </c>
      <c r="Y302" s="13" t="n"/>
      <c r="Z302" s="13" t="n"/>
      <c r="AA302" s="62">
        <f>$AA$229</f>
        <v/>
      </c>
      <c r="AB302" s="13" t="n"/>
      <c r="AC302" s="13" t="n"/>
      <c r="AD302" s="25" t="inlineStr">
        <is>
          <t>mm</t>
        </is>
      </c>
      <c r="AF302" s="15" t="n"/>
    </row>
    <row r="303">
      <c r="B303" s="9" t="n"/>
      <c r="C303" s="25" t="inlineStr">
        <is>
          <t>Consolidation settlement</t>
        </is>
      </c>
      <c r="O303" s="26" t="inlineStr">
        <is>
          <t>Section 5</t>
        </is>
      </c>
      <c r="X303" s="27" t="inlineStr">
        <is>
          <t>Sc =</t>
        </is>
      </c>
      <c r="Y303" s="13" t="n"/>
      <c r="Z303" s="13" t="n"/>
      <c r="AA303" s="62">
        <f>$AA$280</f>
        <v/>
      </c>
      <c r="AB303" s="13" t="n"/>
      <c r="AC303" s="13" t="n"/>
      <c r="AD303" s="25" t="inlineStr">
        <is>
          <t>mm</t>
        </is>
      </c>
      <c r="AF303" s="15" t="n"/>
    </row>
    <row r="304">
      <c r="B304" s="9" t="n"/>
      <c r="C304" s="25" t="inlineStr">
        <is>
          <t>Time for 90 % consolidation</t>
        </is>
      </c>
      <c r="O304" s="26" t="inlineStr">
        <is>
          <t>Section 5</t>
        </is>
      </c>
      <c r="X304" s="27" t="inlineStr">
        <is>
          <t>t90 =</t>
        </is>
      </c>
      <c r="Y304" s="13" t="n"/>
      <c r="Z304" s="13" t="n"/>
      <c r="AA304" s="61">
        <f>$AA$281</f>
        <v/>
      </c>
      <c r="AB304" s="13" t="n"/>
      <c r="AC304" s="13" t="n"/>
      <c r="AD304" s="25" t="inlineStr">
        <is>
          <t>year</t>
        </is>
      </c>
      <c r="AF304" s="15" t="n"/>
    </row>
    <row r="305">
      <c r="B305" s="9" t="n"/>
      <c r="C305" s="25" t="inlineStr">
        <is>
          <t>Total long-term settlement</t>
        </is>
      </c>
      <c r="O305" s="26" t="inlineStr">
        <is>
          <t>S = Si + Sc</t>
        </is>
      </c>
      <c r="X305" s="27" t="inlineStr">
        <is>
          <t>S =</t>
        </is>
      </c>
      <c r="Y305" s="13" t="n"/>
      <c r="Z305" s="13" t="n"/>
      <c r="AA305" s="30">
        <f>$AA$201+$AA$280</f>
        <v/>
      </c>
      <c r="AB305" s="13" t="n"/>
      <c r="AC305" s="13" t="n"/>
      <c r="AD305" s="25" t="inlineStr">
        <is>
          <t>mm</t>
        </is>
      </c>
      <c r="AF305" s="15" t="n"/>
    </row>
    <row r="306">
      <c r="B306" s="9" t="n"/>
      <c r="C306" s="11" t="inlineStr">
        <is>
          <t>Settlement check</t>
        </is>
      </c>
      <c r="X306" s="73">
        <f>IF($AA$305&lt;=Input!$AA$22,"S ≤ S all …. OK!!","S &gt; S all …. NG!!")</f>
        <v/>
      </c>
      <c r="Y306" s="13" t="n"/>
      <c r="Z306" s="13" t="n"/>
      <c r="AA306" s="13" t="n"/>
      <c r="AB306" s="13" t="n"/>
      <c r="AC306" s="13" t="n"/>
      <c r="AD306" s="13" t="n"/>
      <c r="AE306" s="13" t="n"/>
      <c r="AF306" s="15" t="n"/>
    </row>
    <row r="307">
      <c r="B307" s="9" t="n"/>
      <c r="AF307" s="15" t="n"/>
    </row>
    <row r="308">
      <c r="B308" s="9" t="n"/>
      <c r="C308" s="24" t="inlineStr">
        <is>
          <t>Post-liquefaction settlement during the design earthquake (liquefaction report, Table 5.4: 100 - 383 mm) is not included</t>
        </is>
      </c>
      <c r="AF308" s="15" t="n"/>
    </row>
    <row r="309">
      <c r="B309" s="9" t="n"/>
      <c r="C309" s="24" t="inlineStr">
        <is>
          <t>and shall be assessed separately.</t>
        </is>
      </c>
      <c r="AF309" s="15" t="n"/>
    </row>
    <row r="310">
      <c r="B310" s="9" t="n"/>
      <c r="AF310" s="15" t="n"/>
    </row>
    <row r="311">
      <c r="B311" s="9" t="n"/>
      <c r="C311" s="11" t="inlineStr">
        <is>
          <t>Figure 1. Settlement per sub-layer - BH-02</t>
        </is>
      </c>
      <c r="AF311" s="15" t="n"/>
    </row>
    <row r="312">
      <c r="B312" s="9" t="n"/>
      <c r="AF312" s="15" t="n"/>
    </row>
    <row r="313">
      <c r="B313" s="9" t="n"/>
      <c r="AF313" s="15" t="n"/>
    </row>
    <row r="314">
      <c r="B314" s="9" t="n"/>
      <c r="AF314" s="15" t="n"/>
    </row>
    <row r="315">
      <c r="B315" s="9" t="n"/>
      <c r="AF315" s="15" t="n"/>
    </row>
    <row r="316">
      <c r="B316" s="9" t="n"/>
      <c r="AF316" s="15" t="n"/>
    </row>
    <row r="317">
      <c r="B317" s="9" t="n"/>
      <c r="AF317" s="15" t="n"/>
    </row>
    <row r="318">
      <c r="B318" s="9" t="n"/>
      <c r="AF318" s="15" t="n"/>
    </row>
    <row r="319">
      <c r="B319" s="9" t="n"/>
      <c r="AF319" s="15" t="n"/>
    </row>
    <row r="320">
      <c r="B320" s="9" t="n"/>
      <c r="AF320" s="15" t="n"/>
    </row>
    <row r="321">
      <c r="B321" s="9" t="n"/>
      <c r="AF321" s="15" t="n"/>
    </row>
    <row r="322">
      <c r="B322" s="9" t="n"/>
      <c r="AF322" s="15" t="n"/>
    </row>
    <row r="323">
      <c r="B323" s="9" t="n"/>
      <c r="AF323" s="15" t="n"/>
    </row>
    <row r="324">
      <c r="B324" s="9" t="n"/>
      <c r="AF324" s="15" t="n"/>
    </row>
    <row r="325">
      <c r="B325" s="9" t="n"/>
      <c r="AF325" s="15" t="n"/>
    </row>
    <row r="326">
      <c r="B326" s="9" t="n"/>
      <c r="AF326" s="15" t="n"/>
    </row>
    <row r="327">
      <c r="B327" s="9" t="n"/>
      <c r="AF327" s="15" t="n"/>
    </row>
    <row r="328">
      <c r="B328" s="9" t="n"/>
      <c r="AF328" s="15" t="n"/>
    </row>
    <row r="329">
      <c r="B329" s="9" t="n"/>
      <c r="AF329" s="15" t="n"/>
    </row>
    <row r="330">
      <c r="B330" s="9" t="n"/>
      <c r="AF330" s="15" t="n"/>
    </row>
    <row r="331">
      <c r="B331" s="9" t="n"/>
      <c r="AF331" s="15" t="n"/>
    </row>
    <row r="332">
      <c r="B332" s="9" t="n"/>
      <c r="AF332" s="15" t="n"/>
    </row>
    <row r="333">
      <c r="B333" s="9" t="n"/>
      <c r="AF333" s="15" t="n"/>
    </row>
    <row r="334">
      <c r="B334" s="9" t="n"/>
      <c r="AF334" s="15" t="n"/>
    </row>
    <row r="335">
      <c r="B335" s="9" t="n"/>
      <c r="AF335" s="15" t="n"/>
    </row>
    <row r="336">
      <c r="B336" s="9" t="n"/>
      <c r="AF336" s="15" t="n"/>
    </row>
    <row r="337">
      <c r="B337" s="9" t="n"/>
      <c r="AF337" s="15" t="n"/>
    </row>
    <row r="338">
      <c r="B338" s="9" t="n"/>
      <c r="AF338" s="15" t="n"/>
    </row>
    <row r="339">
      <c r="B339" s="9" t="n"/>
      <c r="AF339" s="15" t="n"/>
    </row>
    <row r="340">
      <c r="B340" s="9" t="n"/>
      <c r="AF340" s="15" t="n"/>
    </row>
    <row r="341">
      <c r="B341" s="9" t="n"/>
      <c r="AF341" s="15" t="n"/>
    </row>
    <row r="342">
      <c r="B342" s="9" t="n"/>
      <c r="AF342" s="15" t="n"/>
    </row>
    <row r="343">
      <c r="B343" s="9" t="n"/>
      <c r="AF343" s="15" t="n"/>
    </row>
    <row r="344">
      <c r="B344" s="9" t="n"/>
      <c r="AF344" s="15" t="n"/>
    </row>
    <row r="345">
      <c r="B345" s="9" t="n"/>
      <c r="AF345" s="15" t="n"/>
    </row>
    <row r="346">
      <c r="B346" s="9" t="n"/>
      <c r="AF346" s="15" t="n"/>
    </row>
    <row r="347">
      <c r="B347" s="9" t="n"/>
      <c r="AF347" s="15" t="n"/>
    </row>
    <row r="348">
      <c r="B348" s="9" t="n"/>
      <c r="AF348" s="15" t="n"/>
    </row>
    <row r="349">
      <c r="B349" s="9" t="n"/>
      <c r="AF349" s="15" t="n"/>
    </row>
    <row r="350">
      <c r="B350" s="9" t="n"/>
      <c r="AF350" s="15" t="n"/>
    </row>
    <row r="351">
      <c r="B351" s="9" t="n"/>
      <c r="AF351" s="15" t="n"/>
    </row>
    <row r="352">
      <c r="B352" s="9" t="n"/>
      <c r="AF352" s="15" t="n"/>
    </row>
    <row r="353">
      <c r="B353" s="9" t="n"/>
      <c r="AF353" s="15" t="n"/>
    </row>
    <row r="354">
      <c r="B354" s="9" t="n"/>
      <c r="AF354" s="15" t="n"/>
    </row>
    <row r="355">
      <c r="B355" s="9" t="n"/>
      <c r="AF355" s="15" t="n"/>
    </row>
    <row r="356">
      <c r="B356" s="9" t="n"/>
      <c r="AF356" s="15" t="n"/>
    </row>
    <row r="357">
      <c r="B357" s="9" t="n"/>
      <c r="AF357" s="15" t="n"/>
    </row>
    <row r="358">
      <c r="B358" s="9" t="n"/>
      <c r="AF358" s="15" t="n"/>
    </row>
    <row r="359">
      <c r="B359" s="9" t="n"/>
      <c r="AF359" s="15" t="n"/>
    </row>
    <row r="360">
      <c r="B360" s="9" t="n"/>
      <c r="AF360" s="15" t="n"/>
    </row>
    <row r="361">
      <c r="B361" s="47" t="n"/>
      <c r="C361" s="48" t="n"/>
      <c r="D361" s="48" t="n"/>
      <c r="E361" s="48" t="n"/>
      <c r="F361" s="48" t="n"/>
      <c r="G361" s="48" t="n"/>
      <c r="H361" s="48" t="n"/>
      <c r="I361" s="48" t="n"/>
      <c r="J361" s="48" t="n"/>
      <c r="K361" s="48" t="n"/>
      <c r="L361" s="48" t="n"/>
      <c r="M361" s="48" t="n"/>
      <c r="N361" s="48" t="n"/>
      <c r="O361" s="48" t="n"/>
      <c r="P361" s="48" t="n"/>
      <c r="Q361" s="48" t="n"/>
      <c r="R361" s="48" t="n"/>
      <c r="S361" s="48" t="n"/>
      <c r="T361" s="48" t="n"/>
      <c r="U361" s="48" t="n"/>
      <c r="V361" s="48" t="n"/>
      <c r="W361" s="48" t="n"/>
      <c r="X361" s="49" t="inlineStr">
        <is>
          <t>Sheet :</t>
        </is>
      </c>
      <c r="Y361" s="48" t="n"/>
      <c r="Z361" s="48" t="n"/>
      <c r="AA361" s="48" t="n"/>
      <c r="AB361" s="49" t="n">
        <v>5</v>
      </c>
      <c r="AC361" s="48" t="n"/>
      <c r="AD361" s="48" t="n"/>
      <c r="AE361" s="48" t="n"/>
      <c r="AF361" s="50" t="n"/>
    </row>
  </sheetData>
  <mergeCells count="1843">
    <mergeCell ref="Z43:AB43"/>
    <mergeCell ref="N189:P189"/>
    <mergeCell ref="V244:W244"/>
    <mergeCell ref="Q164:R164"/>
    <mergeCell ref="C191:D191"/>
    <mergeCell ref="AA161:AB161"/>
    <mergeCell ref="H238:J238"/>
    <mergeCell ref="AB293:AE293"/>
    <mergeCell ref="C184:D184"/>
    <mergeCell ref="Z68:AB68"/>
    <mergeCell ref="N190:P190"/>
    <mergeCell ref="Z67:AB67"/>
    <mergeCell ref="E250:G250"/>
    <mergeCell ref="C110:N110"/>
    <mergeCell ref="Q197:R197"/>
    <mergeCell ref="C121:AE121"/>
    <mergeCell ref="Q180:R180"/>
    <mergeCell ref="T51:U51"/>
    <mergeCell ref="AA187:AB187"/>
    <mergeCell ref="AB4:AE4"/>
    <mergeCell ref="Q188:R188"/>
    <mergeCell ref="AA91:AC91"/>
    <mergeCell ref="X21:Z21"/>
    <mergeCell ref="V255:W255"/>
    <mergeCell ref="AA189:AB189"/>
    <mergeCell ref="E278:G278"/>
    <mergeCell ref="N32:P32"/>
    <mergeCell ref="Q33:S33"/>
    <mergeCell ref="AA93:AC93"/>
    <mergeCell ref="C237:D237"/>
    <mergeCell ref="C28:D28"/>
    <mergeCell ref="K173:M173"/>
    <mergeCell ref="AA86:AC86"/>
    <mergeCell ref="T67:U67"/>
    <mergeCell ref="X16:Z16"/>
    <mergeCell ref="C239:D239"/>
    <mergeCell ref="H164:J164"/>
    <mergeCell ref="K165:M165"/>
    <mergeCell ref="C100:N100"/>
    <mergeCell ref="C30:D30"/>
    <mergeCell ref="H75:W75"/>
    <mergeCell ref="K44:M44"/>
    <mergeCell ref="T33:U33"/>
    <mergeCell ref="C94:N94"/>
    <mergeCell ref="Y167:Z167"/>
    <mergeCell ref="X119:AE119"/>
    <mergeCell ref="T35:U35"/>
    <mergeCell ref="Q59:S59"/>
    <mergeCell ref="T252:U252"/>
    <mergeCell ref="Y169:Z169"/>
    <mergeCell ref="Q61:S61"/>
    <mergeCell ref="V187:X187"/>
    <mergeCell ref="K191:M191"/>
    <mergeCell ref="V39:W39"/>
    <mergeCell ref="AA104:AC104"/>
    <mergeCell ref="X68:Y68"/>
    <mergeCell ref="O91:W91"/>
    <mergeCell ref="AA114:AC114"/>
    <mergeCell ref="N254:P254"/>
    <mergeCell ref="V189:X189"/>
    <mergeCell ref="K184:M184"/>
    <mergeCell ref="N45:P45"/>
    <mergeCell ref="AA106:AC106"/>
    <mergeCell ref="AA228:AC228"/>
    <mergeCell ref="H175:J175"/>
    <mergeCell ref="V188:X188"/>
    <mergeCell ref="N256:P256"/>
    <mergeCell ref="AC178:AE178"/>
    <mergeCell ref="AA105:AC105"/>
    <mergeCell ref="N47:P47"/>
    <mergeCell ref="S173:U173"/>
    <mergeCell ref="O86:W86"/>
    <mergeCell ref="AC170:AE170"/>
    <mergeCell ref="Y195:Z195"/>
    <mergeCell ref="AD112:AE112"/>
    <mergeCell ref="AC163:AE163"/>
    <mergeCell ref="H176:J176"/>
    <mergeCell ref="V65:W65"/>
    <mergeCell ref="T263:U263"/>
    <mergeCell ref="Y197:Z197"/>
    <mergeCell ref="AD114:AE114"/>
    <mergeCell ref="H178:J178"/>
    <mergeCell ref="T265:U265"/>
    <mergeCell ref="AC196:AE196"/>
    <mergeCell ref="X89:Z89"/>
    <mergeCell ref="O104:W104"/>
    <mergeCell ref="S171:U171"/>
    <mergeCell ref="K245:M245"/>
    <mergeCell ref="X245:Y245"/>
    <mergeCell ref="X88:Z88"/>
    <mergeCell ref="S163:U163"/>
    <mergeCell ref="E246:G246"/>
    <mergeCell ref="X90:Z90"/>
    <mergeCell ref="N269:P269"/>
    <mergeCell ref="E37:G37"/>
    <mergeCell ref="V49:W49"/>
    <mergeCell ref="Z65:AB65"/>
    <mergeCell ref="X292:AA292"/>
    <mergeCell ref="E248:G248"/>
    <mergeCell ref="AA183:AB183"/>
    <mergeCell ref="E247:G247"/>
    <mergeCell ref="AA185:AB185"/>
    <mergeCell ref="AC249:AE249"/>
    <mergeCell ref="AB2:AE2"/>
    <mergeCell ref="X19:Z19"/>
    <mergeCell ref="S191:U191"/>
    <mergeCell ref="H247:J247"/>
    <mergeCell ref="AC244:AE244"/>
    <mergeCell ref="K258:M258"/>
    <mergeCell ref="C26:D26"/>
    <mergeCell ref="C90:N90"/>
    <mergeCell ref="X20:Z20"/>
    <mergeCell ref="T65:U65"/>
    <mergeCell ref="X14:Z14"/>
    <mergeCell ref="AC252:AE252"/>
    <mergeCell ref="K260:M260"/>
    <mergeCell ref="C55:D55"/>
    <mergeCell ref="C119:N119"/>
    <mergeCell ref="AA196:AB196"/>
    <mergeCell ref="Q57:S57"/>
    <mergeCell ref="O299:W299"/>
    <mergeCell ref="C52:D52"/>
    <mergeCell ref="AA198:AB198"/>
    <mergeCell ref="AC262:AE262"/>
    <mergeCell ref="H275:J275"/>
    <mergeCell ref="N41:P41"/>
    <mergeCell ref="C37:D37"/>
    <mergeCell ref="N51:P51"/>
    <mergeCell ref="Q52:S52"/>
    <mergeCell ref="K188:M188"/>
    <mergeCell ref="K182:M182"/>
    <mergeCell ref="N43:P43"/>
    <mergeCell ref="AC263:AE263"/>
    <mergeCell ref="C109:N109"/>
    <mergeCell ref="Y193:Z193"/>
    <mergeCell ref="X101:AE101"/>
    <mergeCell ref="AD110:AE110"/>
    <mergeCell ref="H174:J174"/>
    <mergeCell ref="N67:P67"/>
    <mergeCell ref="C63:D63"/>
    <mergeCell ref="AB74:AE74"/>
    <mergeCell ref="AC192:AE192"/>
    <mergeCell ref="AB76:AE76"/>
    <mergeCell ref="O100:W100"/>
    <mergeCell ref="H146:W146"/>
    <mergeCell ref="S197:U197"/>
    <mergeCell ref="X86:Z86"/>
    <mergeCell ref="AC187:AE187"/>
    <mergeCell ref="Y179:Z179"/>
    <mergeCell ref="H44:J44"/>
    <mergeCell ref="AC189:AE189"/>
    <mergeCell ref="E35:G35"/>
    <mergeCell ref="V47:W47"/>
    <mergeCell ref="O97:W97"/>
    <mergeCell ref="E28:G28"/>
    <mergeCell ref="E30:G30"/>
    <mergeCell ref="V48:W48"/>
    <mergeCell ref="X112:Z112"/>
    <mergeCell ref="E59:G59"/>
    <mergeCell ref="AC29:AE29"/>
    <mergeCell ref="X104:Z104"/>
    <mergeCell ref="K254:M254"/>
    <mergeCell ref="E61:G61"/>
    <mergeCell ref="AC31:AE31"/>
    <mergeCell ref="X106:Z106"/>
    <mergeCell ref="O123:W123"/>
    <mergeCell ref="X264:Y264"/>
    <mergeCell ref="E54:G54"/>
    <mergeCell ref="X293:AA293"/>
    <mergeCell ref="E56:G56"/>
    <mergeCell ref="Q170:R170"/>
    <mergeCell ref="V66:W66"/>
    <mergeCell ref="T31:U31"/>
    <mergeCell ref="C165:D165"/>
    <mergeCell ref="Q172:R172"/>
    <mergeCell ref="H271:J271"/>
    <mergeCell ref="V61:W61"/>
    <mergeCell ref="C166:D166"/>
    <mergeCell ref="X4:AA4"/>
    <mergeCell ref="C160:D160"/>
    <mergeCell ref="AC259:AE259"/>
    <mergeCell ref="H266:J266"/>
    <mergeCell ref="K267:M267"/>
    <mergeCell ref="C118:N118"/>
    <mergeCell ref="AC261:AE261"/>
    <mergeCell ref="H268:J268"/>
    <mergeCell ref="K269:M269"/>
    <mergeCell ref="C221:G221"/>
    <mergeCell ref="C59:D59"/>
    <mergeCell ref="N65:P65"/>
    <mergeCell ref="V237:W237"/>
    <mergeCell ref="C61:D61"/>
    <mergeCell ref="Z276:AB276"/>
    <mergeCell ref="K51:M51"/>
    <mergeCell ref="K26:M26"/>
    <mergeCell ref="Z271:AB271"/>
    <mergeCell ref="AC272:AE272"/>
    <mergeCell ref="AD92:AE92"/>
    <mergeCell ref="Z273:AB273"/>
    <mergeCell ref="Y177:Z177"/>
    <mergeCell ref="V167:X167"/>
    <mergeCell ref="AD94:AE94"/>
    <mergeCell ref="E157:G157"/>
    <mergeCell ref="Q252:S252"/>
    <mergeCell ref="V169:X169"/>
    <mergeCell ref="K42:M42"/>
    <mergeCell ref="Y172:Z172"/>
    <mergeCell ref="V162:X162"/>
    <mergeCell ref="Q237:S237"/>
    <mergeCell ref="AD89:AE89"/>
    <mergeCell ref="X227:Z227"/>
    <mergeCell ref="C238:D238"/>
    <mergeCell ref="C148:G148"/>
    <mergeCell ref="AC27:AE27"/>
    <mergeCell ref="V164:X164"/>
    <mergeCell ref="X226:Z226"/>
    <mergeCell ref="K37:M37"/>
    <mergeCell ref="E50:G50"/>
    <mergeCell ref="C304:N304"/>
    <mergeCell ref="H184:J184"/>
    <mergeCell ref="X250:Y250"/>
    <mergeCell ref="X228:Z228"/>
    <mergeCell ref="E175:G175"/>
    <mergeCell ref="E52:G52"/>
    <mergeCell ref="Q263:S263"/>
    <mergeCell ref="X276:Y276"/>
    <mergeCell ref="V180:X180"/>
    <mergeCell ref="X251:Y251"/>
    <mergeCell ref="AC53:AE53"/>
    <mergeCell ref="E170:G170"/>
    <mergeCell ref="Q265:S265"/>
    <mergeCell ref="X278:Y278"/>
    <mergeCell ref="X253:Y253"/>
    <mergeCell ref="AC55:AE55"/>
    <mergeCell ref="AA280:AC280"/>
    <mergeCell ref="AC38:AE38"/>
    <mergeCell ref="C290:G290"/>
    <mergeCell ref="C162:D162"/>
    <mergeCell ref="C201:N201"/>
    <mergeCell ref="X123:Z123"/>
    <mergeCell ref="H237:J237"/>
    <mergeCell ref="AC46:AE46"/>
    <mergeCell ref="AC40:AE40"/>
    <mergeCell ref="C164:D164"/>
    <mergeCell ref="X2:AA2"/>
    <mergeCell ref="C203:N203"/>
    <mergeCell ref="C228:N228"/>
    <mergeCell ref="H239:J239"/>
    <mergeCell ref="AC41:AE41"/>
    <mergeCell ref="X297:Z297"/>
    <mergeCell ref="AC66:AE66"/>
    <mergeCell ref="C190:D190"/>
    <mergeCell ref="Z241:AB241"/>
    <mergeCell ref="E254:G254"/>
    <mergeCell ref="H255:J255"/>
    <mergeCell ref="X299:Z299"/>
    <mergeCell ref="O281:W281"/>
    <mergeCell ref="AC68:AE68"/>
    <mergeCell ref="Z243:AB243"/>
    <mergeCell ref="C175:D175"/>
    <mergeCell ref="N181:P181"/>
    <mergeCell ref="C185:D185"/>
    <mergeCell ref="H250:J250"/>
    <mergeCell ref="Z58:AB58"/>
    <mergeCell ref="C235:AE235"/>
    <mergeCell ref="E241:G241"/>
    <mergeCell ref="V259:W259"/>
    <mergeCell ref="AA176:AB176"/>
    <mergeCell ref="Z244:AB244"/>
    <mergeCell ref="O305:W305"/>
    <mergeCell ref="H277:J277"/>
    <mergeCell ref="T68:U68"/>
    <mergeCell ref="V261:W261"/>
    <mergeCell ref="AA178:AB178"/>
    <mergeCell ref="N178:P178"/>
    <mergeCell ref="AA21:AC21"/>
    <mergeCell ref="AA171:AB171"/>
    <mergeCell ref="N49:P49"/>
    <mergeCell ref="Q32:S32"/>
    <mergeCell ref="K162:M162"/>
    <mergeCell ref="N163:P163"/>
    <mergeCell ref="V256:W256"/>
    <mergeCell ref="E267:G267"/>
    <mergeCell ref="N173:P173"/>
    <mergeCell ref="K33:M33"/>
    <mergeCell ref="K164:M164"/>
    <mergeCell ref="X74:AA74"/>
    <mergeCell ref="E269:G269"/>
    <mergeCell ref="H180:J180"/>
    <mergeCell ref="K35:M35"/>
    <mergeCell ref="E171:G171"/>
    <mergeCell ref="Z255:AB255"/>
    <mergeCell ref="X76:AA76"/>
    <mergeCell ref="C302:N302"/>
    <mergeCell ref="V272:W272"/>
    <mergeCell ref="E173:G173"/>
    <mergeCell ref="AD111:AE111"/>
    <mergeCell ref="Q50:S50"/>
    <mergeCell ref="K180:M180"/>
    <mergeCell ref="V274:W274"/>
    <mergeCell ref="V186:X186"/>
    <mergeCell ref="E166:G166"/>
    <mergeCell ref="K59:M59"/>
    <mergeCell ref="K190:M190"/>
    <mergeCell ref="N191:P191"/>
    <mergeCell ref="X249:Y249"/>
    <mergeCell ref="X243:Y243"/>
    <mergeCell ref="C256:D256"/>
    <mergeCell ref="E168:G168"/>
    <mergeCell ref="K61:M61"/>
    <mergeCell ref="N245:P245"/>
    <mergeCell ref="AC167:AE167"/>
    <mergeCell ref="C247:D247"/>
    <mergeCell ref="E199:G199"/>
    <mergeCell ref="X244:Y244"/>
    <mergeCell ref="C257:D257"/>
    <mergeCell ref="AC169:AE169"/>
    <mergeCell ref="V27:W27"/>
    <mergeCell ref="AA92:AC92"/>
    <mergeCell ref="E192:G192"/>
    <mergeCell ref="H26:J26"/>
    <mergeCell ref="C272:D272"/>
    <mergeCell ref="H53:J53"/>
    <mergeCell ref="E194:G194"/>
    <mergeCell ref="H55:J55"/>
    <mergeCell ref="Q272:S272"/>
    <mergeCell ref="T264:U264"/>
    <mergeCell ref="AA87:AC87"/>
    <mergeCell ref="C267:D267"/>
    <mergeCell ref="AA304:AC304"/>
    <mergeCell ref="V199:X199"/>
    <mergeCell ref="N273:P273"/>
    <mergeCell ref="Q274:S274"/>
    <mergeCell ref="X262:Y262"/>
    <mergeCell ref="C275:D275"/>
    <mergeCell ref="C269:D269"/>
    <mergeCell ref="AC64:AE64"/>
    <mergeCell ref="E252:G252"/>
    <mergeCell ref="H246:J246"/>
    <mergeCell ref="Z29:AB29"/>
    <mergeCell ref="H37:J37"/>
    <mergeCell ref="C270:D270"/>
    <mergeCell ref="AC65:AE65"/>
    <mergeCell ref="V40:W40"/>
    <mergeCell ref="H248:J248"/>
    <mergeCell ref="V257:W257"/>
    <mergeCell ref="AA174:AB174"/>
    <mergeCell ref="O303:W303"/>
    <mergeCell ref="E238:G238"/>
    <mergeCell ref="V41:W41"/>
    <mergeCell ref="AA19:AC19"/>
    <mergeCell ref="AB291:AE291"/>
    <mergeCell ref="V252:W252"/>
    <mergeCell ref="C199:D199"/>
    <mergeCell ref="O304:W304"/>
    <mergeCell ref="AA169:AB169"/>
    <mergeCell ref="C224:AE224"/>
    <mergeCell ref="Z258:AB258"/>
    <mergeCell ref="E265:G265"/>
    <mergeCell ref="AD201:AE201"/>
    <mergeCell ref="Z251:AB251"/>
    <mergeCell ref="O16:W16"/>
    <mergeCell ref="Z253:AB253"/>
    <mergeCell ref="E266:G266"/>
    <mergeCell ref="E260:G260"/>
    <mergeCell ref="X34:Y34"/>
    <mergeCell ref="AA195:AB195"/>
    <mergeCell ref="V270:W270"/>
    <mergeCell ref="X28:Y28"/>
    <mergeCell ref="C41:D41"/>
    <mergeCell ref="Q165:R165"/>
    <mergeCell ref="AA197:AB197"/>
    <mergeCell ref="K275:M275"/>
    <mergeCell ref="X30:Y30"/>
    <mergeCell ref="C43:D43"/>
    <mergeCell ref="K57:M57"/>
    <mergeCell ref="Q41:S41"/>
    <mergeCell ref="X29:Y29"/>
    <mergeCell ref="C36:D36"/>
    <mergeCell ref="Q43:S43"/>
    <mergeCell ref="X54:Y54"/>
    <mergeCell ref="C67:D67"/>
    <mergeCell ref="E188:G188"/>
    <mergeCell ref="K60:M60"/>
    <mergeCell ref="X56:Y56"/>
    <mergeCell ref="E190:G190"/>
    <mergeCell ref="H51:J51"/>
    <mergeCell ref="Q67:S67"/>
    <mergeCell ref="K174:M174"/>
    <mergeCell ref="N58:P58"/>
    <mergeCell ref="H163:J163"/>
    <mergeCell ref="V170:X170"/>
    <mergeCell ref="N244:P244"/>
    <mergeCell ref="K199:M199"/>
    <mergeCell ref="X57:Y57"/>
    <mergeCell ref="C12:N12"/>
    <mergeCell ref="V197:X197"/>
    <mergeCell ref="V172:X172"/>
    <mergeCell ref="AC193:AE193"/>
    <mergeCell ref="AA89:AC89"/>
    <mergeCell ref="AC176:AE176"/>
    <mergeCell ref="T251:U251"/>
    <mergeCell ref="H147:W147"/>
    <mergeCell ref="E32:G32"/>
    <mergeCell ref="H33:J33"/>
    <mergeCell ref="AA122:AC122"/>
    <mergeCell ref="AD304:AE304"/>
    <mergeCell ref="Y170:Z170"/>
    <mergeCell ref="H35:J35"/>
    <mergeCell ref="C268:D268"/>
    <mergeCell ref="Q245:S245"/>
    <mergeCell ref="Y163:Z163"/>
    <mergeCell ref="O117:W117"/>
    <mergeCell ref="N255:P255"/>
    <mergeCell ref="AD297:AE297"/>
    <mergeCell ref="H59:J59"/>
    <mergeCell ref="O112:W112"/>
    <mergeCell ref="Z47:AB47"/>
    <mergeCell ref="H61:J61"/>
    <mergeCell ref="H77:W77"/>
    <mergeCell ref="V64:W64"/>
    <mergeCell ref="O114:W114"/>
    <mergeCell ref="Z38:AB38"/>
    <mergeCell ref="E45:G45"/>
    <mergeCell ref="AD19:AE19"/>
    <mergeCell ref="O109:W109"/>
    <mergeCell ref="Q159:R159"/>
    <mergeCell ref="X305:Z305"/>
    <mergeCell ref="Z63:AB63"/>
    <mergeCell ref="Q167:R167"/>
    <mergeCell ref="Q161:R161"/>
    <mergeCell ref="AA158:AB158"/>
    <mergeCell ref="E264:G264"/>
    <mergeCell ref="AA193:AB193"/>
    <mergeCell ref="Q192:R192"/>
    <mergeCell ref="C32:D32"/>
    <mergeCell ref="C107:N107"/>
    <mergeCell ref="T46:U46"/>
    <mergeCell ref="H219:W219"/>
    <mergeCell ref="Z66:AB66"/>
    <mergeCell ref="Q187:R187"/>
    <mergeCell ref="T48:U48"/>
    <mergeCell ref="AA184:AB184"/>
    <mergeCell ref="Q195:R195"/>
    <mergeCell ref="Q189:R189"/>
    <mergeCell ref="E275:G275"/>
    <mergeCell ref="N29:P29"/>
    <mergeCell ref="H159:J159"/>
    <mergeCell ref="Q65:S65"/>
    <mergeCell ref="X53:Y53"/>
    <mergeCell ref="N31:P31"/>
    <mergeCell ref="X47:Y47"/>
    <mergeCell ref="C236:D236"/>
    <mergeCell ref="AC276:AE276"/>
    <mergeCell ref="C85:AE85"/>
    <mergeCell ref="Z236:AB236"/>
    <mergeCell ref="X55:Y55"/>
    <mergeCell ref="K172:M172"/>
    <mergeCell ref="AC278:AE278"/>
    <mergeCell ref="T247:U247"/>
    <mergeCell ref="N26:P26"/>
    <mergeCell ref="X217:AA217"/>
    <mergeCell ref="H162:J162"/>
    <mergeCell ref="T249:U249"/>
    <mergeCell ref="C92:N92"/>
    <mergeCell ref="AD91:AE91"/>
    <mergeCell ref="Y166:Z166"/>
    <mergeCell ref="AC273:AE273"/>
    <mergeCell ref="V184:X184"/>
    <mergeCell ref="AD302:AE302"/>
    <mergeCell ref="N171:P171"/>
    <mergeCell ref="AD93:AE93"/>
    <mergeCell ref="H157:J157"/>
    <mergeCell ref="N251:P251"/>
    <mergeCell ref="S185:U185"/>
    <mergeCell ref="T244:U244"/>
    <mergeCell ref="N42:P42"/>
    <mergeCell ref="Y161:Z161"/>
    <mergeCell ref="AA225:AC225"/>
    <mergeCell ref="N253:P253"/>
    <mergeCell ref="X66:Y66"/>
    <mergeCell ref="C21:N21"/>
    <mergeCell ref="N44:P44"/>
    <mergeCell ref="AA227:AC227"/>
    <mergeCell ref="Y192:Z192"/>
    <mergeCell ref="AD109:AE109"/>
    <mergeCell ref="AC177:AE177"/>
    <mergeCell ref="S172:U172"/>
    <mergeCell ref="Y187:Z187"/>
    <mergeCell ref="T262:U262"/>
    <mergeCell ref="AD104:AE104"/>
    <mergeCell ref="AB75:AE75"/>
    <mergeCell ref="Y189:Z189"/>
    <mergeCell ref="X242:Y242"/>
    <mergeCell ref="S198:U198"/>
    <mergeCell ref="S170:U170"/>
    <mergeCell ref="K244:M244"/>
    <mergeCell ref="K271:M271"/>
    <mergeCell ref="X87:Z87"/>
    <mergeCell ref="Z62:AB62"/>
    <mergeCell ref="K237:M237"/>
    <mergeCell ref="Z56:AB56"/>
    <mergeCell ref="S199:U199"/>
    <mergeCell ref="AC39:AE39"/>
    <mergeCell ref="K273:M273"/>
    <mergeCell ref="Z64:AB64"/>
    <mergeCell ref="K239:M239"/>
    <mergeCell ref="Q185:R185"/>
    <mergeCell ref="AA182:AB182"/>
    <mergeCell ref="AD305:AE305"/>
    <mergeCell ref="Q193:R193"/>
    <mergeCell ref="AA175:AB175"/>
    <mergeCell ref="AA297:AC297"/>
    <mergeCell ref="Q186:R186"/>
    <mergeCell ref="AA177:AB177"/>
    <mergeCell ref="AC241:AE241"/>
    <mergeCell ref="H254:J254"/>
    <mergeCell ref="K255:M255"/>
    <mergeCell ref="C181:D181"/>
    <mergeCell ref="AC243:AE243"/>
    <mergeCell ref="H256:J256"/>
    <mergeCell ref="C89:N89"/>
    <mergeCell ref="C174:D174"/>
    <mergeCell ref="C116:N116"/>
    <mergeCell ref="AC242:AE242"/>
    <mergeCell ref="C88:N88"/>
    <mergeCell ref="E240:G240"/>
    <mergeCell ref="T57:U57"/>
    <mergeCell ref="T29:U29"/>
    <mergeCell ref="C117:N117"/>
    <mergeCell ref="N167:P167"/>
    <mergeCell ref="Q198:R198"/>
    <mergeCell ref="T58:U58"/>
    <mergeCell ref="C115:N115"/>
    <mergeCell ref="T54:U54"/>
    <mergeCell ref="Q49:S49"/>
    <mergeCell ref="O297:W297"/>
    <mergeCell ref="K39:M39"/>
    <mergeCell ref="N40:P40"/>
    <mergeCell ref="C44:D44"/>
    <mergeCell ref="N162:P162"/>
    <mergeCell ref="V276:W276"/>
    <mergeCell ref="N35:P35"/>
    <mergeCell ref="H171:J171"/>
    <mergeCell ref="H165:J165"/>
    <mergeCell ref="Y183:Z183"/>
    <mergeCell ref="AD100:AE100"/>
    <mergeCell ref="H181:J181"/>
    <mergeCell ref="N66:P66"/>
    <mergeCell ref="Y185:Z185"/>
    <mergeCell ref="C245:D245"/>
    <mergeCell ref="V55:W55"/>
    <mergeCell ref="N68:P68"/>
    <mergeCell ref="K50:M50"/>
    <mergeCell ref="C155:AE155"/>
    <mergeCell ref="K181:M181"/>
    <mergeCell ref="X240:Y240"/>
    <mergeCell ref="S160:U160"/>
    <mergeCell ref="N61:P61"/>
    <mergeCell ref="AC184:AE184"/>
    <mergeCell ref="K58:M58"/>
    <mergeCell ref="K52:M52"/>
    <mergeCell ref="C151:AE151"/>
    <mergeCell ref="S195:U195"/>
    <mergeCell ref="H199:J199"/>
    <mergeCell ref="Q276:S276"/>
    <mergeCell ref="O94:W94"/>
    <mergeCell ref="C146:G146"/>
    <mergeCell ref="K53:M53"/>
    <mergeCell ref="X114:Z114"/>
    <mergeCell ref="X49:Y49"/>
    <mergeCell ref="E183:G183"/>
    <mergeCell ref="Q278:S278"/>
    <mergeCell ref="X260:Y260"/>
    <mergeCell ref="C273:D273"/>
    <mergeCell ref="V45:W45"/>
    <mergeCell ref="Q271:S271"/>
    <mergeCell ref="Y198:Z198"/>
    <mergeCell ref="X259:Y259"/>
    <mergeCell ref="X111:Z111"/>
    <mergeCell ref="C149:G149"/>
    <mergeCell ref="Q273:S273"/>
    <mergeCell ref="AC28:AE28"/>
    <mergeCell ref="H41:J41"/>
    <mergeCell ref="X261:Y261"/>
    <mergeCell ref="S179:U179"/>
    <mergeCell ref="AC239:AE239"/>
    <mergeCell ref="H252:J252"/>
    <mergeCell ref="C81:AE81"/>
    <mergeCell ref="AC30:AE30"/>
    <mergeCell ref="AC238:AE238"/>
    <mergeCell ref="AC240:AE240"/>
    <mergeCell ref="O302:W302"/>
    <mergeCell ref="C163:D163"/>
    <mergeCell ref="AB290:AE290"/>
    <mergeCell ref="AC250:AE250"/>
    <mergeCell ref="H263:J263"/>
    <mergeCell ref="C223:AE223"/>
    <mergeCell ref="X274:Y274"/>
    <mergeCell ref="C229:N229"/>
    <mergeCell ref="V241:W241"/>
    <mergeCell ref="Z257:AB257"/>
    <mergeCell ref="H265:J265"/>
    <mergeCell ref="T56:U56"/>
    <mergeCell ref="C158:D158"/>
    <mergeCell ref="N164:P164"/>
    <mergeCell ref="Z242:AB242"/>
    <mergeCell ref="C220:G220"/>
    <mergeCell ref="AD202:AE202"/>
    <mergeCell ref="Z252:AB252"/>
    <mergeCell ref="N57:P57"/>
    <mergeCell ref="Z269:AB269"/>
    <mergeCell ref="C234:AE234"/>
    <mergeCell ref="Z270:AB270"/>
    <mergeCell ref="E277:G277"/>
    <mergeCell ref="X45:Y45"/>
    <mergeCell ref="T66:U66"/>
    <mergeCell ref="Q243:S243"/>
    <mergeCell ref="Q242:S242"/>
    <mergeCell ref="E181:G181"/>
    <mergeCell ref="V159:X159"/>
    <mergeCell ref="X46:Y46"/>
    <mergeCell ref="K163:M163"/>
    <mergeCell ref="C53:D53"/>
    <mergeCell ref="Q244:S244"/>
    <mergeCell ref="X257:Y257"/>
    <mergeCell ref="V161:X161"/>
    <mergeCell ref="X48:Y48"/>
    <mergeCell ref="H293:W293"/>
    <mergeCell ref="X75:AA75"/>
    <mergeCell ref="C301:N301"/>
    <mergeCell ref="K67:M67"/>
    <mergeCell ref="O118:W118"/>
    <mergeCell ref="X225:Z225"/>
    <mergeCell ref="C303:N303"/>
    <mergeCell ref="H32:J32"/>
    <mergeCell ref="T242:U242"/>
    <mergeCell ref="N259:P259"/>
    <mergeCell ref="C255:D255"/>
    <mergeCell ref="N261:P261"/>
    <mergeCell ref="Q262:S262"/>
    <mergeCell ref="S178:U178"/>
    <mergeCell ref="V179:X179"/>
    <mergeCell ref="H4:W4"/>
    <mergeCell ref="AC52:AE52"/>
    <mergeCell ref="Q255:S255"/>
    <mergeCell ref="AB217:AE217"/>
    <mergeCell ref="AC45:AE45"/>
    <mergeCell ref="AC37:AE37"/>
    <mergeCell ref="H50:J50"/>
    <mergeCell ref="C161:D161"/>
    <mergeCell ref="X270:Y270"/>
    <mergeCell ref="C225:N225"/>
    <mergeCell ref="AC47:AE47"/>
    <mergeCell ref="H236:J236"/>
    <mergeCell ref="E51:G51"/>
    <mergeCell ref="C227:N227"/>
    <mergeCell ref="V239:W239"/>
    <mergeCell ref="C226:N226"/>
    <mergeCell ref="N272:P272"/>
    <mergeCell ref="Z39:AB39"/>
    <mergeCell ref="T47:U47"/>
    <mergeCell ref="V240:W240"/>
    <mergeCell ref="AC63:AE63"/>
    <mergeCell ref="AA305:AC305"/>
    <mergeCell ref="AA157:AB157"/>
    <mergeCell ref="N274:P274"/>
    <mergeCell ref="C180:D180"/>
    <mergeCell ref="C182:D182"/>
    <mergeCell ref="V250:W250"/>
    <mergeCell ref="Z266:AB266"/>
    <mergeCell ref="Q28:S28"/>
    <mergeCell ref="Q178:R178"/>
    <mergeCell ref="Z268:AB268"/>
    <mergeCell ref="C233:AE233"/>
    <mergeCell ref="V251:W251"/>
    <mergeCell ref="Q29:S29"/>
    <mergeCell ref="K159:M159"/>
    <mergeCell ref="V278:W278"/>
    <mergeCell ref="V253:W253"/>
    <mergeCell ref="Q240:S240"/>
    <mergeCell ref="N170:P170"/>
    <mergeCell ref="Q31:S31"/>
    <mergeCell ref="V157:X157"/>
    <mergeCell ref="K161:M161"/>
    <mergeCell ref="N172:P172"/>
    <mergeCell ref="N199:P199"/>
    <mergeCell ref="E172:G172"/>
    <mergeCell ref="AD108:AE108"/>
    <mergeCell ref="C251:D251"/>
    <mergeCell ref="V183:X183"/>
    <mergeCell ref="N257:P257"/>
    <mergeCell ref="K187:M187"/>
    <mergeCell ref="AA100:AC100"/>
    <mergeCell ref="S174:U174"/>
    <mergeCell ref="X246:Y246"/>
    <mergeCell ref="C253:D253"/>
    <mergeCell ref="V185:X185"/>
    <mergeCell ref="C108:N108"/>
    <mergeCell ref="E165:G165"/>
    <mergeCell ref="Q42:S42"/>
    <mergeCell ref="K189:M189"/>
    <mergeCell ref="N252:P252"/>
    <mergeCell ref="Q253:S253"/>
    <mergeCell ref="C20:N20"/>
    <mergeCell ref="X241:Y241"/>
    <mergeCell ref="C254:D254"/>
    <mergeCell ref="AC166:AE166"/>
    <mergeCell ref="C248:D248"/>
    <mergeCell ref="AC160:AE160"/>
    <mergeCell ref="AC43:AE43"/>
    <mergeCell ref="H173:J173"/>
    <mergeCell ref="T260:U260"/>
    <mergeCell ref="H3:W3"/>
    <mergeCell ref="C22:N22"/>
    <mergeCell ref="AC168:AE168"/>
    <mergeCell ref="T259:U259"/>
    <mergeCell ref="Y176:Z176"/>
    <mergeCell ref="E191:G191"/>
    <mergeCell ref="H5:W5"/>
    <mergeCell ref="AC161:AE161"/>
    <mergeCell ref="X148:AA148"/>
    <mergeCell ref="T261:U261"/>
    <mergeCell ref="S158:U158"/>
    <mergeCell ref="N59:P59"/>
    <mergeCell ref="V196:X196"/>
    <mergeCell ref="N270:P270"/>
    <mergeCell ref="AD281:AE281"/>
    <mergeCell ref="S159:U159"/>
    <mergeCell ref="V198:X198"/>
    <mergeCell ref="H67:J67"/>
    <mergeCell ref="N271:P271"/>
    <mergeCell ref="S161:U161"/>
    <mergeCell ref="E33:G33"/>
    <mergeCell ref="S188:U188"/>
    <mergeCell ref="AC62:AE62"/>
    <mergeCell ref="V37:W37"/>
    <mergeCell ref="E244:G244"/>
    <mergeCell ref="T272:U272"/>
    <mergeCell ref="X290:AA290"/>
    <mergeCell ref="V247:W247"/>
    <mergeCell ref="AA181:AB181"/>
    <mergeCell ref="V38:W38"/>
    <mergeCell ref="E245:G245"/>
    <mergeCell ref="T274:U274"/>
    <mergeCell ref="X15:Z15"/>
    <mergeCell ref="V249:W249"/>
    <mergeCell ref="AA166:AB166"/>
    <mergeCell ref="Q27:S27"/>
    <mergeCell ref="V63:W63"/>
    <mergeCell ref="AA168:AB168"/>
    <mergeCell ref="N168:P168"/>
    <mergeCell ref="C122:N122"/>
    <mergeCell ref="N195:P195"/>
    <mergeCell ref="H245:J245"/>
    <mergeCell ref="E255:G255"/>
    <mergeCell ref="C51:D51"/>
    <mergeCell ref="N197:P197"/>
    <mergeCell ref="Z250:AB250"/>
    <mergeCell ref="E263:G263"/>
    <mergeCell ref="AA192:AB192"/>
    <mergeCell ref="C38:D38"/>
    <mergeCell ref="AA194:AB194"/>
    <mergeCell ref="AC258:AE258"/>
    <mergeCell ref="K272:M272"/>
    <mergeCell ref="Q55:S55"/>
    <mergeCell ref="Q38:S38"/>
    <mergeCell ref="K185:M185"/>
    <mergeCell ref="V262:W262"/>
    <mergeCell ref="C33:D33"/>
    <mergeCell ref="AC260:AE260"/>
    <mergeCell ref="K178:M178"/>
    <mergeCell ref="T45:U45"/>
    <mergeCell ref="N179:P179"/>
    <mergeCell ref="N39:P39"/>
    <mergeCell ref="Q40:S40"/>
    <mergeCell ref="C105:N105"/>
    <mergeCell ref="C35:D35"/>
    <mergeCell ref="K186:M186"/>
    <mergeCell ref="AC164:AE164"/>
    <mergeCell ref="E187:G187"/>
    <mergeCell ref="H48:J48"/>
    <mergeCell ref="AC157:AE157"/>
    <mergeCell ref="T257:U257"/>
    <mergeCell ref="Y174:Z174"/>
    <mergeCell ref="E189:G189"/>
    <mergeCell ref="Q66:S66"/>
    <mergeCell ref="K196:M196"/>
    <mergeCell ref="C295:AE295"/>
    <mergeCell ref="O96:W96"/>
    <mergeCell ref="H43:J43"/>
    <mergeCell ref="Q68:S68"/>
    <mergeCell ref="AC190:AE190"/>
    <mergeCell ref="AA117:AC117"/>
    <mergeCell ref="N50:P50"/>
    <mergeCell ref="K198:M198"/>
    <mergeCell ref="N243:P243"/>
    <mergeCell ref="O98:W98"/>
    <mergeCell ref="AC183:AE183"/>
    <mergeCell ref="N236:P236"/>
    <mergeCell ref="E29:G29"/>
    <mergeCell ref="H68:J68"/>
    <mergeCell ref="C263:D263"/>
    <mergeCell ref="AC175:AE175"/>
    <mergeCell ref="H188:J188"/>
    <mergeCell ref="AD117:AE117"/>
    <mergeCell ref="AC185:AE185"/>
    <mergeCell ref="AA112:AC112"/>
    <mergeCell ref="E31:G31"/>
    <mergeCell ref="S186:U186"/>
    <mergeCell ref="O93:W93"/>
    <mergeCell ref="AD303:AE303"/>
    <mergeCell ref="Q236:S236"/>
    <mergeCell ref="V34:W34"/>
    <mergeCell ref="C147:G147"/>
    <mergeCell ref="T270:U270"/>
    <mergeCell ref="V28:W28"/>
    <mergeCell ref="E26:G26"/>
    <mergeCell ref="X100:Z100"/>
    <mergeCell ref="V30:W30"/>
    <mergeCell ref="C91:N91"/>
    <mergeCell ref="C9:AE9"/>
    <mergeCell ref="H74:W74"/>
    <mergeCell ref="O111:W111"/>
    <mergeCell ref="X95:Z95"/>
    <mergeCell ref="C11:AE11"/>
    <mergeCell ref="C86:N86"/>
    <mergeCell ref="E42:G42"/>
    <mergeCell ref="AD16:AE16"/>
    <mergeCell ref="X281:Z281"/>
    <mergeCell ref="X97:Z97"/>
    <mergeCell ref="AC198:AE198"/>
    <mergeCell ref="E44:G44"/>
    <mergeCell ref="T27:U27"/>
    <mergeCell ref="V62:W62"/>
    <mergeCell ref="V56:W56"/>
    <mergeCell ref="O108:W108"/>
    <mergeCell ref="Q158:R158"/>
    <mergeCell ref="C77:G77"/>
    <mergeCell ref="AA190:AB190"/>
    <mergeCell ref="C69:AE69"/>
    <mergeCell ref="Q160:R160"/>
    <mergeCell ref="AA281:AC281"/>
    <mergeCell ref="S196:U196"/>
    <mergeCell ref="AC256:AE256"/>
    <mergeCell ref="K270:M270"/>
    <mergeCell ref="K263:M263"/>
    <mergeCell ref="Q184:R184"/>
    <mergeCell ref="C106:N106"/>
    <mergeCell ref="AC257:AE257"/>
    <mergeCell ref="H264:J264"/>
    <mergeCell ref="K265:M265"/>
    <mergeCell ref="C60:D60"/>
    <mergeCell ref="C219:G219"/>
    <mergeCell ref="C101:N101"/>
    <mergeCell ref="AB149:AE149"/>
    <mergeCell ref="X44:Y44"/>
    <mergeCell ref="C57:D57"/>
    <mergeCell ref="C82:AE82"/>
    <mergeCell ref="AC275:AE275"/>
    <mergeCell ref="AC269:AE269"/>
    <mergeCell ref="C58:D58"/>
    <mergeCell ref="C83:AE83"/>
    <mergeCell ref="AD88:AE88"/>
    <mergeCell ref="AC181:AE181"/>
    <mergeCell ref="K195:M195"/>
    <mergeCell ref="C300:N300"/>
    <mergeCell ref="AC270:AE270"/>
    <mergeCell ref="H65:J65"/>
    <mergeCell ref="AD90:AE90"/>
    <mergeCell ref="K38:M38"/>
    <mergeCell ref="Y158:Z158"/>
    <mergeCell ref="O203:W203"/>
    <mergeCell ref="Y168:Z168"/>
    <mergeCell ref="X63:Y63"/>
    <mergeCell ref="H179:J179"/>
    <mergeCell ref="S177:U177"/>
    <mergeCell ref="X91:Z91"/>
    <mergeCell ref="C7:AE7"/>
    <mergeCell ref="AD12:AE12"/>
    <mergeCell ref="Y184:Z184"/>
    <mergeCell ref="H49:J49"/>
    <mergeCell ref="K252:M252"/>
    <mergeCell ref="AC194:AE194"/>
    <mergeCell ref="AD20:AE20"/>
    <mergeCell ref="Q259:S259"/>
    <mergeCell ref="AD14:AE14"/>
    <mergeCell ref="V176:X176"/>
    <mergeCell ref="AB221:AE221"/>
    <mergeCell ref="AD13:AE13"/>
    <mergeCell ref="C246:D246"/>
    <mergeCell ref="Q261:S261"/>
    <mergeCell ref="V178:X178"/>
    <mergeCell ref="X117:Z117"/>
    <mergeCell ref="AD15:AE15"/>
    <mergeCell ref="E66:G66"/>
    <mergeCell ref="AC36:AE36"/>
    <mergeCell ref="K236:M236"/>
    <mergeCell ref="E68:G68"/>
    <mergeCell ref="Z54:AB54"/>
    <mergeCell ref="E67:G67"/>
    <mergeCell ref="C97:N97"/>
    <mergeCell ref="T36:U36"/>
    <mergeCell ref="Q183:R183"/>
    <mergeCell ref="H251:J251"/>
    <mergeCell ref="C172:D172"/>
    <mergeCell ref="H278:J278"/>
    <mergeCell ref="Z239:AB239"/>
    <mergeCell ref="H253:J253"/>
    <mergeCell ref="C171:D171"/>
    <mergeCell ref="AA202:AC202"/>
    <mergeCell ref="C79:AE79"/>
    <mergeCell ref="C123:N123"/>
    <mergeCell ref="AB148:AE148"/>
    <mergeCell ref="T62:U62"/>
    <mergeCell ref="C173:D173"/>
    <mergeCell ref="K160:M160"/>
    <mergeCell ref="E237:G237"/>
    <mergeCell ref="AC266:AE266"/>
    <mergeCell ref="H273:J273"/>
    <mergeCell ref="T64:U64"/>
    <mergeCell ref="E239:G239"/>
    <mergeCell ref="H220:W220"/>
    <mergeCell ref="AC268:AE268"/>
    <mergeCell ref="K34:M34"/>
    <mergeCell ref="N160:P160"/>
    <mergeCell ref="K36:M36"/>
    <mergeCell ref="N159:P159"/>
    <mergeCell ref="Q196:R196"/>
    <mergeCell ref="K29:M29"/>
    <mergeCell ref="H177:J177"/>
    <mergeCell ref="C113:N113"/>
    <mergeCell ref="N161:P161"/>
    <mergeCell ref="AD226:AE226"/>
    <mergeCell ref="K31:M31"/>
    <mergeCell ref="E167:G167"/>
    <mergeCell ref="V269:W269"/>
    <mergeCell ref="Y180:Z180"/>
    <mergeCell ref="O202:W202"/>
    <mergeCell ref="AC165:AE165"/>
    <mergeCell ref="AD228:AE228"/>
    <mergeCell ref="E169:G169"/>
    <mergeCell ref="Z278:AB278"/>
    <mergeCell ref="Y182:Z182"/>
    <mergeCell ref="Q46:S46"/>
    <mergeCell ref="AD99:AE99"/>
    <mergeCell ref="K176:M176"/>
    <mergeCell ref="X93:Z93"/>
    <mergeCell ref="E162:G162"/>
    <mergeCell ref="C242:D242"/>
    <mergeCell ref="Q257:S257"/>
    <mergeCell ref="N187:P187"/>
    <mergeCell ref="Q48:S48"/>
    <mergeCell ref="V174:X174"/>
    <mergeCell ref="X239:Y239"/>
    <mergeCell ref="C252:D252"/>
    <mergeCell ref="E164:G164"/>
    <mergeCell ref="C244:D244"/>
    <mergeCell ref="K49:M49"/>
    <mergeCell ref="K171:M171"/>
    <mergeCell ref="S192:U192"/>
    <mergeCell ref="X306:AE306"/>
    <mergeCell ref="E195:G195"/>
    <mergeCell ref="H196:J196"/>
    <mergeCell ref="E180:G180"/>
    <mergeCell ref="K261:M261"/>
    <mergeCell ref="H191:J191"/>
    <mergeCell ref="E182:G182"/>
    <mergeCell ref="E65:G65"/>
    <mergeCell ref="X108:Z108"/>
    <mergeCell ref="Q270:S270"/>
    <mergeCell ref="X258:Y258"/>
    <mergeCell ref="C271:D271"/>
    <mergeCell ref="C265:D265"/>
    <mergeCell ref="AC60:AE60"/>
    <mergeCell ref="H249:J249"/>
    <mergeCell ref="E179:G179"/>
    <mergeCell ref="T276:U276"/>
    <mergeCell ref="H242:J242"/>
    <mergeCell ref="C80:AE80"/>
    <mergeCell ref="T278:U278"/>
    <mergeCell ref="V36:W36"/>
    <mergeCell ref="H244:J244"/>
    <mergeCell ref="T60:U60"/>
    <mergeCell ref="AA13:AC13"/>
    <mergeCell ref="S176:U176"/>
    <mergeCell ref="AA15:AC15"/>
    <mergeCell ref="C195:D195"/>
    <mergeCell ref="X304:Z304"/>
    <mergeCell ref="Z37:AB37"/>
    <mergeCell ref="AB289:AE289"/>
    <mergeCell ref="Z254:AB254"/>
    <mergeCell ref="C197:D197"/>
    <mergeCell ref="Z248:AB248"/>
    <mergeCell ref="E261:G261"/>
    <mergeCell ref="H262:J262"/>
    <mergeCell ref="Z247:AB247"/>
    <mergeCell ref="Q166:R166"/>
    <mergeCell ref="N186:P186"/>
    <mergeCell ref="O12:W12"/>
    <mergeCell ref="Z249:AB249"/>
    <mergeCell ref="E256:G256"/>
    <mergeCell ref="V266:W266"/>
    <mergeCell ref="O14:W14"/>
    <mergeCell ref="N183:P183"/>
    <mergeCell ref="X201:Z201"/>
    <mergeCell ref="O13:W13"/>
    <mergeCell ref="V268:W268"/>
    <mergeCell ref="X26:Y26"/>
    <mergeCell ref="C39:D39"/>
    <mergeCell ref="N54:P54"/>
    <mergeCell ref="X203:Z203"/>
    <mergeCell ref="O15:W15"/>
    <mergeCell ref="AB219:AE219"/>
    <mergeCell ref="K55:M55"/>
    <mergeCell ref="N56:P56"/>
    <mergeCell ref="C281:N281"/>
    <mergeCell ref="Q39:S39"/>
    <mergeCell ref="K169:M169"/>
    <mergeCell ref="X27:Y27"/>
    <mergeCell ref="Z267:AB267"/>
    <mergeCell ref="C280:N280"/>
    <mergeCell ref="E274:G274"/>
    <mergeCell ref="K46:M46"/>
    <mergeCell ref="K40:M40"/>
    <mergeCell ref="Q179:R179"/>
    <mergeCell ref="AA88:AC88"/>
    <mergeCell ref="X52:Y52"/>
    <mergeCell ref="E186:G186"/>
    <mergeCell ref="H187:J187"/>
    <mergeCell ref="Z262:AB262"/>
    <mergeCell ref="X37:Y37"/>
    <mergeCell ref="C50:D50"/>
    <mergeCell ref="T246:U246"/>
    <mergeCell ref="Q241:S241"/>
    <mergeCell ref="AD118:AE118"/>
    <mergeCell ref="N196:P196"/>
    <mergeCell ref="S157:U157"/>
    <mergeCell ref="V158:X158"/>
    <mergeCell ref="V193:X193"/>
    <mergeCell ref="K66:M66"/>
    <mergeCell ref="AB361:AE361"/>
    <mergeCell ref="K197:M197"/>
    <mergeCell ref="N198:P198"/>
    <mergeCell ref="H30:J30"/>
    <mergeCell ref="V160:X160"/>
    <mergeCell ref="X256:Y256"/>
    <mergeCell ref="X38:Y38"/>
    <mergeCell ref="X99:Z99"/>
    <mergeCell ref="T241:U241"/>
    <mergeCell ref="H29:J29"/>
    <mergeCell ref="K68:M68"/>
    <mergeCell ref="AC174:AE174"/>
    <mergeCell ref="T243:U243"/>
    <mergeCell ref="H31:J31"/>
    <mergeCell ref="H58:J58"/>
    <mergeCell ref="Y160:Z160"/>
    <mergeCell ref="C264:D264"/>
    <mergeCell ref="C293:G293"/>
    <mergeCell ref="H60:J60"/>
    <mergeCell ref="AC42:AE42"/>
    <mergeCell ref="Z33:AB33"/>
    <mergeCell ref="E46:G46"/>
    <mergeCell ref="X267:Y267"/>
    <mergeCell ref="C274:D274"/>
    <mergeCell ref="AC44:AE44"/>
    <mergeCell ref="H57:J57"/>
    <mergeCell ref="Z35:AB35"/>
    <mergeCell ref="X269:Y269"/>
    <mergeCell ref="O110:W110"/>
    <mergeCell ref="Q162:R162"/>
    <mergeCell ref="Z34:AB34"/>
    <mergeCell ref="Z28:AB28"/>
    <mergeCell ref="E41:G41"/>
    <mergeCell ref="H42:J42"/>
    <mergeCell ref="Z245:AB245"/>
    <mergeCell ref="X149:AA149"/>
    <mergeCell ref="Z36:AB36"/>
    <mergeCell ref="Z30:AB30"/>
    <mergeCell ref="E43:G43"/>
    <mergeCell ref="Q157:R157"/>
    <mergeCell ref="V53:W53"/>
    <mergeCell ref="X303:Z303"/>
    <mergeCell ref="Z61:AB61"/>
    <mergeCell ref="V46:W46"/>
    <mergeCell ref="O92:W92"/>
    <mergeCell ref="C179:D179"/>
    <mergeCell ref="N185:P185"/>
    <mergeCell ref="E276:G276"/>
    <mergeCell ref="E270:G270"/>
    <mergeCell ref="Q175:R175"/>
    <mergeCell ref="X291:AA291"/>
    <mergeCell ref="E271:G271"/>
    <mergeCell ref="Q177:R177"/>
    <mergeCell ref="C46:D46"/>
    <mergeCell ref="Q176:R176"/>
    <mergeCell ref="Z260:AB260"/>
    <mergeCell ref="E273:G273"/>
    <mergeCell ref="N27:P27"/>
    <mergeCell ref="K158:M158"/>
    <mergeCell ref="AD203:AE203"/>
    <mergeCell ref="C48:D48"/>
    <mergeCell ref="C87:N87"/>
    <mergeCell ref="X51:Y51"/>
    <mergeCell ref="X220:AA220"/>
    <mergeCell ref="T34:U34"/>
    <mergeCell ref="T28:U28"/>
    <mergeCell ref="X36:Y36"/>
    <mergeCell ref="C306:N306"/>
    <mergeCell ref="T245:U245"/>
    <mergeCell ref="T239:U239"/>
    <mergeCell ref="Y162:Z162"/>
    <mergeCell ref="AA226:AC226"/>
    <mergeCell ref="X221:AA221"/>
    <mergeCell ref="T30:U30"/>
    <mergeCell ref="X67:Y67"/>
    <mergeCell ref="AD229:AE229"/>
    <mergeCell ref="X61:Y61"/>
    <mergeCell ref="Y164:Z164"/>
    <mergeCell ref="C250:D250"/>
    <mergeCell ref="N247:P247"/>
    <mergeCell ref="V182:X182"/>
    <mergeCell ref="T240:U240"/>
    <mergeCell ref="N38:P38"/>
    <mergeCell ref="AA99:AC99"/>
    <mergeCell ref="Y157:Z157"/>
    <mergeCell ref="E197:G197"/>
    <mergeCell ref="N249:P249"/>
    <mergeCell ref="X62:Y62"/>
    <mergeCell ref="K179:M179"/>
    <mergeCell ref="C309:AE309"/>
    <mergeCell ref="H170:J170"/>
    <mergeCell ref="Y188:Z188"/>
    <mergeCell ref="V177:X177"/>
    <mergeCell ref="AD105:AE105"/>
    <mergeCell ref="X64:Y64"/>
    <mergeCell ref="AA94:AC94"/>
    <mergeCell ref="C19:N19"/>
    <mergeCell ref="S168:U168"/>
    <mergeCell ref="C311:AE311"/>
    <mergeCell ref="H172:J172"/>
    <mergeCell ref="Y190:Z190"/>
    <mergeCell ref="S167:U167"/>
    <mergeCell ref="AC158:AE158"/>
    <mergeCell ref="X145:AA145"/>
    <mergeCell ref="T258:U258"/>
    <mergeCell ref="Z32:AB32"/>
    <mergeCell ref="Y175:Z175"/>
    <mergeCell ref="E39:G39"/>
    <mergeCell ref="S169:U169"/>
    <mergeCell ref="C14:N14"/>
    <mergeCell ref="S165:U165"/>
    <mergeCell ref="N267:P267"/>
    <mergeCell ref="X147:AA147"/>
    <mergeCell ref="C3:G3"/>
    <mergeCell ref="X238:Y238"/>
    <mergeCell ref="S194:U194"/>
    <mergeCell ref="O88:W88"/>
    <mergeCell ref="C5:G5"/>
    <mergeCell ref="O99:W99"/>
    <mergeCell ref="N262:P262"/>
    <mergeCell ref="C24:AE24"/>
    <mergeCell ref="H66:J66"/>
    <mergeCell ref="C177:D177"/>
    <mergeCell ref="E57:G57"/>
    <mergeCell ref="V44:W44"/>
    <mergeCell ref="Z60:AB60"/>
    <mergeCell ref="E243:G243"/>
    <mergeCell ref="AA172:AB172"/>
    <mergeCell ref="X289:AA289"/>
    <mergeCell ref="Z45:AB45"/>
    <mergeCell ref="E58:G58"/>
    <mergeCell ref="X12:Z12"/>
    <mergeCell ref="S184:U184"/>
    <mergeCell ref="Z55:AB55"/>
    <mergeCell ref="AA173:AB173"/>
    <mergeCell ref="AC237:AE237"/>
    <mergeCell ref="K251:M251"/>
    <mergeCell ref="Q174:R174"/>
    <mergeCell ref="Q168:R168"/>
    <mergeCell ref="AA165:AB165"/>
    <mergeCell ref="X13:Z13"/>
    <mergeCell ref="K253:M253"/>
    <mergeCell ref="C112:N112"/>
    <mergeCell ref="Q199:R199"/>
    <mergeCell ref="N194:P194"/>
    <mergeCell ref="C114:N114"/>
    <mergeCell ref="T53:U53"/>
    <mergeCell ref="Q44:S44"/>
    <mergeCell ref="Q194:R194"/>
    <mergeCell ref="H27:J27"/>
    <mergeCell ref="T55:U55"/>
    <mergeCell ref="AA191:AB191"/>
    <mergeCell ref="AC255:AE255"/>
    <mergeCell ref="N34:P34"/>
    <mergeCell ref="AD227:AE227"/>
    <mergeCell ref="Q45:S45"/>
    <mergeCell ref="C124:AE124"/>
    <mergeCell ref="C188:D188"/>
    <mergeCell ref="X58:Y58"/>
    <mergeCell ref="K175:M175"/>
    <mergeCell ref="N36:P36"/>
    <mergeCell ref="H166:J166"/>
    <mergeCell ref="Q47:S47"/>
    <mergeCell ref="AA96:AC96"/>
    <mergeCell ref="X60:Y60"/>
    <mergeCell ref="AA90:AC90"/>
    <mergeCell ref="K177:M177"/>
    <mergeCell ref="H168:J168"/>
    <mergeCell ref="Y186:Z186"/>
    <mergeCell ref="C104:N104"/>
    <mergeCell ref="T37:U37"/>
    <mergeCell ref="H167:J167"/>
    <mergeCell ref="H161:J161"/>
    <mergeCell ref="AD96:AE96"/>
    <mergeCell ref="X361:AA361"/>
    <mergeCell ref="H169:J169"/>
    <mergeCell ref="N62:P62"/>
    <mergeCell ref="Q63:S63"/>
    <mergeCell ref="AA123:AC123"/>
    <mergeCell ref="Y181:Z181"/>
    <mergeCell ref="C99:N99"/>
    <mergeCell ref="T38:U38"/>
    <mergeCell ref="AD98:AE98"/>
    <mergeCell ref="N176:P176"/>
    <mergeCell ref="AA116:AC116"/>
    <mergeCell ref="N64:P64"/>
    <mergeCell ref="H194:J194"/>
    <mergeCell ref="O95:W95"/>
    <mergeCell ref="T63:U63"/>
    <mergeCell ref="O89:W89"/>
    <mergeCell ref="AA118:AC118"/>
    <mergeCell ref="AC180:AE180"/>
    <mergeCell ref="K48:M48"/>
    <mergeCell ref="AC182:AE182"/>
    <mergeCell ref="AA109:AC109"/>
    <mergeCell ref="H195:J195"/>
    <mergeCell ref="H189:J189"/>
    <mergeCell ref="O90:W90"/>
    <mergeCell ref="Y199:Z199"/>
    <mergeCell ref="S193:U193"/>
    <mergeCell ref="AD116:AE116"/>
    <mergeCell ref="H197:J197"/>
    <mergeCell ref="X110:Z110"/>
    <mergeCell ref="S180:U180"/>
    <mergeCell ref="Y194:Z194"/>
    <mergeCell ref="X247:Y247"/>
    <mergeCell ref="K247:M247"/>
    <mergeCell ref="K277:M277"/>
    <mergeCell ref="S175:U175"/>
    <mergeCell ref="K249:M249"/>
    <mergeCell ref="K276:M276"/>
    <mergeCell ref="K243:M243"/>
    <mergeCell ref="X92:Z92"/>
    <mergeCell ref="AC26:AE26"/>
    <mergeCell ref="E49:G49"/>
    <mergeCell ref="K278:M278"/>
    <mergeCell ref="X94:Z94"/>
    <mergeCell ref="V59:W59"/>
    <mergeCell ref="E163:G163"/>
    <mergeCell ref="AC251:AE251"/>
    <mergeCell ref="T26:U26"/>
    <mergeCell ref="E251:G251"/>
    <mergeCell ref="X275:Y275"/>
    <mergeCell ref="C76:G76"/>
    <mergeCell ref="V54:W54"/>
    <mergeCell ref="AC253:AE253"/>
    <mergeCell ref="C159:D159"/>
    <mergeCell ref="X277:Y277"/>
    <mergeCell ref="AC246:AE246"/>
    <mergeCell ref="H259:J259"/>
    <mergeCell ref="C186:D186"/>
    <mergeCell ref="AC254:AE254"/>
    <mergeCell ref="AC248:AE248"/>
    <mergeCell ref="H261:J261"/>
    <mergeCell ref="K262:M262"/>
    <mergeCell ref="Z238:AB238"/>
    <mergeCell ref="AB146:AE146"/>
    <mergeCell ref="C95:N95"/>
    <mergeCell ref="O301:W301"/>
    <mergeCell ref="Z240:AB240"/>
    <mergeCell ref="C54:D54"/>
    <mergeCell ref="C218:G218"/>
    <mergeCell ref="N60:P60"/>
    <mergeCell ref="AA201:AC201"/>
    <mergeCell ref="C56:D56"/>
    <mergeCell ref="C230:AE230"/>
    <mergeCell ref="X42:Y42"/>
    <mergeCell ref="X202:Z202"/>
    <mergeCell ref="AA203:AC203"/>
    <mergeCell ref="H272:J272"/>
    <mergeCell ref="T61:U61"/>
    <mergeCell ref="N55:P55"/>
    <mergeCell ref="Q56:S56"/>
    <mergeCell ref="C232:AE232"/>
    <mergeCell ref="AC267:AE267"/>
    <mergeCell ref="H274:J274"/>
    <mergeCell ref="AD87:AE87"/>
    <mergeCell ref="H193:J193"/>
    <mergeCell ref="AD122:AE122"/>
    <mergeCell ref="H64:J64"/>
    <mergeCell ref="X43:Y43"/>
    <mergeCell ref="Y165:Z165"/>
    <mergeCell ref="AA229:AC229"/>
    <mergeCell ref="AD107:AE107"/>
    <mergeCell ref="O226:W226"/>
    <mergeCell ref="O201:W201"/>
    <mergeCell ref="C297:N297"/>
    <mergeCell ref="AB73:AE73"/>
    <mergeCell ref="O228:W228"/>
    <mergeCell ref="C299:N299"/>
    <mergeCell ref="T238:U238"/>
    <mergeCell ref="AC191:AE191"/>
    <mergeCell ref="AC51:AE51"/>
    <mergeCell ref="K65:M65"/>
    <mergeCell ref="E159:G159"/>
    <mergeCell ref="E47:G47"/>
    <mergeCell ref="Q258:S258"/>
    <mergeCell ref="X271:Y271"/>
    <mergeCell ref="V175:X175"/>
    <mergeCell ref="V50:W50"/>
    <mergeCell ref="AB220:AE220"/>
    <mergeCell ref="Q260:S260"/>
    <mergeCell ref="N242:P242"/>
    <mergeCell ref="X273:Y273"/>
    <mergeCell ref="H2:W2"/>
    <mergeCell ref="X116:Z116"/>
    <mergeCell ref="E63:G63"/>
    <mergeCell ref="AD280:AE280"/>
    <mergeCell ref="AC33:AE33"/>
    <mergeCell ref="H46:J46"/>
    <mergeCell ref="C157:D157"/>
    <mergeCell ref="X266:Y266"/>
    <mergeCell ref="X118:Z118"/>
    <mergeCell ref="H257:J257"/>
    <mergeCell ref="X300:AE300"/>
    <mergeCell ref="AC35:AE35"/>
    <mergeCell ref="X268:Y268"/>
    <mergeCell ref="AC34:AE34"/>
    <mergeCell ref="AA301:AC301"/>
    <mergeCell ref="AC59:AE59"/>
    <mergeCell ref="AA303:AC303"/>
    <mergeCell ref="AC61:AE61"/>
    <mergeCell ref="N174:P174"/>
    <mergeCell ref="AB145:AE145"/>
    <mergeCell ref="C170:D170"/>
    <mergeCell ref="H276:J276"/>
    <mergeCell ref="H270:J270"/>
    <mergeCell ref="Z53:AB53"/>
    <mergeCell ref="E236:G236"/>
    <mergeCell ref="V254:W254"/>
    <mergeCell ref="V248:W248"/>
    <mergeCell ref="N169:P169"/>
    <mergeCell ref="Z264:AB264"/>
    <mergeCell ref="Q26:S26"/>
    <mergeCell ref="AA16:AC16"/>
    <mergeCell ref="C196:D196"/>
    <mergeCell ref="K157:M157"/>
    <mergeCell ref="N158:P158"/>
    <mergeCell ref="C198:D198"/>
    <mergeCell ref="K28:M28"/>
    <mergeCell ref="K30:M30"/>
    <mergeCell ref="Z275:AB275"/>
    <mergeCell ref="E160:G160"/>
    <mergeCell ref="Q37:S37"/>
    <mergeCell ref="V267:W267"/>
    <mergeCell ref="Q254:S254"/>
    <mergeCell ref="Z277:AB277"/>
    <mergeCell ref="AD106:AE106"/>
    <mergeCell ref="N184:P184"/>
    <mergeCell ref="V171:X171"/>
    <mergeCell ref="X236:Y236"/>
    <mergeCell ref="C249:D249"/>
    <mergeCell ref="V181:X181"/>
    <mergeCell ref="E161:G161"/>
    <mergeCell ref="Q256:S256"/>
    <mergeCell ref="AA98:AC98"/>
    <mergeCell ref="N238:P238"/>
    <mergeCell ref="V173:X173"/>
    <mergeCell ref="X229:Z229"/>
    <mergeCell ref="Q249:S249"/>
    <mergeCell ref="K56:M56"/>
    <mergeCell ref="V166:X166"/>
    <mergeCell ref="X237:Y237"/>
    <mergeCell ref="N240:P240"/>
    <mergeCell ref="AC162:AE162"/>
    <mergeCell ref="K170:M170"/>
    <mergeCell ref="V168:X168"/>
    <mergeCell ref="X298:AE298"/>
    <mergeCell ref="AA302:AC302"/>
    <mergeCell ref="V51:W51"/>
    <mergeCell ref="V192:X192"/>
    <mergeCell ref="N266:P266"/>
    <mergeCell ref="Q267:S267"/>
    <mergeCell ref="X255:Y255"/>
    <mergeCell ref="C262:D262"/>
    <mergeCell ref="AA299:AC299"/>
    <mergeCell ref="AC57:AE57"/>
    <mergeCell ref="V194:X194"/>
    <mergeCell ref="C292:G292"/>
    <mergeCell ref="N268:P268"/>
    <mergeCell ref="Q269:S269"/>
    <mergeCell ref="AA111:AC111"/>
    <mergeCell ref="AC58:AE58"/>
    <mergeCell ref="T275:U275"/>
    <mergeCell ref="V33:W33"/>
    <mergeCell ref="H241:J241"/>
    <mergeCell ref="T269:U269"/>
    <mergeCell ref="AA167:AB167"/>
    <mergeCell ref="T277:U277"/>
    <mergeCell ref="V35:W35"/>
    <mergeCell ref="H243:J243"/>
    <mergeCell ref="Z51:AB51"/>
    <mergeCell ref="AA12:AC12"/>
    <mergeCell ref="V245:W245"/>
    <mergeCell ref="C192:D192"/>
    <mergeCell ref="AA162:AB162"/>
    <mergeCell ref="X301:Z301"/>
    <mergeCell ref="AA14:AC14"/>
    <mergeCell ref="C194:D194"/>
    <mergeCell ref="E258:G258"/>
    <mergeCell ref="AA164:AB164"/>
    <mergeCell ref="K242:M242"/>
    <mergeCell ref="X146:AA146"/>
    <mergeCell ref="N193:P193"/>
    <mergeCell ref="Z246:AB246"/>
    <mergeCell ref="E259:G259"/>
    <mergeCell ref="C189:D189"/>
    <mergeCell ref="E253:G253"/>
    <mergeCell ref="AA188:AB188"/>
    <mergeCell ref="V263:W263"/>
    <mergeCell ref="C34:D34"/>
    <mergeCell ref="AA180:AB180"/>
    <mergeCell ref="N180:P180"/>
    <mergeCell ref="Q35:S35"/>
    <mergeCell ref="V265:W265"/>
    <mergeCell ref="Q34:S34"/>
    <mergeCell ref="N182:P182"/>
    <mergeCell ref="V258:W258"/>
    <mergeCell ref="C29:D29"/>
    <mergeCell ref="C65:D65"/>
    <mergeCell ref="Q36:S36"/>
    <mergeCell ref="Q30:S30"/>
    <mergeCell ref="K166:M166"/>
    <mergeCell ref="V260:W260"/>
    <mergeCell ref="C31:D31"/>
    <mergeCell ref="AC247:AE247"/>
    <mergeCell ref="N177:P177"/>
    <mergeCell ref="K168:M168"/>
    <mergeCell ref="K167:M167"/>
    <mergeCell ref="V195:X195"/>
    <mergeCell ref="AD113:AE113"/>
    <mergeCell ref="E272:G272"/>
    <mergeCell ref="E185:G185"/>
    <mergeCell ref="Q62:S62"/>
    <mergeCell ref="AD115:AE115"/>
    <mergeCell ref="X73:AA73"/>
    <mergeCell ref="K192:M192"/>
    <mergeCell ref="N53:P53"/>
    <mergeCell ref="Q54:S54"/>
    <mergeCell ref="C258:D258"/>
    <mergeCell ref="H39:J39"/>
    <mergeCell ref="C49:D49"/>
    <mergeCell ref="Q64:S64"/>
    <mergeCell ref="V190:X190"/>
    <mergeCell ref="K63:M63"/>
    <mergeCell ref="N264:P264"/>
    <mergeCell ref="N46:P46"/>
    <mergeCell ref="K194:M194"/>
    <mergeCell ref="AA107:AC107"/>
    <mergeCell ref="S181:U181"/>
    <mergeCell ref="C266:D266"/>
    <mergeCell ref="C260:D260"/>
    <mergeCell ref="C305:N305"/>
    <mergeCell ref="C42:D42"/>
    <mergeCell ref="N48:P48"/>
    <mergeCell ref="C259:D259"/>
    <mergeCell ref="AC171:AE171"/>
    <mergeCell ref="T271:U271"/>
    <mergeCell ref="V29:W29"/>
    <mergeCell ref="E27:G27"/>
    <mergeCell ref="H28:J28"/>
    <mergeCell ref="X248:Y248"/>
    <mergeCell ref="C261:D261"/>
    <mergeCell ref="AC173:AE173"/>
    <mergeCell ref="H186:J186"/>
    <mergeCell ref="T273:U273"/>
    <mergeCell ref="V31:W31"/>
    <mergeCell ref="AA110:AC110"/>
    <mergeCell ref="E196:G196"/>
    <mergeCell ref="T266:U266"/>
    <mergeCell ref="V60:W60"/>
    <mergeCell ref="E198:G198"/>
    <mergeCell ref="O106:W106"/>
    <mergeCell ref="V32:W32"/>
    <mergeCell ref="X96:Z96"/>
    <mergeCell ref="N250:P250"/>
    <mergeCell ref="V26:W26"/>
    <mergeCell ref="T268:U268"/>
    <mergeCell ref="N275:P275"/>
    <mergeCell ref="O105:W105"/>
    <mergeCell ref="H54:J54"/>
    <mergeCell ref="X98:Z98"/>
    <mergeCell ref="AC199:AE199"/>
    <mergeCell ref="K238:M238"/>
    <mergeCell ref="N277:P277"/>
    <mergeCell ref="V57:W57"/>
    <mergeCell ref="O107:W107"/>
    <mergeCell ref="N276:P276"/>
    <mergeCell ref="H56:J56"/>
    <mergeCell ref="S166:U166"/>
    <mergeCell ref="E38:G38"/>
    <mergeCell ref="K240:M240"/>
    <mergeCell ref="AC67:AE67"/>
    <mergeCell ref="V42:W42"/>
    <mergeCell ref="E249:G249"/>
    <mergeCell ref="N278:P278"/>
    <mergeCell ref="E40:G40"/>
    <mergeCell ref="V58:W58"/>
    <mergeCell ref="V52:W52"/>
    <mergeCell ref="E257:G257"/>
    <mergeCell ref="C4:G4"/>
    <mergeCell ref="AA186:AB186"/>
    <mergeCell ref="AB3:AE3"/>
    <mergeCell ref="AB5:AE5"/>
    <mergeCell ref="X109:Z109"/>
    <mergeCell ref="C25:AE25"/>
    <mergeCell ref="X22:Z22"/>
    <mergeCell ref="K259:M259"/>
    <mergeCell ref="Z59:AB59"/>
    <mergeCell ref="C27:D27"/>
    <mergeCell ref="T41:U41"/>
    <mergeCell ref="AC245:AE245"/>
    <mergeCell ref="Q182:R182"/>
    <mergeCell ref="T43:U43"/>
    <mergeCell ref="E262:G262"/>
    <mergeCell ref="Q58:S58"/>
    <mergeCell ref="X40:Y40"/>
    <mergeCell ref="AA199:AB199"/>
    <mergeCell ref="C45:D45"/>
    <mergeCell ref="Q60:S60"/>
    <mergeCell ref="AB147:AE147"/>
    <mergeCell ref="AC271:AE271"/>
    <mergeCell ref="O21:W21"/>
    <mergeCell ref="AC265:AE265"/>
    <mergeCell ref="C47:D47"/>
    <mergeCell ref="C40:D40"/>
    <mergeCell ref="C75:G75"/>
    <mergeCell ref="T236:U236"/>
    <mergeCell ref="Y159:Z159"/>
    <mergeCell ref="K274:M274"/>
    <mergeCell ref="K62:M62"/>
    <mergeCell ref="AD86:AE86"/>
    <mergeCell ref="K193:M193"/>
    <mergeCell ref="C298:N298"/>
    <mergeCell ref="T237:U237"/>
    <mergeCell ref="N246:P246"/>
    <mergeCell ref="C8:AE8"/>
    <mergeCell ref="X59:Y59"/>
    <mergeCell ref="N37:P37"/>
    <mergeCell ref="C66:D66"/>
    <mergeCell ref="AB77:AE77"/>
    <mergeCell ref="AC195:AE195"/>
    <mergeCell ref="N248:P248"/>
    <mergeCell ref="C308:AE308"/>
    <mergeCell ref="C16:N16"/>
    <mergeCell ref="C68:D68"/>
    <mergeCell ref="H52:J52"/>
    <mergeCell ref="H149:W149"/>
    <mergeCell ref="E34:G34"/>
    <mergeCell ref="AC197:AE197"/>
    <mergeCell ref="H45:J45"/>
    <mergeCell ref="T255:U255"/>
    <mergeCell ref="E36:G36"/>
    <mergeCell ref="H47:J47"/>
    <mergeCell ref="Q247:S247"/>
    <mergeCell ref="T250:U250"/>
    <mergeCell ref="C2:G2"/>
    <mergeCell ref="X105:Z105"/>
    <mergeCell ref="C96:N96"/>
    <mergeCell ref="O87:W87"/>
    <mergeCell ref="Z49:AB49"/>
    <mergeCell ref="E62:G62"/>
    <mergeCell ref="H63:J63"/>
    <mergeCell ref="AC32:AE32"/>
    <mergeCell ref="K266:M266"/>
    <mergeCell ref="X107:Z107"/>
    <mergeCell ref="H291:W291"/>
    <mergeCell ref="C98:N98"/>
    <mergeCell ref="O116:W116"/>
    <mergeCell ref="Z57:AB57"/>
    <mergeCell ref="E64:G64"/>
    <mergeCell ref="T39:U39"/>
    <mergeCell ref="AD21:AE21"/>
    <mergeCell ref="Z50:AB50"/>
    <mergeCell ref="V68:W68"/>
    <mergeCell ref="H292:W292"/>
    <mergeCell ref="C18:AE18"/>
    <mergeCell ref="C93:N93"/>
    <mergeCell ref="V67:W67"/>
    <mergeCell ref="T32:U32"/>
    <mergeCell ref="O113:W113"/>
    <mergeCell ref="Z52:AB52"/>
    <mergeCell ref="H76:W76"/>
    <mergeCell ref="AA170:AB170"/>
    <mergeCell ref="AC50:AE50"/>
    <mergeCell ref="C168:D168"/>
    <mergeCell ref="Q181:R181"/>
    <mergeCell ref="AC236:AE236"/>
    <mergeCell ref="K250:M250"/>
    <mergeCell ref="C103:AE103"/>
    <mergeCell ref="C167:D167"/>
    <mergeCell ref="H221:W221"/>
    <mergeCell ref="C169:D169"/>
    <mergeCell ref="C111:N111"/>
    <mergeCell ref="Q191:R191"/>
    <mergeCell ref="T52:U52"/>
    <mergeCell ref="AC264:AE264"/>
    <mergeCell ref="Q163:R163"/>
    <mergeCell ref="H218:W218"/>
    <mergeCell ref="V238:W238"/>
    <mergeCell ref="K32:M32"/>
    <mergeCell ref="N33:P33"/>
    <mergeCell ref="C62:D62"/>
    <mergeCell ref="T49:U49"/>
    <mergeCell ref="C187:D187"/>
    <mergeCell ref="C64:D64"/>
    <mergeCell ref="N157:P157"/>
    <mergeCell ref="T42:U42"/>
    <mergeCell ref="AC274:AE274"/>
    <mergeCell ref="K27:M27"/>
    <mergeCell ref="N28:P28"/>
    <mergeCell ref="T50:U50"/>
    <mergeCell ref="H158:J158"/>
    <mergeCell ref="T44:U44"/>
    <mergeCell ref="S162:U162"/>
    <mergeCell ref="N30:P30"/>
    <mergeCell ref="H160:J160"/>
    <mergeCell ref="Y178:Z178"/>
    <mergeCell ref="AD95:AE95"/>
    <mergeCell ref="AA113:AC113"/>
    <mergeCell ref="AB218:AE218"/>
    <mergeCell ref="S187:U187"/>
    <mergeCell ref="H148:W148"/>
    <mergeCell ref="AC277:AE277"/>
    <mergeCell ref="AD97:AE97"/>
    <mergeCell ref="N175:P175"/>
    <mergeCell ref="C240:D240"/>
    <mergeCell ref="AA115:AC115"/>
    <mergeCell ref="S189:U189"/>
    <mergeCell ref="Q238:S238"/>
    <mergeCell ref="K45:M45"/>
    <mergeCell ref="S182:U182"/>
    <mergeCell ref="K256:M256"/>
    <mergeCell ref="AC179:AE179"/>
    <mergeCell ref="H192:J192"/>
    <mergeCell ref="K47:M47"/>
    <mergeCell ref="E177:G177"/>
    <mergeCell ref="E60:G60"/>
    <mergeCell ref="S190:U190"/>
    <mergeCell ref="Y196:Z196"/>
    <mergeCell ref="K264:M264"/>
    <mergeCell ref="E176:G176"/>
    <mergeCell ref="AD123:AE123"/>
    <mergeCell ref="K257:M257"/>
    <mergeCell ref="E178:G178"/>
    <mergeCell ref="Z48:AB48"/>
    <mergeCell ref="Y191:Z191"/>
    <mergeCell ref="H290:W290"/>
    <mergeCell ref="Q266:S266"/>
    <mergeCell ref="X254:Y254"/>
    <mergeCell ref="K246:M246"/>
    <mergeCell ref="Q268:S268"/>
    <mergeCell ref="AC48:AE48"/>
    <mergeCell ref="O115:W115"/>
    <mergeCell ref="O229:W229"/>
    <mergeCell ref="AD22:AE22"/>
    <mergeCell ref="X3:AA3"/>
    <mergeCell ref="H240:J240"/>
    <mergeCell ref="K241:M241"/>
    <mergeCell ref="X5:AA5"/>
    <mergeCell ref="X272:Y272"/>
    <mergeCell ref="O280:W280"/>
    <mergeCell ref="AA179:AB179"/>
    <mergeCell ref="C183:D183"/>
    <mergeCell ref="Q190:R190"/>
    <mergeCell ref="C193:D193"/>
    <mergeCell ref="H258:J258"/>
    <mergeCell ref="C176:D176"/>
    <mergeCell ref="X302:Z302"/>
    <mergeCell ref="T40:U40"/>
    <mergeCell ref="H260:J260"/>
    <mergeCell ref="C178:D178"/>
    <mergeCell ref="E242:G242"/>
    <mergeCell ref="Z237:AB237"/>
    <mergeCell ref="V264:W264"/>
    <mergeCell ref="K41:M41"/>
    <mergeCell ref="N52:P52"/>
    <mergeCell ref="H182:J182"/>
    <mergeCell ref="K43:M43"/>
    <mergeCell ref="N166:P166"/>
    <mergeCell ref="Z263:AB263"/>
    <mergeCell ref="H190:J190"/>
    <mergeCell ref="T59:U59"/>
    <mergeCell ref="Z265:AB265"/>
    <mergeCell ref="X77:AA77"/>
    <mergeCell ref="H183:J183"/>
    <mergeCell ref="E174:G174"/>
    <mergeCell ref="AC172:AE172"/>
    <mergeCell ref="H185:J185"/>
    <mergeCell ref="V275:W275"/>
    <mergeCell ref="X33:Y33"/>
    <mergeCell ref="N192:P192"/>
    <mergeCell ref="Q53:S53"/>
    <mergeCell ref="K183:M183"/>
    <mergeCell ref="X41:Y41"/>
    <mergeCell ref="V277:W277"/>
    <mergeCell ref="X35:Y35"/>
    <mergeCell ref="N63:P63"/>
    <mergeCell ref="Q239:S239"/>
    <mergeCell ref="Q264:S264"/>
    <mergeCell ref="X252:Y252"/>
    <mergeCell ref="K54:M54"/>
    <mergeCell ref="C153:AE153"/>
    <mergeCell ref="O225:W225"/>
    <mergeCell ref="K64:M64"/>
    <mergeCell ref="O227:W227"/>
    <mergeCell ref="C202:N202"/>
    <mergeCell ref="C154:AE154"/>
    <mergeCell ref="E158:G158"/>
    <mergeCell ref="C156:AE156"/>
    <mergeCell ref="K268:M268"/>
    <mergeCell ref="H198:J198"/>
    <mergeCell ref="C277:D277"/>
    <mergeCell ref="X113:Z113"/>
    <mergeCell ref="Q275:S275"/>
    <mergeCell ref="Q250:S250"/>
    <mergeCell ref="X263:Y263"/>
    <mergeCell ref="C276:D276"/>
    <mergeCell ref="AC188:AE188"/>
    <mergeCell ref="N241:P241"/>
    <mergeCell ref="X115:Z115"/>
    <mergeCell ref="Q277:S277"/>
    <mergeCell ref="E184:G184"/>
    <mergeCell ref="Z31:AB31"/>
    <mergeCell ref="X265:Y265"/>
    <mergeCell ref="C278:D278"/>
    <mergeCell ref="H38:J38"/>
    <mergeCell ref="AD301:AE301"/>
    <mergeCell ref="Z26:AB26"/>
    <mergeCell ref="H40:J40"/>
    <mergeCell ref="V43:W43"/>
    <mergeCell ref="AA20:AC20"/>
    <mergeCell ref="AB292:AE292"/>
    <mergeCell ref="Z42:AB42"/>
    <mergeCell ref="Z259:AB259"/>
    <mergeCell ref="H267:J267"/>
    <mergeCell ref="Z44:AB44"/>
    <mergeCell ref="Q171:R171"/>
    <mergeCell ref="Z261:AB261"/>
    <mergeCell ref="E268:G268"/>
    <mergeCell ref="H269:J269"/>
    <mergeCell ref="Q173:R173"/>
    <mergeCell ref="V271:W271"/>
    <mergeCell ref="V246:W246"/>
    <mergeCell ref="O19:W19"/>
    <mergeCell ref="AA163:AB163"/>
    <mergeCell ref="N188:P188"/>
    <mergeCell ref="Z256:AB256"/>
    <mergeCell ref="V273:W273"/>
    <mergeCell ref="X31:Y31"/>
    <mergeCell ref="N165:P165"/>
    <mergeCell ref="Q51:S51"/>
    <mergeCell ref="O20:W20"/>
    <mergeCell ref="X39:Y39"/>
    <mergeCell ref="X218:AA218"/>
    <mergeCell ref="X32:Y32"/>
    <mergeCell ref="O22:W22"/>
    <mergeCell ref="C74:G74"/>
    <mergeCell ref="Z272:AB272"/>
    <mergeCell ref="Q251:S251"/>
    <mergeCell ref="Z274:AB274"/>
    <mergeCell ref="AD225:AE225"/>
    <mergeCell ref="X122:Z122"/>
    <mergeCell ref="X219:AA219"/>
    <mergeCell ref="C152:AE152"/>
    <mergeCell ref="X65:Y65"/>
    <mergeCell ref="AA95:AC95"/>
    <mergeCell ref="E193:G193"/>
    <mergeCell ref="Q246:S246"/>
    <mergeCell ref="C13:N13"/>
    <mergeCell ref="V163:X163"/>
    <mergeCell ref="AA97:AC97"/>
    <mergeCell ref="AC159:AE159"/>
    <mergeCell ref="N237:P237"/>
    <mergeCell ref="C241:D241"/>
    <mergeCell ref="X50:Y50"/>
    <mergeCell ref="T253:U253"/>
    <mergeCell ref="Q248:S248"/>
    <mergeCell ref="Z27:AB27"/>
    <mergeCell ref="C15:N15"/>
    <mergeCell ref="S164:U164"/>
    <mergeCell ref="V165:X165"/>
    <mergeCell ref="AC186:AE186"/>
    <mergeCell ref="N239:P239"/>
    <mergeCell ref="C243:D243"/>
    <mergeCell ref="H34:J34"/>
    <mergeCell ref="T254:U254"/>
    <mergeCell ref="T248:U248"/>
    <mergeCell ref="Y171:Z171"/>
    <mergeCell ref="H36:J36"/>
    <mergeCell ref="N263:P263"/>
    <mergeCell ref="T256:U256"/>
    <mergeCell ref="Y173:Z173"/>
    <mergeCell ref="AD299:AE299"/>
    <mergeCell ref="AC54:AE54"/>
    <mergeCell ref="V191:X191"/>
    <mergeCell ref="N265:P265"/>
    <mergeCell ref="AA108:AC108"/>
    <mergeCell ref="AC56:AE56"/>
    <mergeCell ref="N258:P258"/>
    <mergeCell ref="X280:Z280"/>
    <mergeCell ref="C291:G291"/>
    <mergeCell ref="O122:W122"/>
    <mergeCell ref="AC49:AE49"/>
    <mergeCell ref="H62:J62"/>
    <mergeCell ref="Z46:AB46"/>
    <mergeCell ref="N260:P260"/>
    <mergeCell ref="Z40:AB40"/>
    <mergeCell ref="E53:G53"/>
    <mergeCell ref="S183:U183"/>
    <mergeCell ref="AA22:AC22"/>
    <mergeCell ref="E55:G55"/>
    <mergeCell ref="V243:W243"/>
    <mergeCell ref="Q169:R169"/>
    <mergeCell ref="T267:U267"/>
    <mergeCell ref="Z41:AB41"/>
    <mergeCell ref="AA160:AB160"/>
    <mergeCell ref="E48:G48"/>
    <mergeCell ref="V242:W242"/>
    <mergeCell ref="V236:W236"/>
    <mergeCell ref="K248:M248"/>
    <mergeCell ref="AA159:AB159"/>
  </mergeCells>
  <printOptions horizontalCentered="1"/>
  <pageMargins left="0.5" right="0.5" top="0.6" bottom="0.6" header="0.5" footer="0.5"/>
  <pageSetup orientation="portrait" paperSize="9" scale="66" fitToHeight="0"/>
  <rowBreaks count="4" manualBreakCount="4">
    <brk id="73" min="0" max="16383" man="1"/>
    <brk id="145" min="0" max="16383" man="1"/>
    <brk id="217" min="0" max="16383" man="1"/>
    <brk id="289" min="0" max="16383" man="1"/>
  </rowBreaks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BQ361"/>
  <sheetViews>
    <sheetView showGridLines="0" zoomScale="85" workbookViewId="0">
      <selection activeCell="A1" sqref="A1"/>
    </sheetView>
  </sheetViews>
  <sheetFormatPr baseColWidth="8" defaultRowHeight="13.9"/>
  <cols>
    <col width="3.43" customWidth="1" min="1" max="1"/>
    <col width="4" customWidth="1" min="2" max="2"/>
    <col width="3.57" customWidth="1" min="3" max="3"/>
    <col width="3.57" customWidth="1" min="4" max="4"/>
    <col width="3.57" customWidth="1" min="5" max="5"/>
    <col width="3.57" customWidth="1" min="6" max="6"/>
    <col width="3.57" customWidth="1" min="7" max="7"/>
    <col width="3.57" customWidth="1" min="8" max="8"/>
    <col width="3.57" customWidth="1" min="9" max="9"/>
    <col width="3.86" customWidth="1" min="10" max="10"/>
    <col width="4" customWidth="1" min="11" max="11"/>
    <col width="4.57" customWidth="1" min="12" max="12"/>
    <col width="4.57" customWidth="1" min="13" max="13"/>
    <col width="4.57" customWidth="1" min="14" max="14"/>
    <col width="4.57" customWidth="1" min="15" max="15"/>
    <col width="4.57" customWidth="1" min="16" max="16"/>
    <col width="4.57" customWidth="1" min="17" max="17"/>
    <col width="4.57" customWidth="1" min="18" max="18"/>
    <col width="4.57" customWidth="1" min="19" max="19"/>
    <col width="4.57" customWidth="1" min="20" max="20"/>
    <col width="4.57" customWidth="1" min="21" max="21"/>
    <col width="4.57" customWidth="1" min="22" max="22"/>
    <col width="4.57" customWidth="1" min="23" max="23"/>
    <col width="4.57" customWidth="1" min="24" max="24"/>
    <col width="4.57" customWidth="1" min="25" max="25"/>
    <col width="4.57" customWidth="1" min="26" max="26"/>
    <col width="4.57" customWidth="1" min="27" max="27"/>
    <col width="4.57" customWidth="1" min="28" max="28"/>
    <col width="4.57" customWidth="1" min="29" max="29"/>
    <col width="4.57" customWidth="1" min="30" max="30"/>
    <col width="4.57" customWidth="1" min="31" max="31"/>
    <col width="3.43" customWidth="1" min="32" max="32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40" customWidth="1" min="69" max="69"/>
  </cols>
  <sheetData>
    <row r="2">
      <c r="B2" s="1" t="n"/>
      <c r="C2" s="2" t="inlineStr">
        <is>
          <t>PROJECT :</t>
        </is>
      </c>
      <c r="D2" s="3" t="n"/>
      <c r="E2" s="3" t="n"/>
      <c r="F2" s="3" t="n"/>
      <c r="G2" s="3" t="n"/>
      <c r="H2" s="4" t="inlineStr">
        <is>
          <t>GEOTHERMAL WELLPAD PSPE BORA PULU - SIGI, CENTRAL SULAWESI</t>
        </is>
      </c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5" t="inlineStr">
        <is>
          <t>Prepared by :</t>
        </is>
      </c>
      <c r="Y2" s="6" t="n"/>
      <c r="Z2" s="6" t="n"/>
      <c r="AA2" s="6" t="n"/>
      <c r="AB2" s="7" t="inlineStr">
        <is>
          <t>Date</t>
        </is>
      </c>
      <c r="AC2" s="6" t="n"/>
      <c r="AD2" s="6" t="n"/>
      <c r="AE2" s="6" t="n"/>
      <c r="AF2" s="8" t="n"/>
    </row>
    <row r="3">
      <c r="B3" s="9" t="n"/>
      <c r="C3" s="10" t="inlineStr">
        <is>
          <t>CLIENT :</t>
        </is>
      </c>
      <c r="H3" s="11" t="inlineStr">
        <is>
          <t>PT EDC PANAS BUMI INDONESIA</t>
        </is>
      </c>
      <c r="X3" s="12" t="inlineStr">
        <is>
          <t>DF</t>
        </is>
      </c>
      <c r="Y3" s="13" t="n"/>
      <c r="Z3" s="13" t="n"/>
      <c r="AA3" s="13" t="n"/>
      <c r="AB3" s="14" t="n">
        <v>46301</v>
      </c>
      <c r="AC3" s="13" t="n"/>
      <c r="AD3" s="13" t="n"/>
      <c r="AE3" s="13" t="n"/>
      <c r="AF3" s="15" t="n"/>
    </row>
    <row r="4">
      <c r="B4" s="9" t="n"/>
      <c r="C4" s="10" t="inlineStr">
        <is>
          <t>LOCATION :</t>
        </is>
      </c>
      <c r="H4" s="11" t="inlineStr">
        <is>
          <t>BH-03 (Log Yard)</t>
        </is>
      </c>
      <c r="X4" s="12" t="inlineStr">
        <is>
          <t>Verified by :</t>
        </is>
      </c>
      <c r="Y4" s="13" t="n"/>
      <c r="Z4" s="13" t="n"/>
      <c r="AA4" s="13" t="n"/>
      <c r="AB4" s="14" t="inlineStr">
        <is>
          <t>Date</t>
        </is>
      </c>
      <c r="AC4" s="13" t="n"/>
      <c r="AD4" s="13" t="n"/>
      <c r="AE4" s="13" t="n"/>
      <c r="AF4" s="15" t="n"/>
    </row>
    <row r="5">
      <c r="B5" s="16" t="n"/>
      <c r="C5" s="17" t="inlineStr">
        <is>
          <t>SHEET :</t>
        </is>
      </c>
      <c r="D5" s="18" t="n"/>
      <c r="E5" s="18" t="n"/>
      <c r="F5" s="18" t="n"/>
      <c r="G5" s="18" t="n"/>
      <c r="H5" s="19" t="inlineStr">
        <is>
          <t>BEARING CAPACITY AND SETTLEMENT OF SUBGRADE</t>
        </is>
      </c>
      <c r="I5" s="18" t="n"/>
      <c r="J5" s="18" t="n"/>
      <c r="K5" s="18" t="n"/>
      <c r="L5" s="18" t="n"/>
      <c r="M5" s="18" t="n"/>
      <c r="N5" s="18" t="n"/>
      <c r="O5" s="18" t="n"/>
      <c r="P5" s="18" t="n"/>
      <c r="Q5" s="18" t="n"/>
      <c r="R5" s="18" t="n"/>
      <c r="S5" s="18" t="n"/>
      <c r="T5" s="18" t="n"/>
      <c r="U5" s="18" t="n"/>
      <c r="V5" s="18" t="n"/>
      <c r="W5" s="18" t="n"/>
      <c r="X5" s="20" t="inlineStr">
        <is>
          <t>BC</t>
        </is>
      </c>
      <c r="Y5" s="21" t="n"/>
      <c r="Z5" s="21" t="n"/>
      <c r="AA5" s="21" t="n"/>
      <c r="AB5" s="22" t="n">
        <v>46301</v>
      </c>
      <c r="AC5" s="21" t="n"/>
      <c r="AD5" s="21" t="n"/>
      <c r="AE5" s="21" t="n"/>
      <c r="AF5" s="23" t="n"/>
    </row>
    <row r="6">
      <c r="B6" s="9" t="n"/>
      <c r="AF6" s="15" t="n"/>
    </row>
    <row r="7">
      <c r="B7" s="9" t="n"/>
      <c r="C7" s="11" t="inlineStr">
        <is>
          <t>1. GENERAL</t>
        </is>
      </c>
      <c r="AF7" s="15" t="n"/>
    </row>
    <row r="8">
      <c r="B8" s="9" t="n"/>
      <c r="C8" s="25" t="inlineStr">
        <is>
          <t>This sheet evaluates the bearing capacity, immediate settlement and primary consolidation settlement of the subgrade</t>
        </is>
      </c>
      <c r="AF8" s="15" t="n"/>
    </row>
    <row r="9">
      <c r="B9" s="9" t="n"/>
      <c r="C9" s="25" t="inlineStr">
        <is>
          <t>below the wellpad embankment (2 m fill + 100 kPa uniform surcharge) at the borehole location.</t>
        </is>
      </c>
      <c r="AF9" s="15" t="n"/>
    </row>
    <row r="10">
      <c r="B10" s="9" t="n"/>
      <c r="AF10" s="15" t="n"/>
    </row>
    <row r="11">
      <c r="B11" s="9" t="n"/>
      <c r="C11" s="11" t="inlineStr">
        <is>
          <t>1.1. Load and loaded area</t>
        </is>
      </c>
      <c r="AF11" s="15" t="n"/>
    </row>
    <row r="12">
      <c r="B12" s="9" t="n"/>
      <c r="C12" s="25" t="inlineStr">
        <is>
          <t>Height of embankment fill</t>
        </is>
      </c>
      <c r="O12" s="26" t="inlineStr">
        <is>
          <t>(Input)</t>
        </is>
      </c>
      <c r="X12" s="27" t="inlineStr">
        <is>
          <t>Hf =</t>
        </is>
      </c>
      <c r="Y12" s="13" t="n"/>
      <c r="Z12" s="13" t="n"/>
      <c r="AA12" s="61">
        <f>Input!$AA$11</f>
        <v/>
      </c>
      <c r="AB12" s="13" t="n"/>
      <c r="AC12" s="13" t="n"/>
      <c r="AD12" s="25" t="inlineStr">
        <is>
          <t>m</t>
        </is>
      </c>
      <c r="AF12" s="15" t="n"/>
    </row>
    <row r="13">
      <c r="B13" s="9" t="n"/>
      <c r="C13" s="25" t="inlineStr">
        <is>
          <t>Uniform surcharge</t>
        </is>
      </c>
      <c r="O13" s="26" t="inlineStr">
        <is>
          <t>(Input)</t>
        </is>
      </c>
      <c r="X13" s="27" t="inlineStr">
        <is>
          <t>qs =</t>
        </is>
      </c>
      <c r="Y13" s="13" t="n"/>
      <c r="Z13" s="13" t="n"/>
      <c r="AA13" s="62">
        <f>Input!$AA$13</f>
        <v/>
      </c>
      <c r="AB13" s="13" t="n"/>
      <c r="AC13" s="13" t="n"/>
      <c r="AD13" s="25" t="inlineStr">
        <is>
          <t>kPa</t>
        </is>
      </c>
      <c r="AF13" s="15" t="n"/>
    </row>
    <row r="14">
      <c r="B14" s="9" t="n"/>
      <c r="C14" s="25" t="inlineStr">
        <is>
          <t>Total pressure on subgrade</t>
        </is>
      </c>
      <c r="O14" s="26" t="inlineStr">
        <is>
          <t>q = Hf·γf + qs</t>
        </is>
      </c>
      <c r="X14" s="27" t="inlineStr">
        <is>
          <t>q =</t>
        </is>
      </c>
      <c r="Y14" s="13" t="n"/>
      <c r="Z14" s="13" t="n"/>
      <c r="AA14" s="62">
        <f>Input!$AA$14</f>
        <v/>
      </c>
      <c r="AB14" s="13" t="n"/>
      <c r="AC14" s="13" t="n"/>
      <c r="AD14" s="25" t="inlineStr">
        <is>
          <t>kPa</t>
        </is>
      </c>
      <c r="AF14" s="15" t="n"/>
    </row>
    <row r="15">
      <c r="B15" s="9" t="n"/>
      <c r="C15" s="25" t="inlineStr">
        <is>
          <t>Loaded area (assumed)</t>
        </is>
      </c>
      <c r="O15" s="26" t="inlineStr">
        <is>
          <t>B × L</t>
        </is>
      </c>
      <c r="X15" s="27" t="inlineStr">
        <is>
          <t>B =</t>
        </is>
      </c>
      <c r="Y15" s="13" t="n"/>
      <c r="Z15" s="13" t="n"/>
      <c r="AA15" s="62">
        <f>Input!$AA$15</f>
        <v/>
      </c>
      <c r="AB15" s="13" t="n"/>
      <c r="AC15" s="13" t="n"/>
      <c r="AD15" s="25" t="inlineStr">
        <is>
          <t>m</t>
        </is>
      </c>
      <c r="AF15" s="15" t="n"/>
    </row>
    <row r="16">
      <c r="B16" s="9" t="n"/>
      <c r="C16" s="25" t="inlineStr"/>
      <c r="O16" s="26" t="inlineStr"/>
      <c r="X16" s="27" t="inlineStr">
        <is>
          <t>L =</t>
        </is>
      </c>
      <c r="Y16" s="13" t="n"/>
      <c r="Z16" s="13" t="n"/>
      <c r="AA16" s="62">
        <f>Input!$AA$16</f>
        <v/>
      </c>
      <c r="AB16" s="13" t="n"/>
      <c r="AC16" s="13" t="n"/>
      <c r="AD16" s="25" t="inlineStr">
        <is>
          <t>m</t>
        </is>
      </c>
      <c r="AF16" s="15" t="n"/>
    </row>
    <row r="17">
      <c r="B17" s="9" t="n"/>
      <c r="AF17" s="15" t="n"/>
    </row>
    <row r="18">
      <c r="B18" s="9" t="n"/>
      <c r="C18" s="11" t="inlineStr">
        <is>
          <t>1.2. Borehole data</t>
        </is>
      </c>
      <c r="AF18" s="15" t="n"/>
    </row>
    <row r="19">
      <c r="B19" s="9" t="n"/>
      <c r="C19" s="25" t="inlineStr">
        <is>
          <t>Design groundwater level (below ground)</t>
        </is>
      </c>
      <c r="O19" s="26" t="inlineStr">
        <is>
          <t>liquefaction report</t>
        </is>
      </c>
      <c r="X19" s="27" t="inlineStr">
        <is>
          <t>GWL =</t>
        </is>
      </c>
      <c r="Y19" s="13" t="n"/>
      <c r="Z19" s="13" t="n"/>
      <c r="AA19" s="63" t="n">
        <v>8</v>
      </c>
      <c r="AB19" s="29" t="n"/>
      <c r="AC19" s="29" t="n"/>
      <c r="AD19" s="25" t="inlineStr">
        <is>
          <t>m</t>
        </is>
      </c>
      <c r="AF19" s="15" t="n"/>
    </row>
    <row r="20">
      <c r="B20" s="9" t="n"/>
      <c r="C20" s="25" t="inlineStr">
        <is>
          <t>Unit weight above GWL</t>
        </is>
      </c>
      <c r="O20" s="26" t="inlineStr">
        <is>
          <t>report Table 5.1</t>
        </is>
      </c>
      <c r="X20" s="27" t="inlineStr">
        <is>
          <t>γ =</t>
        </is>
      </c>
      <c r="Y20" s="13" t="n"/>
      <c r="Z20" s="13" t="n"/>
      <c r="AA20" s="63" t="n">
        <v>16.5</v>
      </c>
      <c r="AB20" s="29" t="n"/>
      <c r="AC20" s="29" t="n"/>
      <c r="AD20" s="25" t="inlineStr">
        <is>
          <t>kN/m³</t>
        </is>
      </c>
      <c r="AF20" s="15" t="n"/>
    </row>
    <row r="21">
      <c r="B21" s="9" t="n"/>
      <c r="C21" s="25" t="inlineStr">
        <is>
          <t>Unit weight below GWL</t>
        </is>
      </c>
      <c r="O21" s="26" t="inlineStr">
        <is>
          <t>report Table 5.1</t>
        </is>
      </c>
      <c r="X21" s="27" t="inlineStr">
        <is>
          <t>γsat =</t>
        </is>
      </c>
      <c r="Y21" s="13" t="n"/>
      <c r="Z21" s="13" t="n"/>
      <c r="AA21" s="63" t="n">
        <v>19</v>
      </c>
      <c r="AB21" s="29" t="n"/>
      <c r="AC21" s="29" t="n"/>
      <c r="AD21" s="25" t="inlineStr">
        <is>
          <t>kN/m³</t>
        </is>
      </c>
      <c r="AF21" s="15" t="n"/>
    </row>
    <row r="22">
      <c r="B22" s="9" t="n"/>
      <c r="C22" s="25" t="inlineStr">
        <is>
          <t>Replacement depth (design condition)</t>
        </is>
      </c>
      <c r="O22" s="26" t="inlineStr">
        <is>
          <t>0 = no improvement</t>
        </is>
      </c>
      <c r="X22" s="27" t="inlineStr">
        <is>
          <t>Dr =</t>
        </is>
      </c>
      <c r="Y22" s="13" t="n"/>
      <c r="Z22" s="13" t="n"/>
      <c r="AA22" s="63" t="n">
        <v>0</v>
      </c>
      <c r="AB22" s="29" t="n"/>
      <c r="AC22" s="29" t="n"/>
      <c r="AD22" s="25" t="inlineStr">
        <is>
          <t>m</t>
        </is>
      </c>
      <c r="AF22" s="15" t="n"/>
    </row>
    <row r="23">
      <c r="B23" s="9" t="n"/>
      <c r="AF23" s="15" t="n"/>
    </row>
    <row r="24">
      <c r="B24" s="9" t="n"/>
      <c r="C24" s="11" t="inlineStr">
        <is>
          <t>2. SOIL PARAMETERS</t>
        </is>
      </c>
      <c r="AF24" s="15" t="n"/>
    </row>
    <row r="25">
      <c r="B25" s="9" t="n"/>
      <c r="C25" s="25" t="inlineStr">
        <is>
          <t>Table 1. Soil parameters of BH-03 (sub-layers = SPT intervals)</t>
        </is>
      </c>
      <c r="AF25" s="15" t="n"/>
      <c r="AI25" s="64" t="inlineStr">
        <is>
          <t>Helper calculation per sub-layer (not printed)</t>
        </is>
      </c>
    </row>
    <row r="26" ht="27" customHeight="1">
      <c r="B26" s="9" t="n"/>
      <c r="C26" s="33" t="inlineStr">
        <is>
          <t>No</t>
        </is>
      </c>
      <c r="D26" s="34" t="n"/>
      <c r="E26" s="33" t="inlineStr">
        <is>
          <t>Top</t>
        </is>
      </c>
      <c r="F26" s="34" t="n"/>
      <c r="G26" s="34" t="n"/>
      <c r="H26" s="33" t="inlineStr">
        <is>
          <t>Bottom</t>
        </is>
      </c>
      <c r="I26" s="34" t="n"/>
      <c r="J26" s="34" t="n"/>
      <c r="K26" s="33" t="inlineStr">
        <is>
          <t>Soil</t>
        </is>
      </c>
      <c r="L26" s="34" t="n"/>
      <c r="M26" s="34" t="n"/>
      <c r="N26" s="33" t="inlineStr">
        <is>
          <t>N-SPT</t>
        </is>
      </c>
      <c r="O26" s="34" t="n"/>
      <c r="P26" s="34" t="n"/>
      <c r="Q26" s="33" t="inlineStr">
        <is>
          <t>γ</t>
        </is>
      </c>
      <c r="R26" s="34" t="n"/>
      <c r="S26" s="34" t="n"/>
      <c r="T26" s="33" t="inlineStr">
        <is>
          <t>LL</t>
        </is>
      </c>
      <c r="U26" s="34" t="n"/>
      <c r="V26" s="33" t="inlineStr">
        <is>
          <t>PI</t>
        </is>
      </c>
      <c r="W26" s="34" t="n"/>
      <c r="X26" s="33" t="inlineStr">
        <is>
          <t>e0</t>
        </is>
      </c>
      <c r="Y26" s="34" t="n"/>
      <c r="Z26" s="33" t="inlineStr">
        <is>
          <t>cu</t>
        </is>
      </c>
      <c r="AA26" s="34" t="n"/>
      <c r="AB26" s="34" t="n"/>
      <c r="AC26" s="33" t="inlineStr">
        <is>
          <t>φ'</t>
        </is>
      </c>
      <c r="AD26" s="34" t="n"/>
      <c r="AE26" s="34" t="n"/>
      <c r="AF26" s="15" t="n"/>
      <c r="AI26" s="65" t="inlineStr">
        <is>
          <t>top</t>
        </is>
      </c>
      <c r="AJ26" s="65" t="inlineStr">
        <is>
          <t>bot</t>
        </is>
      </c>
      <c r="AK26" s="65" t="inlineStr">
        <is>
          <t>h</t>
        </is>
      </c>
      <c r="AL26" s="65" t="inlineStr">
        <is>
          <t>z</t>
        </is>
      </c>
      <c r="AM26" s="65" t="inlineStr">
        <is>
          <t>typ</t>
        </is>
      </c>
      <c r="AN26" s="65" t="inlineStr">
        <is>
          <t>N</t>
        </is>
      </c>
      <c r="AO26" s="65" t="inlineStr">
        <is>
          <t>g</t>
        </is>
      </c>
      <c r="AP26" s="65" t="inlineStr">
        <is>
          <t>sv</t>
        </is>
      </c>
      <c r="AQ26" s="65" t="inlineStr">
        <is>
          <t>s0</t>
        </is>
      </c>
      <c r="AR26" s="65" t="inlineStr">
        <is>
          <t>LL</t>
        </is>
      </c>
      <c r="AS26" s="65" t="inlineStr">
        <is>
          <t>PL</t>
        </is>
      </c>
      <c r="AT26" s="65" t="inlineStr">
        <is>
          <t>PI</t>
        </is>
      </c>
      <c r="AU26" s="65" t="inlineStr">
        <is>
          <t>e0</t>
        </is>
      </c>
      <c r="AV26" s="65" t="inlineStr">
        <is>
          <t>cu</t>
        </is>
      </c>
      <c r="AW26" s="65" t="inlineStr">
        <is>
          <t>phi</t>
        </is>
      </c>
      <c r="AX26" s="65" t="inlineStr">
        <is>
          <t>E</t>
        </is>
      </c>
      <c r="AY26" s="65" t="inlineStr">
        <is>
          <t>nu</t>
        </is>
      </c>
      <c r="AZ26" s="65" t="inlineStr">
        <is>
          <t>m</t>
        </is>
      </c>
      <c r="BA26" s="65" t="inlineStr">
        <is>
          <t>n</t>
        </is>
      </c>
      <c r="BB26" s="65" t="inlineStr">
        <is>
          <t>I</t>
        </is>
      </c>
      <c r="BC26" s="65" t="inlineStr">
        <is>
          <t>ds</t>
        </is>
      </c>
      <c r="BD26" s="65" t="inlineStr">
        <is>
          <t>F1</t>
        </is>
      </c>
      <c r="BE26" s="65" t="inlineStr">
        <is>
          <t>F2</t>
        </is>
      </c>
      <c r="BF26" s="65" t="inlineStr">
        <is>
          <t>keep</t>
        </is>
      </c>
      <c r="BG26" s="65" t="inlineStr">
        <is>
          <t>Si</t>
        </is>
      </c>
      <c r="BH26" s="65" t="inlineStr">
        <is>
          <t>Cc</t>
        </is>
      </c>
      <c r="BI26" s="65" t="inlineStr">
        <is>
          <t>Cr</t>
        </is>
      </c>
      <c r="BJ26" s="65" t="inlineStr">
        <is>
          <t>sp</t>
        </is>
      </c>
      <c r="BK26" s="65" t="inlineStr">
        <is>
          <t>Sc</t>
        </is>
      </c>
      <c r="BL26" s="65" t="inlineStr">
        <is>
          <t>Cv</t>
        </is>
      </c>
      <c r="BM26" s="65" t="inlineStr">
        <is>
          <t>t90</t>
        </is>
      </c>
      <c r="BN26" s="65" t="inlineStr">
        <is>
          <t>hb0</t>
        </is>
      </c>
      <c r="BO26" s="65" t="inlineStr">
        <is>
          <t>hbr</t>
        </is>
      </c>
      <c r="BP26" s="65" t="inlineStr">
        <is>
          <t>hzi</t>
        </is>
      </c>
      <c r="BQ26" s="65" t="inlineStr">
        <is>
          <t>ket</t>
        </is>
      </c>
    </row>
    <row r="27">
      <c r="B27" s="9" t="n"/>
      <c r="C27" s="35" t="inlineStr"/>
      <c r="D27" s="36" t="n"/>
      <c r="E27" s="35" t="inlineStr">
        <is>
          <t>m</t>
        </is>
      </c>
      <c r="F27" s="36" t="n"/>
      <c r="G27" s="36" t="n"/>
      <c r="H27" s="35" t="inlineStr">
        <is>
          <t>m</t>
        </is>
      </c>
      <c r="I27" s="36" t="n"/>
      <c r="J27" s="36" t="n"/>
      <c r="K27" s="35" t="inlineStr"/>
      <c r="L27" s="36" t="n"/>
      <c r="M27" s="36" t="n"/>
      <c r="N27" s="35" t="inlineStr"/>
      <c r="O27" s="36" t="n"/>
      <c r="P27" s="36" t="n"/>
      <c r="Q27" s="35" t="inlineStr">
        <is>
          <t>kN/m³</t>
        </is>
      </c>
      <c r="R27" s="36" t="n"/>
      <c r="S27" s="36" t="n"/>
      <c r="T27" s="35" t="inlineStr">
        <is>
          <t>%</t>
        </is>
      </c>
      <c r="U27" s="36" t="n"/>
      <c r="V27" s="35" t="inlineStr">
        <is>
          <t>%</t>
        </is>
      </c>
      <c r="W27" s="36" t="n"/>
      <c r="X27" s="35" t="inlineStr">
        <is>
          <t>-</t>
        </is>
      </c>
      <c r="Y27" s="36" t="n"/>
      <c r="Z27" s="35" t="inlineStr">
        <is>
          <t>kPa</t>
        </is>
      </c>
      <c r="AA27" s="36" t="n"/>
      <c r="AB27" s="36" t="n"/>
      <c r="AC27" s="35" t="inlineStr">
        <is>
          <t>°</t>
        </is>
      </c>
      <c r="AD27" s="36" t="n"/>
      <c r="AE27" s="36" t="n"/>
      <c r="AF27" s="15" t="n"/>
    </row>
    <row r="28">
      <c r="B28" s="9" t="n"/>
      <c r="C28" s="57" t="n">
        <v>1</v>
      </c>
      <c r="D28" s="41" t="n"/>
      <c r="E28" s="55">
        <f>AI28</f>
        <v/>
      </c>
      <c r="F28" s="41" t="n"/>
      <c r="G28" s="41" t="n"/>
      <c r="H28" s="55">
        <f>AJ28</f>
        <v/>
      </c>
      <c r="I28" s="41" t="n"/>
      <c r="J28" s="41" t="n"/>
      <c r="K28" s="52">
        <f>AM28</f>
        <v/>
      </c>
      <c r="L28" s="41" t="n"/>
      <c r="M28" s="41" t="n"/>
      <c r="N28" s="57">
        <f>AN28</f>
        <v/>
      </c>
      <c r="O28" s="41" t="n"/>
      <c r="P28" s="41" t="n"/>
      <c r="Q28" s="53">
        <f>AO28</f>
        <v/>
      </c>
      <c r="R28" s="41" t="n"/>
      <c r="S28" s="41" t="n"/>
      <c r="T28" s="57">
        <f>IF(AR28="","-",AR28)</f>
        <v/>
      </c>
      <c r="U28" s="41" t="n"/>
      <c r="V28" s="57">
        <f>IF(AT28="","-",AT28)</f>
        <v/>
      </c>
      <c r="W28" s="41" t="n"/>
      <c r="X28" s="55">
        <f>AU28</f>
        <v/>
      </c>
      <c r="Y28" s="41" t="n"/>
      <c r="Z28" s="66">
        <f>AV28</f>
        <v/>
      </c>
      <c r="AA28" s="41" t="n"/>
      <c r="AB28" s="41" t="n"/>
      <c r="AC28" s="53">
        <f>AW28</f>
        <v/>
      </c>
      <c r="AD28" s="41" t="n"/>
      <c r="AE28" s="41" t="n"/>
      <c r="AF28" s="15" t="n"/>
      <c r="AI28" s="67" t="n">
        <v>0</v>
      </c>
      <c r="AJ28" s="67" t="n">
        <v>1.5</v>
      </c>
      <c r="AK28" s="68">
        <f>AJ28-AI28</f>
        <v/>
      </c>
      <c r="AL28" s="68">
        <f>(AI28+AJ28)/2</f>
        <v/>
      </c>
      <c r="AM28" s="67" t="inlineStr">
        <is>
          <t>Sand</t>
        </is>
      </c>
      <c r="AN28" s="67" t="n">
        <v>10</v>
      </c>
      <c r="AO28" s="68">
        <f>IF(AL28&gt;$AA$19,$AA$21,$AA$20)</f>
        <v/>
      </c>
      <c r="AP28" s="68">
        <f>AO28*AK28</f>
        <v/>
      </c>
      <c r="AQ28" s="68">
        <f>AP28-AO28*AK28/2-10*MAX(AL28-$AA$19,0)</f>
        <v/>
      </c>
      <c r="AR28" s="67" t="n"/>
      <c r="AS28" s="67" t="n"/>
      <c r="AT28" s="68">
        <f>IF(AR28="","",AR28-AS28)</f>
        <v/>
      </c>
      <c r="AU28" s="67" t="n">
        <v>0.65</v>
      </c>
      <c r="AV28" s="68">
        <f>IF(AM28="Sand",0,Input!$AA$31*AN28)</f>
        <v/>
      </c>
      <c r="AW28" s="68">
        <f>IF(AM28="Sand",27.1+0.3*MIN(Input!$AA$32*AN28,60)-0.00054*MIN(Input!$AA$32*AN28,60)^2,MIN(MAX(DEGREES(ASIN(0.8-0.094*LN(MAX(IF(AT28="",10,AT28),5)))),20),30))</f>
        <v/>
      </c>
      <c r="AX28" s="68">
        <f>IF(AM28="Sand",Input!$AA$33*Input!$AA$32*AN28,Input!$AA$34*AV28)</f>
        <v/>
      </c>
      <c r="AY28" s="68">
        <f>IF(AM28="Sand",Input!$AA$35,0.5)</f>
        <v/>
      </c>
      <c r="AZ28" s="68">
        <f>Input!$AA$15/2/AL28</f>
        <v/>
      </c>
      <c r="BA28" s="68">
        <f>Input!$AA$16/2/AL28</f>
        <v/>
      </c>
      <c r="BB28" s="68">
        <f>1/(4*PI())*(2*AZ28*BA28*SQRT(AZ28^2+BA28^2+1)/(AZ28^2+BA28^2+1+AZ28^2*BA28^2)*(AZ28^2+BA28^2+2)/(AZ28^2+BA28^2+1)+ATAN2(AZ28^2+BA28^2+1-AZ28^2*BA28^2,2*AZ28*BA28*SQRT(AZ28^2+BA28^2+1)))</f>
        <v/>
      </c>
      <c r="BC28" s="68">
        <f>4*Input!$AA$14*BB28</f>
        <v/>
      </c>
      <c r="BD28" s="68">
        <f>((Input!$AA$16/Input!$AA$15)*LN((1+SQRT((Input!$AA$16/Input!$AA$15)^2+1))*SQRT((Input!$AA$16/Input!$AA$15)^2+(AJ28/(Input!$AA$15/2))^2)/((Input!$AA$16/Input!$AA$15)*(1+SQRT((Input!$AA$16/Input!$AA$15)^2+(AJ28/(Input!$AA$15/2))^2+1))))+LN(((Input!$AA$16/Input!$AA$15)+SQRT((Input!$AA$16/Input!$AA$15)^2+1))*SQRT(1+(AJ28/(Input!$AA$15/2))^2)/((Input!$AA$16/Input!$AA$15)+SQRT((Input!$AA$16/Input!$AA$15)^2+(AJ28/(Input!$AA$15/2))^2+1))))/PI()</f>
        <v/>
      </c>
      <c r="BE28" s="68">
        <f>(AJ28/(Input!$AA$15/2))/(2*PI())*ATAN((Input!$AA$16/Input!$AA$15)/((AJ28/(Input!$AA$15/2))*SQRT((Input!$AA$16/Input!$AA$15)^2+(AJ28/(Input!$AA$15/2))^2+1)))</f>
        <v/>
      </c>
      <c r="BF28" s="68">
        <f>MAX(0,AJ28-MAX(AI28,$AA$22))/AK28*IF(BC28&gt;=Input!$AA$21*AQ28,1,0)</f>
        <v/>
      </c>
      <c r="BG28" s="68">
        <f>4*Input!$AA$14*(Input!$AA$15/2)*(1-AY28^2)/AX28*((BD28-0)+(1-2*AY28)/(1-AY28)*(BE28-0))*1000*BF28</f>
        <v/>
      </c>
      <c r="BH28" s="68">
        <f>IF(AM28="Sand",0,0.009*(AR28-10))</f>
        <v/>
      </c>
      <c r="BI28" s="68">
        <f>BH28*Input!$AA$36</f>
        <v/>
      </c>
      <c r="BJ28" s="68">
        <f>IF(AM28="Sand",0,MAX(AV28/Input!$AA$37,AQ28))</f>
        <v/>
      </c>
      <c r="BK28" s="68">
        <f>IF(AM28="Sand",0,1000*AK28/(1+AU28)*IF(AQ28+BC28&lt;=BJ28,BI28*LOG10((AQ28+BC28)/AQ28),BI28*LOG10(BJ28/AQ28)+BH28*LOG10((AQ28+BC28)/BJ28)))*BF28</f>
        <v/>
      </c>
      <c r="BL28" s="68">
        <f>IF(AM28="Sand",0,10^(INDEX(Input!$Q$48:$Q$54,MIN(MATCH(MIN(MAX(AR28,30),120),Input!$C$48:$C$54,1),6))+(MIN(MAX(AR28,30),120)-INDEX(Input!$C$48:$C$54,MIN(MATCH(MIN(MAX(AR28,30),120),Input!$C$48:$C$54,1),6)))/(INDEX(Input!$C$48:$C$54,MIN(MATCH(MIN(MAX(AR28,30),120),Input!$C$48:$C$54,1),6)+1)-INDEX(Input!$C$48:$C$54,MIN(MATCH(MIN(MAX(AR28,30),120),Input!$C$48:$C$54,1),6)))*(INDEX(Input!$Q$48:$Q$54,MIN(MATCH(MIN(MAX(AR28,30),120),Input!$C$48:$C$54,1),6)+1)-INDEX(Input!$Q$48:$Q$54,MIN(MATCH(MIN(MAX(AR28,30),120),Input!$C$48:$C$54,1),6)))))</f>
        <v/>
      </c>
      <c r="BM28" s="68">
        <f>IF(OR(AM28="Sand",BF28=0),0,Input!$AA$38*(AK28/2)^2/(BL28*1E-4*31536000))</f>
        <v/>
      </c>
      <c r="BN28" s="68">
        <f>MAX(0,MIN(AJ28,Input!$AA$20)-AI28)</f>
        <v/>
      </c>
      <c r="BO28" s="68">
        <f>MAX(0,MIN(AJ28,Input!$AA$20)-MAX(AI28,$AA$22))</f>
        <v/>
      </c>
      <c r="BP28" s="68">
        <f>MAX(0,MIN(AJ28,$AA$225)-AI28)</f>
        <v/>
      </c>
      <c r="BQ28" s="68" t="inlineStr">
        <is>
          <t>0-1.5 m not tested: N of next layer</t>
        </is>
      </c>
    </row>
    <row r="29">
      <c r="B29" s="9" t="n"/>
      <c r="C29" s="57" t="n">
        <v>2</v>
      </c>
      <c r="D29" s="41" t="n"/>
      <c r="E29" s="55">
        <f>AI29</f>
        <v/>
      </c>
      <c r="F29" s="41" t="n"/>
      <c r="G29" s="41" t="n"/>
      <c r="H29" s="55">
        <f>AJ29</f>
        <v/>
      </c>
      <c r="I29" s="41" t="n"/>
      <c r="J29" s="41" t="n"/>
      <c r="K29" s="52">
        <f>AM29</f>
        <v/>
      </c>
      <c r="L29" s="41" t="n"/>
      <c r="M29" s="41" t="n"/>
      <c r="N29" s="57">
        <f>AN29</f>
        <v/>
      </c>
      <c r="O29" s="41" t="n"/>
      <c r="P29" s="41" t="n"/>
      <c r="Q29" s="53">
        <f>AO29</f>
        <v/>
      </c>
      <c r="R29" s="41" t="n"/>
      <c r="S29" s="41" t="n"/>
      <c r="T29" s="57">
        <f>IF(AR29="","-",AR29)</f>
        <v/>
      </c>
      <c r="U29" s="41" t="n"/>
      <c r="V29" s="57">
        <f>IF(AT29="","-",AT29)</f>
        <v/>
      </c>
      <c r="W29" s="41" t="n"/>
      <c r="X29" s="55">
        <f>AU29</f>
        <v/>
      </c>
      <c r="Y29" s="41" t="n"/>
      <c r="Z29" s="66">
        <f>AV29</f>
        <v/>
      </c>
      <c r="AA29" s="41" t="n"/>
      <c r="AB29" s="41" t="n"/>
      <c r="AC29" s="53">
        <f>AW29</f>
        <v/>
      </c>
      <c r="AD29" s="41" t="n"/>
      <c r="AE29" s="41" t="n"/>
      <c r="AF29" s="15" t="n"/>
      <c r="AI29" s="67" t="n">
        <v>1.5</v>
      </c>
      <c r="AJ29" s="67" t="n">
        <v>3</v>
      </c>
      <c r="AK29" s="68">
        <f>AJ29-AI29</f>
        <v/>
      </c>
      <c r="AL29" s="68">
        <f>(AI29+AJ29)/2</f>
        <v/>
      </c>
      <c r="AM29" s="67" t="inlineStr">
        <is>
          <t>Sand</t>
        </is>
      </c>
      <c r="AN29" s="67" t="n">
        <v>10</v>
      </c>
      <c r="AO29" s="68">
        <f>IF(AL29&gt;$AA$19,$AA$21,$AA$20)</f>
        <v/>
      </c>
      <c r="AP29" s="68">
        <f>AP28+AO29*AK29</f>
        <v/>
      </c>
      <c r="AQ29" s="68">
        <f>AP29-AO29*AK29/2-10*MAX(AL29-$AA$19,0)</f>
        <v/>
      </c>
      <c r="AR29" s="67" t="n"/>
      <c r="AS29" s="67" t="n"/>
      <c r="AT29" s="68">
        <f>IF(AR29="","",AR29-AS29)</f>
        <v/>
      </c>
      <c r="AU29" s="67" t="n">
        <v>0.643</v>
      </c>
      <c r="AV29" s="68">
        <f>IF(AM29="Sand",0,Input!$AA$31*AN29)</f>
        <v/>
      </c>
      <c r="AW29" s="68">
        <f>IF(AM29="Sand",27.1+0.3*MIN(Input!$AA$32*AN29,60)-0.00054*MIN(Input!$AA$32*AN29,60)^2,MIN(MAX(DEGREES(ASIN(0.8-0.094*LN(MAX(IF(AT29="",10,AT29),5)))),20),30))</f>
        <v/>
      </c>
      <c r="AX29" s="68">
        <f>IF(AM29="Sand",Input!$AA$33*Input!$AA$32*AN29,Input!$AA$34*AV29)</f>
        <v/>
      </c>
      <c r="AY29" s="68">
        <f>IF(AM29="Sand",Input!$AA$35,0.5)</f>
        <v/>
      </c>
      <c r="AZ29" s="68">
        <f>Input!$AA$15/2/AL29</f>
        <v/>
      </c>
      <c r="BA29" s="68">
        <f>Input!$AA$16/2/AL29</f>
        <v/>
      </c>
      <c r="BB29" s="68">
        <f>1/(4*PI())*(2*AZ29*BA29*SQRT(AZ29^2+BA29^2+1)/(AZ29^2+BA29^2+1+AZ29^2*BA29^2)*(AZ29^2+BA29^2+2)/(AZ29^2+BA29^2+1)+ATAN2(AZ29^2+BA29^2+1-AZ29^2*BA29^2,2*AZ29*BA29*SQRT(AZ29^2+BA29^2+1)))</f>
        <v/>
      </c>
      <c r="BC29" s="68">
        <f>4*Input!$AA$14*BB29</f>
        <v/>
      </c>
      <c r="BD29" s="68">
        <f>((Input!$AA$16/Input!$AA$15)*LN((1+SQRT((Input!$AA$16/Input!$AA$15)^2+1))*SQRT((Input!$AA$16/Input!$AA$15)^2+(AJ29/(Input!$AA$15/2))^2)/((Input!$AA$16/Input!$AA$15)*(1+SQRT((Input!$AA$16/Input!$AA$15)^2+(AJ29/(Input!$AA$15/2))^2+1))))+LN(((Input!$AA$16/Input!$AA$15)+SQRT((Input!$AA$16/Input!$AA$15)^2+1))*SQRT(1+(AJ29/(Input!$AA$15/2))^2)/((Input!$AA$16/Input!$AA$15)+SQRT((Input!$AA$16/Input!$AA$15)^2+(AJ29/(Input!$AA$15/2))^2+1))))/PI()</f>
        <v/>
      </c>
      <c r="BE29" s="68">
        <f>(AJ29/(Input!$AA$15/2))/(2*PI())*ATAN((Input!$AA$16/Input!$AA$15)/((AJ29/(Input!$AA$15/2))*SQRT((Input!$AA$16/Input!$AA$15)^2+(AJ29/(Input!$AA$15/2))^2+1)))</f>
        <v/>
      </c>
      <c r="BF29" s="68">
        <f>MAX(0,AJ29-MAX(AI29,$AA$22))/AK29*IF(BC29&gt;=Input!$AA$21*AQ29,1,0)</f>
        <v/>
      </c>
      <c r="BG29" s="68">
        <f>4*Input!$AA$14*(Input!$AA$15/2)*(1-AY29^2)/AX29*((BD29-BD28)+(1-2*AY29)/(1-AY29)*(BE29-BE28))*1000*BF29</f>
        <v/>
      </c>
      <c r="BH29" s="68">
        <f>IF(AM29="Sand",0,0.009*(AR29-10))</f>
        <v/>
      </c>
      <c r="BI29" s="68">
        <f>BH29*Input!$AA$36</f>
        <v/>
      </c>
      <c r="BJ29" s="68">
        <f>IF(AM29="Sand",0,MAX(AV29/Input!$AA$37,AQ29))</f>
        <v/>
      </c>
      <c r="BK29" s="68">
        <f>IF(AM29="Sand",0,1000*AK29/(1+AU29)*IF(AQ29+BC29&lt;=BJ29,BI29*LOG10((AQ29+BC29)/AQ29),BI29*LOG10(BJ29/AQ29)+BH29*LOG10((AQ29+BC29)/BJ29)))*BF29</f>
        <v/>
      </c>
      <c r="BL29" s="68">
        <f>IF(AM29="Sand",0,10^(INDEX(Input!$Q$48:$Q$54,MIN(MATCH(MIN(MAX(AR29,30),120),Input!$C$48:$C$54,1),6))+(MIN(MAX(AR29,30),120)-INDEX(Input!$C$48:$C$54,MIN(MATCH(MIN(MAX(AR29,30),120),Input!$C$48:$C$54,1),6)))/(INDEX(Input!$C$48:$C$54,MIN(MATCH(MIN(MAX(AR29,30),120),Input!$C$48:$C$54,1),6)+1)-INDEX(Input!$C$48:$C$54,MIN(MATCH(MIN(MAX(AR29,30),120),Input!$C$48:$C$54,1),6)))*(INDEX(Input!$Q$48:$Q$54,MIN(MATCH(MIN(MAX(AR29,30),120),Input!$C$48:$C$54,1),6)+1)-INDEX(Input!$Q$48:$Q$54,MIN(MATCH(MIN(MAX(AR29,30),120),Input!$C$48:$C$54,1),6)))))</f>
        <v/>
      </c>
      <c r="BM29" s="68">
        <f>IF(OR(AM29="Sand",BF29=0),0,Input!$AA$38*(AK29/2)^2/(BL29*1E-4*31536000))</f>
        <v/>
      </c>
      <c r="BN29" s="68">
        <f>MAX(0,MIN(AJ29,Input!$AA$20)-AI29)</f>
        <v/>
      </c>
      <c r="BO29" s="68">
        <f>MAX(0,MIN(AJ29,Input!$AA$20)-MAX(AI29,$AA$22))</f>
        <v/>
      </c>
      <c r="BP29" s="68">
        <f>MAX(0,MIN(AJ29,$AA$225)-AI29)</f>
        <v/>
      </c>
      <c r="BQ29" s="68" t="inlineStr"/>
    </row>
    <row r="30">
      <c r="B30" s="9" t="n"/>
      <c r="C30" s="57" t="n">
        <v>3</v>
      </c>
      <c r="D30" s="41" t="n"/>
      <c r="E30" s="55">
        <f>AI30</f>
        <v/>
      </c>
      <c r="F30" s="41" t="n"/>
      <c r="G30" s="41" t="n"/>
      <c r="H30" s="55">
        <f>AJ30</f>
        <v/>
      </c>
      <c r="I30" s="41" t="n"/>
      <c r="J30" s="41" t="n"/>
      <c r="K30" s="52">
        <f>AM30</f>
        <v/>
      </c>
      <c r="L30" s="41" t="n"/>
      <c r="M30" s="41" t="n"/>
      <c r="N30" s="57">
        <f>AN30</f>
        <v/>
      </c>
      <c r="O30" s="41" t="n"/>
      <c r="P30" s="41" t="n"/>
      <c r="Q30" s="53">
        <f>AO30</f>
        <v/>
      </c>
      <c r="R30" s="41" t="n"/>
      <c r="S30" s="41" t="n"/>
      <c r="T30" s="57">
        <f>IF(AR30="","-",AR30)</f>
        <v/>
      </c>
      <c r="U30" s="41" t="n"/>
      <c r="V30" s="57">
        <f>IF(AT30="","-",AT30)</f>
        <v/>
      </c>
      <c r="W30" s="41" t="n"/>
      <c r="X30" s="55">
        <f>AU30</f>
        <v/>
      </c>
      <c r="Y30" s="41" t="n"/>
      <c r="Z30" s="66">
        <f>AV30</f>
        <v/>
      </c>
      <c r="AA30" s="41" t="n"/>
      <c r="AB30" s="41" t="n"/>
      <c r="AC30" s="53">
        <f>AW30</f>
        <v/>
      </c>
      <c r="AD30" s="41" t="n"/>
      <c r="AE30" s="41" t="n"/>
      <c r="AF30" s="15" t="n"/>
      <c r="AI30" s="67" t="n">
        <v>3</v>
      </c>
      <c r="AJ30" s="67" t="n">
        <v>4.5</v>
      </c>
      <c r="AK30" s="68">
        <f>AJ30-AI30</f>
        <v/>
      </c>
      <c r="AL30" s="68">
        <f>(AI30+AJ30)/2</f>
        <v/>
      </c>
      <c r="AM30" s="67" t="inlineStr">
        <is>
          <t>Sand</t>
        </is>
      </c>
      <c r="AN30" s="67" t="n">
        <v>18</v>
      </c>
      <c r="AO30" s="68">
        <f>IF(AL30&gt;$AA$19,$AA$21,$AA$20)</f>
        <v/>
      </c>
      <c r="AP30" s="68">
        <f>AP29+AO30*AK30</f>
        <v/>
      </c>
      <c r="AQ30" s="68">
        <f>AP30-AO30*AK30/2-10*MAX(AL30-$AA$19,0)</f>
        <v/>
      </c>
      <c r="AR30" s="67" t="n"/>
      <c r="AS30" s="67" t="n"/>
      <c r="AT30" s="68">
        <f>IF(AR30="","",AR30-AS30)</f>
        <v/>
      </c>
      <c r="AU30" s="67" t="n">
        <v>0.881</v>
      </c>
      <c r="AV30" s="68">
        <f>IF(AM30="Sand",0,Input!$AA$31*AN30)</f>
        <v/>
      </c>
      <c r="AW30" s="68">
        <f>IF(AM30="Sand",27.1+0.3*MIN(Input!$AA$32*AN30,60)-0.00054*MIN(Input!$AA$32*AN30,60)^2,MIN(MAX(DEGREES(ASIN(0.8-0.094*LN(MAX(IF(AT30="",10,AT30),5)))),20),30))</f>
        <v/>
      </c>
      <c r="AX30" s="68">
        <f>IF(AM30="Sand",Input!$AA$33*Input!$AA$32*AN30,Input!$AA$34*AV30)</f>
        <v/>
      </c>
      <c r="AY30" s="68">
        <f>IF(AM30="Sand",Input!$AA$35,0.5)</f>
        <v/>
      </c>
      <c r="AZ30" s="68">
        <f>Input!$AA$15/2/AL30</f>
        <v/>
      </c>
      <c r="BA30" s="68">
        <f>Input!$AA$16/2/AL30</f>
        <v/>
      </c>
      <c r="BB30" s="68">
        <f>1/(4*PI())*(2*AZ30*BA30*SQRT(AZ30^2+BA30^2+1)/(AZ30^2+BA30^2+1+AZ30^2*BA30^2)*(AZ30^2+BA30^2+2)/(AZ30^2+BA30^2+1)+ATAN2(AZ30^2+BA30^2+1-AZ30^2*BA30^2,2*AZ30*BA30*SQRT(AZ30^2+BA30^2+1)))</f>
        <v/>
      </c>
      <c r="BC30" s="68">
        <f>4*Input!$AA$14*BB30</f>
        <v/>
      </c>
      <c r="BD30" s="68">
        <f>((Input!$AA$16/Input!$AA$15)*LN((1+SQRT((Input!$AA$16/Input!$AA$15)^2+1))*SQRT((Input!$AA$16/Input!$AA$15)^2+(AJ30/(Input!$AA$15/2))^2)/((Input!$AA$16/Input!$AA$15)*(1+SQRT((Input!$AA$16/Input!$AA$15)^2+(AJ30/(Input!$AA$15/2))^2+1))))+LN(((Input!$AA$16/Input!$AA$15)+SQRT((Input!$AA$16/Input!$AA$15)^2+1))*SQRT(1+(AJ30/(Input!$AA$15/2))^2)/((Input!$AA$16/Input!$AA$15)+SQRT((Input!$AA$16/Input!$AA$15)^2+(AJ30/(Input!$AA$15/2))^2+1))))/PI()</f>
        <v/>
      </c>
      <c r="BE30" s="68">
        <f>(AJ30/(Input!$AA$15/2))/(2*PI())*ATAN((Input!$AA$16/Input!$AA$15)/((AJ30/(Input!$AA$15/2))*SQRT((Input!$AA$16/Input!$AA$15)^2+(AJ30/(Input!$AA$15/2))^2+1)))</f>
        <v/>
      </c>
      <c r="BF30" s="68">
        <f>MAX(0,AJ30-MAX(AI30,$AA$22))/AK30*IF(BC30&gt;=Input!$AA$21*AQ30,1,0)</f>
        <v/>
      </c>
      <c r="BG30" s="68">
        <f>4*Input!$AA$14*(Input!$AA$15/2)*(1-AY30^2)/AX30*((BD30-BD29)+(1-2*AY30)/(1-AY30)*(BE30-BE29))*1000*BF30</f>
        <v/>
      </c>
      <c r="BH30" s="68">
        <f>IF(AM30="Sand",0,0.009*(AR30-10))</f>
        <v/>
      </c>
      <c r="BI30" s="68">
        <f>BH30*Input!$AA$36</f>
        <v/>
      </c>
      <c r="BJ30" s="68">
        <f>IF(AM30="Sand",0,MAX(AV30/Input!$AA$37,AQ30))</f>
        <v/>
      </c>
      <c r="BK30" s="68">
        <f>IF(AM30="Sand",0,1000*AK30/(1+AU30)*IF(AQ30+BC30&lt;=BJ30,BI30*LOG10((AQ30+BC30)/AQ30),BI30*LOG10(BJ30/AQ30)+BH30*LOG10((AQ30+BC30)/BJ30)))*BF30</f>
        <v/>
      </c>
      <c r="BL30" s="68">
        <f>IF(AM30="Sand",0,10^(INDEX(Input!$Q$48:$Q$54,MIN(MATCH(MIN(MAX(AR30,30),120),Input!$C$48:$C$54,1),6))+(MIN(MAX(AR30,30),120)-INDEX(Input!$C$48:$C$54,MIN(MATCH(MIN(MAX(AR30,30),120),Input!$C$48:$C$54,1),6)))/(INDEX(Input!$C$48:$C$54,MIN(MATCH(MIN(MAX(AR30,30),120),Input!$C$48:$C$54,1),6)+1)-INDEX(Input!$C$48:$C$54,MIN(MATCH(MIN(MAX(AR30,30),120),Input!$C$48:$C$54,1),6)))*(INDEX(Input!$Q$48:$Q$54,MIN(MATCH(MIN(MAX(AR30,30),120),Input!$C$48:$C$54,1),6)+1)-INDEX(Input!$Q$48:$Q$54,MIN(MATCH(MIN(MAX(AR30,30),120),Input!$C$48:$C$54,1),6)))))</f>
        <v/>
      </c>
      <c r="BM30" s="68">
        <f>IF(OR(AM30="Sand",BF30=0),0,Input!$AA$38*(AK30/2)^2/(BL30*1E-4*31536000))</f>
        <v/>
      </c>
      <c r="BN30" s="68">
        <f>MAX(0,MIN(AJ30,Input!$AA$20)-AI30)</f>
        <v/>
      </c>
      <c r="BO30" s="68">
        <f>MAX(0,MIN(AJ30,Input!$AA$20)-MAX(AI30,$AA$22))</f>
        <v/>
      </c>
      <c r="BP30" s="68">
        <f>MAX(0,MIN(AJ30,$AA$225)-AI30)</f>
        <v/>
      </c>
      <c r="BQ30" s="68" t="inlineStr"/>
    </row>
    <row r="31">
      <c r="B31" s="9" t="n"/>
      <c r="C31" s="57" t="n">
        <v>4</v>
      </c>
      <c r="D31" s="41" t="n"/>
      <c r="E31" s="55">
        <f>AI31</f>
        <v/>
      </c>
      <c r="F31" s="41" t="n"/>
      <c r="G31" s="41" t="n"/>
      <c r="H31" s="55">
        <f>AJ31</f>
        <v/>
      </c>
      <c r="I31" s="41" t="n"/>
      <c r="J31" s="41" t="n"/>
      <c r="K31" s="52">
        <f>AM31</f>
        <v/>
      </c>
      <c r="L31" s="41" t="n"/>
      <c r="M31" s="41" t="n"/>
      <c r="N31" s="57">
        <f>AN31</f>
        <v/>
      </c>
      <c r="O31" s="41" t="n"/>
      <c r="P31" s="41" t="n"/>
      <c r="Q31" s="53">
        <f>AO31</f>
        <v/>
      </c>
      <c r="R31" s="41" t="n"/>
      <c r="S31" s="41" t="n"/>
      <c r="T31" s="57">
        <f>IF(AR31="","-",AR31)</f>
        <v/>
      </c>
      <c r="U31" s="41" t="n"/>
      <c r="V31" s="57">
        <f>IF(AT31="","-",AT31)</f>
        <v/>
      </c>
      <c r="W31" s="41" t="n"/>
      <c r="X31" s="55">
        <f>AU31</f>
        <v/>
      </c>
      <c r="Y31" s="41" t="n"/>
      <c r="Z31" s="66">
        <f>AV31</f>
        <v/>
      </c>
      <c r="AA31" s="41" t="n"/>
      <c r="AB31" s="41" t="n"/>
      <c r="AC31" s="53">
        <f>AW31</f>
        <v/>
      </c>
      <c r="AD31" s="41" t="n"/>
      <c r="AE31" s="41" t="n"/>
      <c r="AF31" s="15" t="n"/>
      <c r="AI31" s="67" t="n">
        <v>4.5</v>
      </c>
      <c r="AJ31" s="67" t="n">
        <v>6</v>
      </c>
      <c r="AK31" s="68">
        <f>AJ31-AI31</f>
        <v/>
      </c>
      <c r="AL31" s="68">
        <f>(AI31+AJ31)/2</f>
        <v/>
      </c>
      <c r="AM31" s="67" t="inlineStr">
        <is>
          <t>Sand</t>
        </is>
      </c>
      <c r="AN31" s="67" t="n">
        <v>13</v>
      </c>
      <c r="AO31" s="68">
        <f>IF(AL31&gt;$AA$19,$AA$21,$AA$20)</f>
        <v/>
      </c>
      <c r="AP31" s="68">
        <f>AP30+AO31*AK31</f>
        <v/>
      </c>
      <c r="AQ31" s="68">
        <f>AP31-AO31*AK31/2-10*MAX(AL31-$AA$19,0)</f>
        <v/>
      </c>
      <c r="AR31" s="67" t="n"/>
      <c r="AS31" s="67" t="n"/>
      <c r="AT31" s="68">
        <f>IF(AR31="","",AR31-AS31)</f>
        <v/>
      </c>
      <c r="AU31" s="67" t="n">
        <v>0.928</v>
      </c>
      <c r="AV31" s="68">
        <f>IF(AM31="Sand",0,Input!$AA$31*AN31)</f>
        <v/>
      </c>
      <c r="AW31" s="68">
        <f>IF(AM31="Sand",27.1+0.3*MIN(Input!$AA$32*AN31,60)-0.00054*MIN(Input!$AA$32*AN31,60)^2,MIN(MAX(DEGREES(ASIN(0.8-0.094*LN(MAX(IF(AT31="",10,AT31),5)))),20),30))</f>
        <v/>
      </c>
      <c r="AX31" s="68">
        <f>IF(AM31="Sand",Input!$AA$33*Input!$AA$32*AN31,Input!$AA$34*AV31)</f>
        <v/>
      </c>
      <c r="AY31" s="68">
        <f>IF(AM31="Sand",Input!$AA$35,0.5)</f>
        <v/>
      </c>
      <c r="AZ31" s="68">
        <f>Input!$AA$15/2/AL31</f>
        <v/>
      </c>
      <c r="BA31" s="68">
        <f>Input!$AA$16/2/AL31</f>
        <v/>
      </c>
      <c r="BB31" s="68">
        <f>1/(4*PI())*(2*AZ31*BA31*SQRT(AZ31^2+BA31^2+1)/(AZ31^2+BA31^2+1+AZ31^2*BA31^2)*(AZ31^2+BA31^2+2)/(AZ31^2+BA31^2+1)+ATAN2(AZ31^2+BA31^2+1-AZ31^2*BA31^2,2*AZ31*BA31*SQRT(AZ31^2+BA31^2+1)))</f>
        <v/>
      </c>
      <c r="BC31" s="68">
        <f>4*Input!$AA$14*BB31</f>
        <v/>
      </c>
      <c r="BD31" s="68">
        <f>((Input!$AA$16/Input!$AA$15)*LN((1+SQRT((Input!$AA$16/Input!$AA$15)^2+1))*SQRT((Input!$AA$16/Input!$AA$15)^2+(AJ31/(Input!$AA$15/2))^2)/((Input!$AA$16/Input!$AA$15)*(1+SQRT((Input!$AA$16/Input!$AA$15)^2+(AJ31/(Input!$AA$15/2))^2+1))))+LN(((Input!$AA$16/Input!$AA$15)+SQRT((Input!$AA$16/Input!$AA$15)^2+1))*SQRT(1+(AJ31/(Input!$AA$15/2))^2)/((Input!$AA$16/Input!$AA$15)+SQRT((Input!$AA$16/Input!$AA$15)^2+(AJ31/(Input!$AA$15/2))^2+1))))/PI()</f>
        <v/>
      </c>
      <c r="BE31" s="68">
        <f>(AJ31/(Input!$AA$15/2))/(2*PI())*ATAN((Input!$AA$16/Input!$AA$15)/((AJ31/(Input!$AA$15/2))*SQRT((Input!$AA$16/Input!$AA$15)^2+(AJ31/(Input!$AA$15/2))^2+1)))</f>
        <v/>
      </c>
      <c r="BF31" s="68">
        <f>MAX(0,AJ31-MAX(AI31,$AA$22))/AK31*IF(BC31&gt;=Input!$AA$21*AQ31,1,0)</f>
        <v/>
      </c>
      <c r="BG31" s="68">
        <f>4*Input!$AA$14*(Input!$AA$15/2)*(1-AY31^2)/AX31*((BD31-BD30)+(1-2*AY31)/(1-AY31)*(BE31-BE30))*1000*BF31</f>
        <v/>
      </c>
      <c r="BH31" s="68">
        <f>IF(AM31="Sand",0,0.009*(AR31-10))</f>
        <v/>
      </c>
      <c r="BI31" s="68">
        <f>BH31*Input!$AA$36</f>
        <v/>
      </c>
      <c r="BJ31" s="68">
        <f>IF(AM31="Sand",0,MAX(AV31/Input!$AA$37,AQ31))</f>
        <v/>
      </c>
      <c r="BK31" s="68">
        <f>IF(AM31="Sand",0,1000*AK31/(1+AU31)*IF(AQ31+BC31&lt;=BJ31,BI31*LOG10((AQ31+BC31)/AQ31),BI31*LOG10(BJ31/AQ31)+BH31*LOG10((AQ31+BC31)/BJ31)))*BF31</f>
        <v/>
      </c>
      <c r="BL31" s="68">
        <f>IF(AM31="Sand",0,10^(INDEX(Input!$Q$48:$Q$54,MIN(MATCH(MIN(MAX(AR31,30),120),Input!$C$48:$C$54,1),6))+(MIN(MAX(AR31,30),120)-INDEX(Input!$C$48:$C$54,MIN(MATCH(MIN(MAX(AR31,30),120),Input!$C$48:$C$54,1),6)))/(INDEX(Input!$C$48:$C$54,MIN(MATCH(MIN(MAX(AR31,30),120),Input!$C$48:$C$54,1),6)+1)-INDEX(Input!$C$48:$C$54,MIN(MATCH(MIN(MAX(AR31,30),120),Input!$C$48:$C$54,1),6)))*(INDEX(Input!$Q$48:$Q$54,MIN(MATCH(MIN(MAX(AR31,30),120),Input!$C$48:$C$54,1),6)+1)-INDEX(Input!$Q$48:$Q$54,MIN(MATCH(MIN(MAX(AR31,30),120),Input!$C$48:$C$54,1),6)))))</f>
        <v/>
      </c>
      <c r="BM31" s="68">
        <f>IF(OR(AM31="Sand",BF31=0),0,Input!$AA$38*(AK31/2)^2/(BL31*1E-4*31536000))</f>
        <v/>
      </c>
      <c r="BN31" s="68">
        <f>MAX(0,MIN(AJ31,Input!$AA$20)-AI31)</f>
        <v/>
      </c>
      <c r="BO31" s="68">
        <f>MAX(0,MIN(AJ31,Input!$AA$20)-MAX(AI31,$AA$22))</f>
        <v/>
      </c>
      <c r="BP31" s="68">
        <f>MAX(0,MIN(AJ31,$AA$225)-AI31)</f>
        <v/>
      </c>
      <c r="BQ31" s="68" t="inlineStr"/>
    </row>
    <row r="32">
      <c r="B32" s="9" t="n"/>
      <c r="C32" s="57" t="n">
        <v>5</v>
      </c>
      <c r="D32" s="41" t="n"/>
      <c r="E32" s="55">
        <f>AI32</f>
        <v/>
      </c>
      <c r="F32" s="41" t="n"/>
      <c r="G32" s="41" t="n"/>
      <c r="H32" s="55">
        <f>AJ32</f>
        <v/>
      </c>
      <c r="I32" s="41" t="n"/>
      <c r="J32" s="41" t="n"/>
      <c r="K32" s="52">
        <f>AM32</f>
        <v/>
      </c>
      <c r="L32" s="41" t="n"/>
      <c r="M32" s="41" t="n"/>
      <c r="N32" s="57">
        <f>AN32</f>
        <v/>
      </c>
      <c r="O32" s="41" t="n"/>
      <c r="P32" s="41" t="n"/>
      <c r="Q32" s="53">
        <f>AO32</f>
        <v/>
      </c>
      <c r="R32" s="41" t="n"/>
      <c r="S32" s="41" t="n"/>
      <c r="T32" s="57">
        <f>IF(AR32="","-",AR32)</f>
        <v/>
      </c>
      <c r="U32" s="41" t="n"/>
      <c r="V32" s="57">
        <f>IF(AT32="","-",AT32)</f>
        <v/>
      </c>
      <c r="W32" s="41" t="n"/>
      <c r="X32" s="55">
        <f>AU32</f>
        <v/>
      </c>
      <c r="Y32" s="41" t="n"/>
      <c r="Z32" s="66">
        <f>AV32</f>
        <v/>
      </c>
      <c r="AA32" s="41" t="n"/>
      <c r="AB32" s="41" t="n"/>
      <c r="AC32" s="53">
        <f>AW32</f>
        <v/>
      </c>
      <c r="AD32" s="41" t="n"/>
      <c r="AE32" s="41" t="n"/>
      <c r="AF32" s="15" t="n"/>
      <c r="AI32" s="67" t="n">
        <v>6</v>
      </c>
      <c r="AJ32" s="67" t="n">
        <v>7.5</v>
      </c>
      <c r="AK32" s="68">
        <f>AJ32-AI32</f>
        <v/>
      </c>
      <c r="AL32" s="68">
        <f>(AI32+AJ32)/2</f>
        <v/>
      </c>
      <c r="AM32" s="67" t="inlineStr">
        <is>
          <t>Clay</t>
        </is>
      </c>
      <c r="AN32" s="67" t="n">
        <v>8</v>
      </c>
      <c r="AO32" s="68">
        <f>IF(AL32&gt;$AA$19,$AA$21,$AA$20)</f>
        <v/>
      </c>
      <c r="AP32" s="68">
        <f>AP31+AO32*AK32</f>
        <v/>
      </c>
      <c r="AQ32" s="68">
        <f>AP32-AO32*AK32/2-10*MAX(AL32-$AA$19,0)</f>
        <v/>
      </c>
      <c r="AR32" s="67" t="n">
        <v>29.57</v>
      </c>
      <c r="AS32" s="67" t="n">
        <v>20.64</v>
      </c>
      <c r="AT32" s="68">
        <f>IF(AR32="","",AR32-AS32)</f>
        <v/>
      </c>
      <c r="AU32" s="67" t="n">
        <v>0.9</v>
      </c>
      <c r="AV32" s="68">
        <f>IF(AM32="Sand",0,Input!$AA$31*AN32)</f>
        <v/>
      </c>
      <c r="AW32" s="68">
        <f>IF(AM32="Sand",27.1+0.3*MIN(Input!$AA$32*AN32,60)-0.00054*MIN(Input!$AA$32*AN32,60)^2,MIN(MAX(DEGREES(ASIN(0.8-0.094*LN(MAX(IF(AT32="",10,AT32),5)))),20),30))</f>
        <v/>
      </c>
      <c r="AX32" s="68">
        <f>IF(AM32="Sand",Input!$AA$33*Input!$AA$32*AN32,Input!$AA$34*AV32)</f>
        <v/>
      </c>
      <c r="AY32" s="68">
        <f>IF(AM32="Sand",Input!$AA$35,0.5)</f>
        <v/>
      </c>
      <c r="AZ32" s="68">
        <f>Input!$AA$15/2/AL32</f>
        <v/>
      </c>
      <c r="BA32" s="68">
        <f>Input!$AA$16/2/AL32</f>
        <v/>
      </c>
      <c r="BB32" s="68">
        <f>1/(4*PI())*(2*AZ32*BA32*SQRT(AZ32^2+BA32^2+1)/(AZ32^2+BA32^2+1+AZ32^2*BA32^2)*(AZ32^2+BA32^2+2)/(AZ32^2+BA32^2+1)+ATAN2(AZ32^2+BA32^2+1-AZ32^2*BA32^2,2*AZ32*BA32*SQRT(AZ32^2+BA32^2+1)))</f>
        <v/>
      </c>
      <c r="BC32" s="68">
        <f>4*Input!$AA$14*BB32</f>
        <v/>
      </c>
      <c r="BD32" s="68">
        <f>((Input!$AA$16/Input!$AA$15)*LN((1+SQRT((Input!$AA$16/Input!$AA$15)^2+1))*SQRT((Input!$AA$16/Input!$AA$15)^2+(AJ32/(Input!$AA$15/2))^2)/((Input!$AA$16/Input!$AA$15)*(1+SQRT((Input!$AA$16/Input!$AA$15)^2+(AJ32/(Input!$AA$15/2))^2+1))))+LN(((Input!$AA$16/Input!$AA$15)+SQRT((Input!$AA$16/Input!$AA$15)^2+1))*SQRT(1+(AJ32/(Input!$AA$15/2))^2)/((Input!$AA$16/Input!$AA$15)+SQRT((Input!$AA$16/Input!$AA$15)^2+(AJ32/(Input!$AA$15/2))^2+1))))/PI()</f>
        <v/>
      </c>
      <c r="BE32" s="68">
        <f>(AJ32/(Input!$AA$15/2))/(2*PI())*ATAN((Input!$AA$16/Input!$AA$15)/((AJ32/(Input!$AA$15/2))*SQRT((Input!$AA$16/Input!$AA$15)^2+(AJ32/(Input!$AA$15/2))^2+1)))</f>
        <v/>
      </c>
      <c r="BF32" s="68">
        <f>MAX(0,AJ32-MAX(AI32,$AA$22))/AK32*IF(BC32&gt;=Input!$AA$21*AQ32,1,0)</f>
        <v/>
      </c>
      <c r="BG32" s="68">
        <f>4*Input!$AA$14*(Input!$AA$15/2)*(1-AY32^2)/AX32*((BD32-BD31)+(1-2*AY32)/(1-AY32)*(BE32-BE31))*1000*BF32</f>
        <v/>
      </c>
      <c r="BH32" s="68">
        <f>IF(AM32="Sand",0,0.009*(AR32-10))</f>
        <v/>
      </c>
      <c r="BI32" s="68">
        <f>BH32*Input!$AA$36</f>
        <v/>
      </c>
      <c r="BJ32" s="68">
        <f>IF(AM32="Sand",0,MAX(AV32/Input!$AA$37,AQ32))</f>
        <v/>
      </c>
      <c r="BK32" s="68">
        <f>IF(AM32="Sand",0,1000*AK32/(1+AU32)*IF(AQ32+BC32&lt;=BJ32,BI32*LOG10((AQ32+BC32)/AQ32),BI32*LOG10(BJ32/AQ32)+BH32*LOG10((AQ32+BC32)/BJ32)))*BF32</f>
        <v/>
      </c>
      <c r="BL32" s="68">
        <f>IF(AM32="Sand",0,10^(INDEX(Input!$Q$48:$Q$54,MIN(MATCH(MIN(MAX(AR32,30),120),Input!$C$48:$C$54,1),6))+(MIN(MAX(AR32,30),120)-INDEX(Input!$C$48:$C$54,MIN(MATCH(MIN(MAX(AR32,30),120),Input!$C$48:$C$54,1),6)))/(INDEX(Input!$C$48:$C$54,MIN(MATCH(MIN(MAX(AR32,30),120),Input!$C$48:$C$54,1),6)+1)-INDEX(Input!$C$48:$C$54,MIN(MATCH(MIN(MAX(AR32,30),120),Input!$C$48:$C$54,1),6)))*(INDEX(Input!$Q$48:$Q$54,MIN(MATCH(MIN(MAX(AR32,30),120),Input!$C$48:$C$54,1),6)+1)-INDEX(Input!$Q$48:$Q$54,MIN(MATCH(MIN(MAX(AR32,30),120),Input!$C$48:$C$54,1),6)))))</f>
        <v/>
      </c>
      <c r="BM32" s="68">
        <f>IF(OR(AM32="Sand",BF32=0),0,Input!$AA$38*(AK32/2)^2/(BL32*1E-4*31536000))</f>
        <v/>
      </c>
      <c r="BN32" s="68">
        <f>MAX(0,MIN(AJ32,Input!$AA$20)-AI32)</f>
        <v/>
      </c>
      <c r="BO32" s="68">
        <f>MAX(0,MIN(AJ32,Input!$AA$20)-MAX(AI32,$AA$22))</f>
        <v/>
      </c>
      <c r="BP32" s="68">
        <f>MAX(0,MIN(AJ32,$AA$225)-AI32)</f>
        <v/>
      </c>
      <c r="BQ32" s="68" t="inlineStr"/>
    </row>
    <row r="33">
      <c r="B33" s="9" t="n"/>
      <c r="C33" s="57" t="n">
        <v>6</v>
      </c>
      <c r="D33" s="41" t="n"/>
      <c r="E33" s="55">
        <f>AI33</f>
        <v/>
      </c>
      <c r="F33" s="41" t="n"/>
      <c r="G33" s="41" t="n"/>
      <c r="H33" s="55">
        <f>AJ33</f>
        <v/>
      </c>
      <c r="I33" s="41" t="n"/>
      <c r="J33" s="41" t="n"/>
      <c r="K33" s="52">
        <f>AM33</f>
        <v/>
      </c>
      <c r="L33" s="41" t="n"/>
      <c r="M33" s="41" t="n"/>
      <c r="N33" s="57">
        <f>AN33</f>
        <v/>
      </c>
      <c r="O33" s="41" t="n"/>
      <c r="P33" s="41" t="n"/>
      <c r="Q33" s="53">
        <f>AO33</f>
        <v/>
      </c>
      <c r="R33" s="41" t="n"/>
      <c r="S33" s="41" t="n"/>
      <c r="T33" s="57">
        <f>IF(AR33="","-",AR33)</f>
        <v/>
      </c>
      <c r="U33" s="41" t="n"/>
      <c r="V33" s="57">
        <f>IF(AT33="","-",AT33)</f>
        <v/>
      </c>
      <c r="W33" s="41" t="n"/>
      <c r="X33" s="55">
        <f>AU33</f>
        <v/>
      </c>
      <c r="Y33" s="41" t="n"/>
      <c r="Z33" s="66">
        <f>AV33</f>
        <v/>
      </c>
      <c r="AA33" s="41" t="n"/>
      <c r="AB33" s="41" t="n"/>
      <c r="AC33" s="53">
        <f>AW33</f>
        <v/>
      </c>
      <c r="AD33" s="41" t="n"/>
      <c r="AE33" s="41" t="n"/>
      <c r="AF33" s="15" t="n"/>
      <c r="AI33" s="67" t="n">
        <v>7.5</v>
      </c>
      <c r="AJ33" s="67" t="n">
        <v>9</v>
      </c>
      <c r="AK33" s="68">
        <f>AJ33-AI33</f>
        <v/>
      </c>
      <c r="AL33" s="68">
        <f>(AI33+AJ33)/2</f>
        <v/>
      </c>
      <c r="AM33" s="67" t="inlineStr">
        <is>
          <t>Sand</t>
        </is>
      </c>
      <c r="AN33" s="67" t="n">
        <v>10</v>
      </c>
      <c r="AO33" s="68">
        <f>IF(AL33&gt;$AA$19,$AA$21,$AA$20)</f>
        <v/>
      </c>
      <c r="AP33" s="68">
        <f>AP32+AO33*AK33</f>
        <v/>
      </c>
      <c r="AQ33" s="68">
        <f>AP33-AO33*AK33/2-10*MAX(AL33-$AA$19,0)</f>
        <v/>
      </c>
      <c r="AR33" s="67" t="n"/>
      <c r="AS33" s="67" t="n"/>
      <c r="AT33" s="68">
        <f>IF(AR33="","",AR33-AS33)</f>
        <v/>
      </c>
      <c r="AU33" s="67" t="n">
        <v>0.716</v>
      </c>
      <c r="AV33" s="68">
        <f>IF(AM33="Sand",0,Input!$AA$31*AN33)</f>
        <v/>
      </c>
      <c r="AW33" s="68">
        <f>IF(AM33="Sand",27.1+0.3*MIN(Input!$AA$32*AN33,60)-0.00054*MIN(Input!$AA$32*AN33,60)^2,MIN(MAX(DEGREES(ASIN(0.8-0.094*LN(MAX(IF(AT33="",10,AT33),5)))),20),30))</f>
        <v/>
      </c>
      <c r="AX33" s="68">
        <f>IF(AM33="Sand",Input!$AA$33*Input!$AA$32*AN33,Input!$AA$34*AV33)</f>
        <v/>
      </c>
      <c r="AY33" s="68">
        <f>IF(AM33="Sand",Input!$AA$35,0.5)</f>
        <v/>
      </c>
      <c r="AZ33" s="68">
        <f>Input!$AA$15/2/AL33</f>
        <v/>
      </c>
      <c r="BA33" s="68">
        <f>Input!$AA$16/2/AL33</f>
        <v/>
      </c>
      <c r="BB33" s="68">
        <f>1/(4*PI())*(2*AZ33*BA33*SQRT(AZ33^2+BA33^2+1)/(AZ33^2+BA33^2+1+AZ33^2*BA33^2)*(AZ33^2+BA33^2+2)/(AZ33^2+BA33^2+1)+ATAN2(AZ33^2+BA33^2+1-AZ33^2*BA33^2,2*AZ33*BA33*SQRT(AZ33^2+BA33^2+1)))</f>
        <v/>
      </c>
      <c r="BC33" s="68">
        <f>4*Input!$AA$14*BB33</f>
        <v/>
      </c>
      <c r="BD33" s="68">
        <f>((Input!$AA$16/Input!$AA$15)*LN((1+SQRT((Input!$AA$16/Input!$AA$15)^2+1))*SQRT((Input!$AA$16/Input!$AA$15)^2+(AJ33/(Input!$AA$15/2))^2)/((Input!$AA$16/Input!$AA$15)*(1+SQRT((Input!$AA$16/Input!$AA$15)^2+(AJ33/(Input!$AA$15/2))^2+1))))+LN(((Input!$AA$16/Input!$AA$15)+SQRT((Input!$AA$16/Input!$AA$15)^2+1))*SQRT(1+(AJ33/(Input!$AA$15/2))^2)/((Input!$AA$16/Input!$AA$15)+SQRT((Input!$AA$16/Input!$AA$15)^2+(AJ33/(Input!$AA$15/2))^2+1))))/PI()</f>
        <v/>
      </c>
      <c r="BE33" s="68">
        <f>(AJ33/(Input!$AA$15/2))/(2*PI())*ATAN((Input!$AA$16/Input!$AA$15)/((AJ33/(Input!$AA$15/2))*SQRT((Input!$AA$16/Input!$AA$15)^2+(AJ33/(Input!$AA$15/2))^2+1)))</f>
        <v/>
      </c>
      <c r="BF33" s="68">
        <f>MAX(0,AJ33-MAX(AI33,$AA$22))/AK33*IF(BC33&gt;=Input!$AA$21*AQ33,1,0)</f>
        <v/>
      </c>
      <c r="BG33" s="68">
        <f>4*Input!$AA$14*(Input!$AA$15/2)*(1-AY33^2)/AX33*((BD33-BD32)+(1-2*AY33)/(1-AY33)*(BE33-BE32))*1000*BF33</f>
        <v/>
      </c>
      <c r="BH33" s="68">
        <f>IF(AM33="Sand",0,0.009*(AR33-10))</f>
        <v/>
      </c>
      <c r="BI33" s="68">
        <f>BH33*Input!$AA$36</f>
        <v/>
      </c>
      <c r="BJ33" s="68">
        <f>IF(AM33="Sand",0,MAX(AV33/Input!$AA$37,AQ33))</f>
        <v/>
      </c>
      <c r="BK33" s="68">
        <f>IF(AM33="Sand",0,1000*AK33/(1+AU33)*IF(AQ33+BC33&lt;=BJ33,BI33*LOG10((AQ33+BC33)/AQ33),BI33*LOG10(BJ33/AQ33)+BH33*LOG10((AQ33+BC33)/BJ33)))*BF33</f>
        <v/>
      </c>
      <c r="BL33" s="68">
        <f>IF(AM33="Sand",0,10^(INDEX(Input!$Q$48:$Q$54,MIN(MATCH(MIN(MAX(AR33,30),120),Input!$C$48:$C$54,1),6))+(MIN(MAX(AR33,30),120)-INDEX(Input!$C$48:$C$54,MIN(MATCH(MIN(MAX(AR33,30),120),Input!$C$48:$C$54,1),6)))/(INDEX(Input!$C$48:$C$54,MIN(MATCH(MIN(MAX(AR33,30),120),Input!$C$48:$C$54,1),6)+1)-INDEX(Input!$C$48:$C$54,MIN(MATCH(MIN(MAX(AR33,30),120),Input!$C$48:$C$54,1),6)))*(INDEX(Input!$Q$48:$Q$54,MIN(MATCH(MIN(MAX(AR33,30),120),Input!$C$48:$C$54,1),6)+1)-INDEX(Input!$Q$48:$Q$54,MIN(MATCH(MIN(MAX(AR33,30),120),Input!$C$48:$C$54,1),6)))))</f>
        <v/>
      </c>
      <c r="BM33" s="68">
        <f>IF(OR(AM33="Sand",BF33=0),0,Input!$AA$38*(AK33/2)^2/(BL33*1E-4*31536000))</f>
        <v/>
      </c>
      <c r="BN33" s="68">
        <f>MAX(0,MIN(AJ33,Input!$AA$20)-AI33)</f>
        <v/>
      </c>
      <c r="BO33" s="68">
        <f>MAX(0,MIN(AJ33,Input!$AA$20)-MAX(AI33,$AA$22))</f>
        <v/>
      </c>
      <c r="BP33" s="68">
        <f>MAX(0,MIN(AJ33,$AA$225)-AI33)</f>
        <v/>
      </c>
      <c r="BQ33" s="68" t="inlineStr"/>
    </row>
    <row r="34">
      <c r="B34" s="9" t="n"/>
      <c r="C34" s="57" t="n">
        <v>7</v>
      </c>
      <c r="D34" s="41" t="n"/>
      <c r="E34" s="55">
        <f>AI34</f>
        <v/>
      </c>
      <c r="F34" s="41" t="n"/>
      <c r="G34" s="41" t="n"/>
      <c r="H34" s="55">
        <f>AJ34</f>
        <v/>
      </c>
      <c r="I34" s="41" t="n"/>
      <c r="J34" s="41" t="n"/>
      <c r="K34" s="52">
        <f>AM34</f>
        <v/>
      </c>
      <c r="L34" s="41" t="n"/>
      <c r="M34" s="41" t="n"/>
      <c r="N34" s="57">
        <f>AN34</f>
        <v/>
      </c>
      <c r="O34" s="41" t="n"/>
      <c r="P34" s="41" t="n"/>
      <c r="Q34" s="53">
        <f>AO34</f>
        <v/>
      </c>
      <c r="R34" s="41" t="n"/>
      <c r="S34" s="41" t="n"/>
      <c r="T34" s="57">
        <f>IF(AR34="","-",AR34)</f>
        <v/>
      </c>
      <c r="U34" s="41" t="n"/>
      <c r="V34" s="57">
        <f>IF(AT34="","-",AT34)</f>
        <v/>
      </c>
      <c r="W34" s="41" t="n"/>
      <c r="X34" s="55">
        <f>AU34</f>
        <v/>
      </c>
      <c r="Y34" s="41" t="n"/>
      <c r="Z34" s="66">
        <f>AV34</f>
        <v/>
      </c>
      <c r="AA34" s="41" t="n"/>
      <c r="AB34" s="41" t="n"/>
      <c r="AC34" s="53">
        <f>AW34</f>
        <v/>
      </c>
      <c r="AD34" s="41" t="n"/>
      <c r="AE34" s="41" t="n"/>
      <c r="AF34" s="15" t="n"/>
      <c r="AI34" s="67" t="n">
        <v>9</v>
      </c>
      <c r="AJ34" s="67" t="n">
        <v>10.5</v>
      </c>
      <c r="AK34" s="68">
        <f>AJ34-AI34</f>
        <v/>
      </c>
      <c r="AL34" s="68">
        <f>(AI34+AJ34)/2</f>
        <v/>
      </c>
      <c r="AM34" s="67" t="inlineStr">
        <is>
          <t>Sand</t>
        </is>
      </c>
      <c r="AN34" s="67" t="n">
        <v>29</v>
      </c>
      <c r="AO34" s="68">
        <f>IF(AL34&gt;$AA$19,$AA$21,$AA$20)</f>
        <v/>
      </c>
      <c r="AP34" s="68">
        <f>AP33+AO34*AK34</f>
        <v/>
      </c>
      <c r="AQ34" s="68">
        <f>AP34-AO34*AK34/2-10*MAX(AL34-$AA$19,0)</f>
        <v/>
      </c>
      <c r="AR34" s="67" t="n"/>
      <c r="AS34" s="67" t="n"/>
      <c r="AT34" s="68">
        <f>IF(AR34="","",AR34-AS34)</f>
        <v/>
      </c>
      <c r="AU34" s="67" t="n">
        <v>0.65</v>
      </c>
      <c r="AV34" s="68">
        <f>IF(AM34="Sand",0,Input!$AA$31*AN34)</f>
        <v/>
      </c>
      <c r="AW34" s="68">
        <f>IF(AM34="Sand",27.1+0.3*MIN(Input!$AA$32*AN34,60)-0.00054*MIN(Input!$AA$32*AN34,60)^2,MIN(MAX(DEGREES(ASIN(0.8-0.094*LN(MAX(IF(AT34="",10,AT34),5)))),20),30))</f>
        <v/>
      </c>
      <c r="AX34" s="68">
        <f>IF(AM34="Sand",Input!$AA$33*Input!$AA$32*AN34,Input!$AA$34*AV34)</f>
        <v/>
      </c>
      <c r="AY34" s="68">
        <f>IF(AM34="Sand",Input!$AA$35,0.5)</f>
        <v/>
      </c>
      <c r="AZ34" s="68">
        <f>Input!$AA$15/2/AL34</f>
        <v/>
      </c>
      <c r="BA34" s="68">
        <f>Input!$AA$16/2/AL34</f>
        <v/>
      </c>
      <c r="BB34" s="68">
        <f>1/(4*PI())*(2*AZ34*BA34*SQRT(AZ34^2+BA34^2+1)/(AZ34^2+BA34^2+1+AZ34^2*BA34^2)*(AZ34^2+BA34^2+2)/(AZ34^2+BA34^2+1)+ATAN2(AZ34^2+BA34^2+1-AZ34^2*BA34^2,2*AZ34*BA34*SQRT(AZ34^2+BA34^2+1)))</f>
        <v/>
      </c>
      <c r="BC34" s="68">
        <f>4*Input!$AA$14*BB34</f>
        <v/>
      </c>
      <c r="BD34" s="68">
        <f>((Input!$AA$16/Input!$AA$15)*LN((1+SQRT((Input!$AA$16/Input!$AA$15)^2+1))*SQRT((Input!$AA$16/Input!$AA$15)^2+(AJ34/(Input!$AA$15/2))^2)/((Input!$AA$16/Input!$AA$15)*(1+SQRT((Input!$AA$16/Input!$AA$15)^2+(AJ34/(Input!$AA$15/2))^2+1))))+LN(((Input!$AA$16/Input!$AA$15)+SQRT((Input!$AA$16/Input!$AA$15)^2+1))*SQRT(1+(AJ34/(Input!$AA$15/2))^2)/((Input!$AA$16/Input!$AA$15)+SQRT((Input!$AA$16/Input!$AA$15)^2+(AJ34/(Input!$AA$15/2))^2+1))))/PI()</f>
        <v/>
      </c>
      <c r="BE34" s="68">
        <f>(AJ34/(Input!$AA$15/2))/(2*PI())*ATAN((Input!$AA$16/Input!$AA$15)/((AJ34/(Input!$AA$15/2))*SQRT((Input!$AA$16/Input!$AA$15)^2+(AJ34/(Input!$AA$15/2))^2+1)))</f>
        <v/>
      </c>
      <c r="BF34" s="68">
        <f>MAX(0,AJ34-MAX(AI34,$AA$22))/AK34*IF(BC34&gt;=Input!$AA$21*AQ34,1,0)</f>
        <v/>
      </c>
      <c r="BG34" s="68">
        <f>4*Input!$AA$14*(Input!$AA$15/2)*(1-AY34^2)/AX34*((BD34-BD33)+(1-2*AY34)/(1-AY34)*(BE34-BE33))*1000*BF34</f>
        <v/>
      </c>
      <c r="BH34" s="68">
        <f>IF(AM34="Sand",0,0.009*(AR34-10))</f>
        <v/>
      </c>
      <c r="BI34" s="68">
        <f>BH34*Input!$AA$36</f>
        <v/>
      </c>
      <c r="BJ34" s="68">
        <f>IF(AM34="Sand",0,MAX(AV34/Input!$AA$37,AQ34))</f>
        <v/>
      </c>
      <c r="BK34" s="68">
        <f>IF(AM34="Sand",0,1000*AK34/(1+AU34)*IF(AQ34+BC34&lt;=BJ34,BI34*LOG10((AQ34+BC34)/AQ34),BI34*LOG10(BJ34/AQ34)+BH34*LOG10((AQ34+BC34)/BJ34)))*BF34</f>
        <v/>
      </c>
      <c r="BL34" s="68">
        <f>IF(AM34="Sand",0,10^(INDEX(Input!$Q$48:$Q$54,MIN(MATCH(MIN(MAX(AR34,30),120),Input!$C$48:$C$54,1),6))+(MIN(MAX(AR34,30),120)-INDEX(Input!$C$48:$C$54,MIN(MATCH(MIN(MAX(AR34,30),120),Input!$C$48:$C$54,1),6)))/(INDEX(Input!$C$48:$C$54,MIN(MATCH(MIN(MAX(AR34,30),120),Input!$C$48:$C$54,1),6)+1)-INDEX(Input!$C$48:$C$54,MIN(MATCH(MIN(MAX(AR34,30),120),Input!$C$48:$C$54,1),6)))*(INDEX(Input!$Q$48:$Q$54,MIN(MATCH(MIN(MAX(AR34,30),120),Input!$C$48:$C$54,1),6)+1)-INDEX(Input!$Q$48:$Q$54,MIN(MATCH(MIN(MAX(AR34,30),120),Input!$C$48:$C$54,1),6)))))</f>
        <v/>
      </c>
      <c r="BM34" s="68">
        <f>IF(OR(AM34="Sand",BF34=0),0,Input!$AA$38*(AK34/2)^2/(BL34*1E-4*31536000))</f>
        <v/>
      </c>
      <c r="BN34" s="68">
        <f>MAX(0,MIN(AJ34,Input!$AA$20)-AI34)</f>
        <v/>
      </c>
      <c r="BO34" s="68">
        <f>MAX(0,MIN(AJ34,Input!$AA$20)-MAX(AI34,$AA$22))</f>
        <v/>
      </c>
      <c r="BP34" s="68">
        <f>MAX(0,MIN(AJ34,$AA$225)-AI34)</f>
        <v/>
      </c>
      <c r="BQ34" s="68" t="inlineStr"/>
    </row>
    <row r="35">
      <c r="B35" s="9" t="n"/>
      <c r="C35" s="57" t="n">
        <v>8</v>
      </c>
      <c r="D35" s="41" t="n"/>
      <c r="E35" s="55">
        <f>AI35</f>
        <v/>
      </c>
      <c r="F35" s="41" t="n"/>
      <c r="G35" s="41" t="n"/>
      <c r="H35" s="55">
        <f>AJ35</f>
        <v/>
      </c>
      <c r="I35" s="41" t="n"/>
      <c r="J35" s="41" t="n"/>
      <c r="K35" s="52">
        <f>AM35</f>
        <v/>
      </c>
      <c r="L35" s="41" t="n"/>
      <c r="M35" s="41" t="n"/>
      <c r="N35" s="57">
        <f>AN35</f>
        <v/>
      </c>
      <c r="O35" s="41" t="n"/>
      <c r="P35" s="41" t="n"/>
      <c r="Q35" s="53">
        <f>AO35</f>
        <v/>
      </c>
      <c r="R35" s="41" t="n"/>
      <c r="S35" s="41" t="n"/>
      <c r="T35" s="57">
        <f>IF(AR35="","-",AR35)</f>
        <v/>
      </c>
      <c r="U35" s="41" t="n"/>
      <c r="V35" s="57">
        <f>IF(AT35="","-",AT35)</f>
        <v/>
      </c>
      <c r="W35" s="41" t="n"/>
      <c r="X35" s="55">
        <f>AU35</f>
        <v/>
      </c>
      <c r="Y35" s="41" t="n"/>
      <c r="Z35" s="66">
        <f>AV35</f>
        <v/>
      </c>
      <c r="AA35" s="41" t="n"/>
      <c r="AB35" s="41" t="n"/>
      <c r="AC35" s="53">
        <f>AW35</f>
        <v/>
      </c>
      <c r="AD35" s="41" t="n"/>
      <c r="AE35" s="41" t="n"/>
      <c r="AF35" s="15" t="n"/>
      <c r="AI35" s="67" t="n">
        <v>10.5</v>
      </c>
      <c r="AJ35" s="67" t="n">
        <v>12</v>
      </c>
      <c r="AK35" s="68">
        <f>AJ35-AI35</f>
        <v/>
      </c>
      <c r="AL35" s="68">
        <f>(AI35+AJ35)/2</f>
        <v/>
      </c>
      <c r="AM35" s="67" t="inlineStr">
        <is>
          <t>Silt</t>
        </is>
      </c>
      <c r="AN35" s="67" t="n">
        <v>24</v>
      </c>
      <c r="AO35" s="68">
        <f>IF(AL35&gt;$AA$19,$AA$21,$AA$20)</f>
        <v/>
      </c>
      <c r="AP35" s="68">
        <f>AP34+AO35*AK35</f>
        <v/>
      </c>
      <c r="AQ35" s="68">
        <f>AP35-AO35*AK35/2-10*MAX(AL35-$AA$19,0)</f>
        <v/>
      </c>
      <c r="AR35" s="67" t="n">
        <v>36.39</v>
      </c>
      <c r="AS35" s="67" t="n">
        <v>24.82</v>
      </c>
      <c r="AT35" s="68">
        <f>IF(AR35="","",AR35-AS35)</f>
        <v/>
      </c>
      <c r="AU35" s="67" t="n">
        <v>1.053</v>
      </c>
      <c r="AV35" s="68">
        <f>IF(AM35="Sand",0,Input!$AA$31*AN35)</f>
        <v/>
      </c>
      <c r="AW35" s="68">
        <f>IF(AM35="Sand",27.1+0.3*MIN(Input!$AA$32*AN35,60)-0.00054*MIN(Input!$AA$32*AN35,60)^2,MIN(MAX(DEGREES(ASIN(0.8-0.094*LN(MAX(IF(AT35="",10,AT35),5)))),20),30))</f>
        <v/>
      </c>
      <c r="AX35" s="68">
        <f>IF(AM35="Sand",Input!$AA$33*Input!$AA$32*AN35,Input!$AA$34*AV35)</f>
        <v/>
      </c>
      <c r="AY35" s="68">
        <f>IF(AM35="Sand",Input!$AA$35,0.5)</f>
        <v/>
      </c>
      <c r="AZ35" s="68">
        <f>Input!$AA$15/2/AL35</f>
        <v/>
      </c>
      <c r="BA35" s="68">
        <f>Input!$AA$16/2/AL35</f>
        <v/>
      </c>
      <c r="BB35" s="68">
        <f>1/(4*PI())*(2*AZ35*BA35*SQRT(AZ35^2+BA35^2+1)/(AZ35^2+BA35^2+1+AZ35^2*BA35^2)*(AZ35^2+BA35^2+2)/(AZ35^2+BA35^2+1)+ATAN2(AZ35^2+BA35^2+1-AZ35^2*BA35^2,2*AZ35*BA35*SQRT(AZ35^2+BA35^2+1)))</f>
        <v/>
      </c>
      <c r="BC35" s="68">
        <f>4*Input!$AA$14*BB35</f>
        <v/>
      </c>
      <c r="BD35" s="68">
        <f>((Input!$AA$16/Input!$AA$15)*LN((1+SQRT((Input!$AA$16/Input!$AA$15)^2+1))*SQRT((Input!$AA$16/Input!$AA$15)^2+(AJ35/(Input!$AA$15/2))^2)/((Input!$AA$16/Input!$AA$15)*(1+SQRT((Input!$AA$16/Input!$AA$15)^2+(AJ35/(Input!$AA$15/2))^2+1))))+LN(((Input!$AA$16/Input!$AA$15)+SQRT((Input!$AA$16/Input!$AA$15)^2+1))*SQRT(1+(AJ35/(Input!$AA$15/2))^2)/((Input!$AA$16/Input!$AA$15)+SQRT((Input!$AA$16/Input!$AA$15)^2+(AJ35/(Input!$AA$15/2))^2+1))))/PI()</f>
        <v/>
      </c>
      <c r="BE35" s="68">
        <f>(AJ35/(Input!$AA$15/2))/(2*PI())*ATAN((Input!$AA$16/Input!$AA$15)/((AJ35/(Input!$AA$15/2))*SQRT((Input!$AA$16/Input!$AA$15)^2+(AJ35/(Input!$AA$15/2))^2+1)))</f>
        <v/>
      </c>
      <c r="BF35" s="68">
        <f>MAX(0,AJ35-MAX(AI35,$AA$22))/AK35*IF(BC35&gt;=Input!$AA$21*AQ35,1,0)</f>
        <v/>
      </c>
      <c r="BG35" s="68">
        <f>4*Input!$AA$14*(Input!$AA$15/2)*(1-AY35^2)/AX35*((BD35-BD34)+(1-2*AY35)/(1-AY35)*(BE35-BE34))*1000*BF35</f>
        <v/>
      </c>
      <c r="BH35" s="68">
        <f>IF(AM35="Sand",0,0.009*(AR35-10))</f>
        <v/>
      </c>
      <c r="BI35" s="68">
        <f>BH35*Input!$AA$36</f>
        <v/>
      </c>
      <c r="BJ35" s="68">
        <f>IF(AM35="Sand",0,MAX(AV35/Input!$AA$37,AQ35))</f>
        <v/>
      </c>
      <c r="BK35" s="68">
        <f>IF(AM35="Sand",0,1000*AK35/(1+AU35)*IF(AQ35+BC35&lt;=BJ35,BI35*LOG10((AQ35+BC35)/AQ35),BI35*LOG10(BJ35/AQ35)+BH35*LOG10((AQ35+BC35)/BJ35)))*BF35</f>
        <v/>
      </c>
      <c r="BL35" s="68">
        <f>IF(AM35="Sand",0,10^(INDEX(Input!$Q$48:$Q$54,MIN(MATCH(MIN(MAX(AR35,30),120),Input!$C$48:$C$54,1),6))+(MIN(MAX(AR35,30),120)-INDEX(Input!$C$48:$C$54,MIN(MATCH(MIN(MAX(AR35,30),120),Input!$C$48:$C$54,1),6)))/(INDEX(Input!$C$48:$C$54,MIN(MATCH(MIN(MAX(AR35,30),120),Input!$C$48:$C$54,1),6)+1)-INDEX(Input!$C$48:$C$54,MIN(MATCH(MIN(MAX(AR35,30),120),Input!$C$48:$C$54,1),6)))*(INDEX(Input!$Q$48:$Q$54,MIN(MATCH(MIN(MAX(AR35,30),120),Input!$C$48:$C$54,1),6)+1)-INDEX(Input!$Q$48:$Q$54,MIN(MATCH(MIN(MAX(AR35,30),120),Input!$C$48:$C$54,1),6)))))</f>
        <v/>
      </c>
      <c r="BM35" s="68">
        <f>IF(OR(AM35="Sand",BF35=0),0,Input!$AA$38*(AK35/2)^2/(BL35*1E-4*31536000))</f>
        <v/>
      </c>
      <c r="BN35" s="68">
        <f>MAX(0,MIN(AJ35,Input!$AA$20)-AI35)</f>
        <v/>
      </c>
      <c r="BO35" s="68">
        <f>MAX(0,MIN(AJ35,Input!$AA$20)-MAX(AI35,$AA$22))</f>
        <v/>
      </c>
      <c r="BP35" s="68">
        <f>MAX(0,MIN(AJ35,$AA$225)-AI35)</f>
        <v/>
      </c>
      <c r="BQ35" s="68" t="inlineStr"/>
    </row>
    <row r="36">
      <c r="B36" s="9" t="n"/>
      <c r="C36" s="57" t="n">
        <v>9</v>
      </c>
      <c r="D36" s="41" t="n"/>
      <c r="E36" s="55">
        <f>AI36</f>
        <v/>
      </c>
      <c r="F36" s="41" t="n"/>
      <c r="G36" s="41" t="n"/>
      <c r="H36" s="55">
        <f>AJ36</f>
        <v/>
      </c>
      <c r="I36" s="41" t="n"/>
      <c r="J36" s="41" t="n"/>
      <c r="K36" s="52">
        <f>AM36</f>
        <v/>
      </c>
      <c r="L36" s="41" t="n"/>
      <c r="M36" s="41" t="n"/>
      <c r="N36" s="57">
        <f>AN36</f>
        <v/>
      </c>
      <c r="O36" s="41" t="n"/>
      <c r="P36" s="41" t="n"/>
      <c r="Q36" s="53">
        <f>AO36</f>
        <v/>
      </c>
      <c r="R36" s="41" t="n"/>
      <c r="S36" s="41" t="n"/>
      <c r="T36" s="57">
        <f>IF(AR36="","-",AR36)</f>
        <v/>
      </c>
      <c r="U36" s="41" t="n"/>
      <c r="V36" s="57">
        <f>IF(AT36="","-",AT36)</f>
        <v/>
      </c>
      <c r="W36" s="41" t="n"/>
      <c r="X36" s="55">
        <f>AU36</f>
        <v/>
      </c>
      <c r="Y36" s="41" t="n"/>
      <c r="Z36" s="66">
        <f>AV36</f>
        <v/>
      </c>
      <c r="AA36" s="41" t="n"/>
      <c r="AB36" s="41" t="n"/>
      <c r="AC36" s="53">
        <f>AW36</f>
        <v/>
      </c>
      <c r="AD36" s="41" t="n"/>
      <c r="AE36" s="41" t="n"/>
      <c r="AF36" s="15" t="n"/>
      <c r="AI36" s="67" t="n">
        <v>12</v>
      </c>
      <c r="AJ36" s="67" t="n">
        <v>13.5</v>
      </c>
      <c r="AK36" s="68">
        <f>AJ36-AI36</f>
        <v/>
      </c>
      <c r="AL36" s="68">
        <f>(AI36+AJ36)/2</f>
        <v/>
      </c>
      <c r="AM36" s="67" t="inlineStr">
        <is>
          <t>Silt</t>
        </is>
      </c>
      <c r="AN36" s="67" t="n">
        <v>10</v>
      </c>
      <c r="AO36" s="68">
        <f>IF(AL36&gt;$AA$19,$AA$21,$AA$20)</f>
        <v/>
      </c>
      <c r="AP36" s="68">
        <f>AP35+AO36*AK36</f>
        <v/>
      </c>
      <c r="AQ36" s="68">
        <f>AP36-AO36*AK36/2-10*MAX(AL36-$AA$19,0)</f>
        <v/>
      </c>
      <c r="AR36" s="67" t="n">
        <v>35.7</v>
      </c>
      <c r="AS36" s="67" t="n">
        <v>24.25</v>
      </c>
      <c r="AT36" s="68">
        <f>IF(AR36="","",AR36-AS36)</f>
        <v/>
      </c>
      <c r="AU36" s="67" t="n">
        <v>0.974</v>
      </c>
      <c r="AV36" s="68">
        <f>IF(AM36="Sand",0,Input!$AA$31*AN36)</f>
        <v/>
      </c>
      <c r="AW36" s="68">
        <f>IF(AM36="Sand",27.1+0.3*MIN(Input!$AA$32*AN36,60)-0.00054*MIN(Input!$AA$32*AN36,60)^2,MIN(MAX(DEGREES(ASIN(0.8-0.094*LN(MAX(IF(AT36="",10,AT36),5)))),20),30))</f>
        <v/>
      </c>
      <c r="AX36" s="68">
        <f>IF(AM36="Sand",Input!$AA$33*Input!$AA$32*AN36,Input!$AA$34*AV36)</f>
        <v/>
      </c>
      <c r="AY36" s="68">
        <f>IF(AM36="Sand",Input!$AA$35,0.5)</f>
        <v/>
      </c>
      <c r="AZ36" s="68">
        <f>Input!$AA$15/2/AL36</f>
        <v/>
      </c>
      <c r="BA36" s="68">
        <f>Input!$AA$16/2/AL36</f>
        <v/>
      </c>
      <c r="BB36" s="68">
        <f>1/(4*PI())*(2*AZ36*BA36*SQRT(AZ36^2+BA36^2+1)/(AZ36^2+BA36^2+1+AZ36^2*BA36^2)*(AZ36^2+BA36^2+2)/(AZ36^2+BA36^2+1)+ATAN2(AZ36^2+BA36^2+1-AZ36^2*BA36^2,2*AZ36*BA36*SQRT(AZ36^2+BA36^2+1)))</f>
        <v/>
      </c>
      <c r="BC36" s="68">
        <f>4*Input!$AA$14*BB36</f>
        <v/>
      </c>
      <c r="BD36" s="68">
        <f>((Input!$AA$16/Input!$AA$15)*LN((1+SQRT((Input!$AA$16/Input!$AA$15)^2+1))*SQRT((Input!$AA$16/Input!$AA$15)^2+(AJ36/(Input!$AA$15/2))^2)/((Input!$AA$16/Input!$AA$15)*(1+SQRT((Input!$AA$16/Input!$AA$15)^2+(AJ36/(Input!$AA$15/2))^2+1))))+LN(((Input!$AA$16/Input!$AA$15)+SQRT((Input!$AA$16/Input!$AA$15)^2+1))*SQRT(1+(AJ36/(Input!$AA$15/2))^2)/((Input!$AA$16/Input!$AA$15)+SQRT((Input!$AA$16/Input!$AA$15)^2+(AJ36/(Input!$AA$15/2))^2+1))))/PI()</f>
        <v/>
      </c>
      <c r="BE36" s="68">
        <f>(AJ36/(Input!$AA$15/2))/(2*PI())*ATAN((Input!$AA$16/Input!$AA$15)/((AJ36/(Input!$AA$15/2))*SQRT((Input!$AA$16/Input!$AA$15)^2+(AJ36/(Input!$AA$15/2))^2+1)))</f>
        <v/>
      </c>
      <c r="BF36" s="68">
        <f>MAX(0,AJ36-MAX(AI36,$AA$22))/AK36*IF(BC36&gt;=Input!$AA$21*AQ36,1,0)</f>
        <v/>
      </c>
      <c r="BG36" s="68">
        <f>4*Input!$AA$14*(Input!$AA$15/2)*(1-AY36^2)/AX36*((BD36-BD35)+(1-2*AY36)/(1-AY36)*(BE36-BE35))*1000*BF36</f>
        <v/>
      </c>
      <c r="BH36" s="68">
        <f>IF(AM36="Sand",0,0.009*(AR36-10))</f>
        <v/>
      </c>
      <c r="BI36" s="68">
        <f>BH36*Input!$AA$36</f>
        <v/>
      </c>
      <c r="BJ36" s="68">
        <f>IF(AM36="Sand",0,MAX(AV36/Input!$AA$37,AQ36))</f>
        <v/>
      </c>
      <c r="BK36" s="68">
        <f>IF(AM36="Sand",0,1000*AK36/(1+AU36)*IF(AQ36+BC36&lt;=BJ36,BI36*LOG10((AQ36+BC36)/AQ36),BI36*LOG10(BJ36/AQ36)+BH36*LOG10((AQ36+BC36)/BJ36)))*BF36</f>
        <v/>
      </c>
      <c r="BL36" s="68">
        <f>IF(AM36="Sand",0,10^(INDEX(Input!$Q$48:$Q$54,MIN(MATCH(MIN(MAX(AR36,30),120),Input!$C$48:$C$54,1),6))+(MIN(MAX(AR36,30),120)-INDEX(Input!$C$48:$C$54,MIN(MATCH(MIN(MAX(AR36,30),120),Input!$C$48:$C$54,1),6)))/(INDEX(Input!$C$48:$C$54,MIN(MATCH(MIN(MAX(AR36,30),120),Input!$C$48:$C$54,1),6)+1)-INDEX(Input!$C$48:$C$54,MIN(MATCH(MIN(MAX(AR36,30),120),Input!$C$48:$C$54,1),6)))*(INDEX(Input!$Q$48:$Q$54,MIN(MATCH(MIN(MAX(AR36,30),120),Input!$C$48:$C$54,1),6)+1)-INDEX(Input!$Q$48:$Q$54,MIN(MATCH(MIN(MAX(AR36,30),120),Input!$C$48:$C$54,1),6)))))</f>
        <v/>
      </c>
      <c r="BM36" s="68">
        <f>IF(OR(AM36="Sand",BF36=0),0,Input!$AA$38*(AK36/2)^2/(BL36*1E-4*31536000))</f>
        <v/>
      </c>
      <c r="BN36" s="68">
        <f>MAX(0,MIN(AJ36,Input!$AA$20)-AI36)</f>
        <v/>
      </c>
      <c r="BO36" s="68">
        <f>MAX(0,MIN(AJ36,Input!$AA$20)-MAX(AI36,$AA$22))</f>
        <v/>
      </c>
      <c r="BP36" s="68">
        <f>MAX(0,MIN(AJ36,$AA$225)-AI36)</f>
        <v/>
      </c>
      <c r="BQ36" s="68" t="inlineStr"/>
    </row>
    <row r="37">
      <c r="B37" s="9" t="n"/>
      <c r="C37" s="57" t="n">
        <v>10</v>
      </c>
      <c r="D37" s="41" t="n"/>
      <c r="E37" s="55">
        <f>AI37</f>
        <v/>
      </c>
      <c r="F37" s="41" t="n"/>
      <c r="G37" s="41" t="n"/>
      <c r="H37" s="55">
        <f>AJ37</f>
        <v/>
      </c>
      <c r="I37" s="41" t="n"/>
      <c r="J37" s="41" t="n"/>
      <c r="K37" s="52">
        <f>AM37</f>
        <v/>
      </c>
      <c r="L37" s="41" t="n"/>
      <c r="M37" s="41" t="n"/>
      <c r="N37" s="57">
        <f>AN37</f>
        <v/>
      </c>
      <c r="O37" s="41" t="n"/>
      <c r="P37" s="41" t="n"/>
      <c r="Q37" s="53">
        <f>AO37</f>
        <v/>
      </c>
      <c r="R37" s="41" t="n"/>
      <c r="S37" s="41" t="n"/>
      <c r="T37" s="57">
        <f>IF(AR37="","-",AR37)</f>
        <v/>
      </c>
      <c r="U37" s="41" t="n"/>
      <c r="V37" s="57">
        <f>IF(AT37="","-",AT37)</f>
        <v/>
      </c>
      <c r="W37" s="41" t="n"/>
      <c r="X37" s="55">
        <f>AU37</f>
        <v/>
      </c>
      <c r="Y37" s="41" t="n"/>
      <c r="Z37" s="66">
        <f>AV37</f>
        <v/>
      </c>
      <c r="AA37" s="41" t="n"/>
      <c r="AB37" s="41" t="n"/>
      <c r="AC37" s="53">
        <f>AW37</f>
        <v/>
      </c>
      <c r="AD37" s="41" t="n"/>
      <c r="AE37" s="41" t="n"/>
      <c r="AF37" s="15" t="n"/>
      <c r="AI37" s="67" t="n">
        <v>13.5</v>
      </c>
      <c r="AJ37" s="67" t="n">
        <v>15</v>
      </c>
      <c r="AK37" s="68">
        <f>AJ37-AI37</f>
        <v/>
      </c>
      <c r="AL37" s="68">
        <f>(AI37+AJ37)/2</f>
        <v/>
      </c>
      <c r="AM37" s="67" t="inlineStr">
        <is>
          <t>Sand</t>
        </is>
      </c>
      <c r="AN37" s="67" t="n">
        <v>35</v>
      </c>
      <c r="AO37" s="68">
        <f>IF(AL37&gt;$AA$19,$AA$21,$AA$20)</f>
        <v/>
      </c>
      <c r="AP37" s="68">
        <f>AP36+AO37*AK37</f>
        <v/>
      </c>
      <c r="AQ37" s="68">
        <f>AP37-AO37*AK37/2-10*MAX(AL37-$AA$19,0)</f>
        <v/>
      </c>
      <c r="AR37" s="67" t="n"/>
      <c r="AS37" s="67" t="n"/>
      <c r="AT37" s="68">
        <f>IF(AR37="","",AR37-AS37)</f>
        <v/>
      </c>
      <c r="AU37" s="67" t="n">
        <v>0.5570000000000001</v>
      </c>
      <c r="AV37" s="68">
        <f>IF(AM37="Sand",0,Input!$AA$31*AN37)</f>
        <v/>
      </c>
      <c r="AW37" s="68">
        <f>IF(AM37="Sand",27.1+0.3*MIN(Input!$AA$32*AN37,60)-0.00054*MIN(Input!$AA$32*AN37,60)^2,MIN(MAX(DEGREES(ASIN(0.8-0.094*LN(MAX(IF(AT37="",10,AT37),5)))),20),30))</f>
        <v/>
      </c>
      <c r="AX37" s="68">
        <f>IF(AM37="Sand",Input!$AA$33*Input!$AA$32*AN37,Input!$AA$34*AV37)</f>
        <v/>
      </c>
      <c r="AY37" s="68">
        <f>IF(AM37="Sand",Input!$AA$35,0.5)</f>
        <v/>
      </c>
      <c r="AZ37" s="68">
        <f>Input!$AA$15/2/AL37</f>
        <v/>
      </c>
      <c r="BA37" s="68">
        <f>Input!$AA$16/2/AL37</f>
        <v/>
      </c>
      <c r="BB37" s="68">
        <f>1/(4*PI())*(2*AZ37*BA37*SQRT(AZ37^2+BA37^2+1)/(AZ37^2+BA37^2+1+AZ37^2*BA37^2)*(AZ37^2+BA37^2+2)/(AZ37^2+BA37^2+1)+ATAN2(AZ37^2+BA37^2+1-AZ37^2*BA37^2,2*AZ37*BA37*SQRT(AZ37^2+BA37^2+1)))</f>
        <v/>
      </c>
      <c r="BC37" s="68">
        <f>4*Input!$AA$14*BB37</f>
        <v/>
      </c>
      <c r="BD37" s="68">
        <f>((Input!$AA$16/Input!$AA$15)*LN((1+SQRT((Input!$AA$16/Input!$AA$15)^2+1))*SQRT((Input!$AA$16/Input!$AA$15)^2+(AJ37/(Input!$AA$15/2))^2)/((Input!$AA$16/Input!$AA$15)*(1+SQRT((Input!$AA$16/Input!$AA$15)^2+(AJ37/(Input!$AA$15/2))^2+1))))+LN(((Input!$AA$16/Input!$AA$15)+SQRT((Input!$AA$16/Input!$AA$15)^2+1))*SQRT(1+(AJ37/(Input!$AA$15/2))^2)/((Input!$AA$16/Input!$AA$15)+SQRT((Input!$AA$16/Input!$AA$15)^2+(AJ37/(Input!$AA$15/2))^2+1))))/PI()</f>
        <v/>
      </c>
      <c r="BE37" s="68">
        <f>(AJ37/(Input!$AA$15/2))/(2*PI())*ATAN((Input!$AA$16/Input!$AA$15)/((AJ37/(Input!$AA$15/2))*SQRT((Input!$AA$16/Input!$AA$15)^2+(AJ37/(Input!$AA$15/2))^2+1)))</f>
        <v/>
      </c>
      <c r="BF37" s="68">
        <f>MAX(0,AJ37-MAX(AI37,$AA$22))/AK37*IF(BC37&gt;=Input!$AA$21*AQ37,1,0)</f>
        <v/>
      </c>
      <c r="BG37" s="68">
        <f>4*Input!$AA$14*(Input!$AA$15/2)*(1-AY37^2)/AX37*((BD37-BD36)+(1-2*AY37)/(1-AY37)*(BE37-BE36))*1000*BF37</f>
        <v/>
      </c>
      <c r="BH37" s="68">
        <f>IF(AM37="Sand",0,0.009*(AR37-10))</f>
        <v/>
      </c>
      <c r="BI37" s="68">
        <f>BH37*Input!$AA$36</f>
        <v/>
      </c>
      <c r="BJ37" s="68">
        <f>IF(AM37="Sand",0,MAX(AV37/Input!$AA$37,AQ37))</f>
        <v/>
      </c>
      <c r="BK37" s="68">
        <f>IF(AM37="Sand",0,1000*AK37/(1+AU37)*IF(AQ37+BC37&lt;=BJ37,BI37*LOG10((AQ37+BC37)/AQ37),BI37*LOG10(BJ37/AQ37)+BH37*LOG10((AQ37+BC37)/BJ37)))*BF37</f>
        <v/>
      </c>
      <c r="BL37" s="68">
        <f>IF(AM37="Sand",0,10^(INDEX(Input!$Q$48:$Q$54,MIN(MATCH(MIN(MAX(AR37,30),120),Input!$C$48:$C$54,1),6))+(MIN(MAX(AR37,30),120)-INDEX(Input!$C$48:$C$54,MIN(MATCH(MIN(MAX(AR37,30),120),Input!$C$48:$C$54,1),6)))/(INDEX(Input!$C$48:$C$54,MIN(MATCH(MIN(MAX(AR37,30),120),Input!$C$48:$C$54,1),6)+1)-INDEX(Input!$C$48:$C$54,MIN(MATCH(MIN(MAX(AR37,30),120),Input!$C$48:$C$54,1),6)))*(INDEX(Input!$Q$48:$Q$54,MIN(MATCH(MIN(MAX(AR37,30),120),Input!$C$48:$C$54,1),6)+1)-INDEX(Input!$Q$48:$Q$54,MIN(MATCH(MIN(MAX(AR37,30),120),Input!$C$48:$C$54,1),6)))))</f>
        <v/>
      </c>
      <c r="BM37" s="68">
        <f>IF(OR(AM37="Sand",BF37=0),0,Input!$AA$38*(AK37/2)^2/(BL37*1E-4*31536000))</f>
        <v/>
      </c>
      <c r="BN37" s="68">
        <f>MAX(0,MIN(AJ37,Input!$AA$20)-AI37)</f>
        <v/>
      </c>
      <c r="BO37" s="68">
        <f>MAX(0,MIN(AJ37,Input!$AA$20)-MAX(AI37,$AA$22))</f>
        <v/>
      </c>
      <c r="BP37" s="68">
        <f>MAX(0,MIN(AJ37,$AA$225)-AI37)</f>
        <v/>
      </c>
      <c r="BQ37" s="68" t="inlineStr"/>
    </row>
    <row r="38">
      <c r="B38" s="9" t="n"/>
      <c r="C38" s="57" t="n">
        <v>11</v>
      </c>
      <c r="D38" s="41" t="n"/>
      <c r="E38" s="55">
        <f>AI38</f>
        <v/>
      </c>
      <c r="F38" s="41" t="n"/>
      <c r="G38" s="41" t="n"/>
      <c r="H38" s="55">
        <f>AJ38</f>
        <v/>
      </c>
      <c r="I38" s="41" t="n"/>
      <c r="J38" s="41" t="n"/>
      <c r="K38" s="52">
        <f>AM38</f>
        <v/>
      </c>
      <c r="L38" s="41" t="n"/>
      <c r="M38" s="41" t="n"/>
      <c r="N38" s="57">
        <f>AN38</f>
        <v/>
      </c>
      <c r="O38" s="41" t="n"/>
      <c r="P38" s="41" t="n"/>
      <c r="Q38" s="53">
        <f>AO38</f>
        <v/>
      </c>
      <c r="R38" s="41" t="n"/>
      <c r="S38" s="41" t="n"/>
      <c r="T38" s="57">
        <f>IF(AR38="","-",AR38)</f>
        <v/>
      </c>
      <c r="U38" s="41" t="n"/>
      <c r="V38" s="57">
        <f>IF(AT38="","-",AT38)</f>
        <v/>
      </c>
      <c r="W38" s="41" t="n"/>
      <c r="X38" s="55">
        <f>AU38</f>
        <v/>
      </c>
      <c r="Y38" s="41" t="n"/>
      <c r="Z38" s="66">
        <f>AV38</f>
        <v/>
      </c>
      <c r="AA38" s="41" t="n"/>
      <c r="AB38" s="41" t="n"/>
      <c r="AC38" s="53">
        <f>AW38</f>
        <v/>
      </c>
      <c r="AD38" s="41" t="n"/>
      <c r="AE38" s="41" t="n"/>
      <c r="AF38" s="15" t="n"/>
      <c r="AI38" s="67" t="n">
        <v>15</v>
      </c>
      <c r="AJ38" s="67" t="n">
        <v>16.5</v>
      </c>
      <c r="AK38" s="68">
        <f>AJ38-AI38</f>
        <v/>
      </c>
      <c r="AL38" s="68">
        <f>(AI38+AJ38)/2</f>
        <v/>
      </c>
      <c r="AM38" s="67" t="inlineStr">
        <is>
          <t>Sand</t>
        </is>
      </c>
      <c r="AN38" s="67" t="n">
        <v>39</v>
      </c>
      <c r="AO38" s="68">
        <f>IF(AL38&gt;$AA$19,$AA$21,$AA$20)</f>
        <v/>
      </c>
      <c r="AP38" s="68">
        <f>AP37+AO38*AK38</f>
        <v/>
      </c>
      <c r="AQ38" s="68">
        <f>AP38-AO38*AK38/2-10*MAX(AL38-$AA$19,0)</f>
        <v/>
      </c>
      <c r="AR38" s="67" t="n"/>
      <c r="AS38" s="67" t="n"/>
      <c r="AT38" s="68">
        <f>IF(AR38="","",AR38-AS38)</f>
        <v/>
      </c>
      <c r="AU38" s="67" t="n">
        <v>0.458</v>
      </c>
      <c r="AV38" s="68">
        <f>IF(AM38="Sand",0,Input!$AA$31*AN38)</f>
        <v/>
      </c>
      <c r="AW38" s="68">
        <f>IF(AM38="Sand",27.1+0.3*MIN(Input!$AA$32*AN38,60)-0.00054*MIN(Input!$AA$32*AN38,60)^2,MIN(MAX(DEGREES(ASIN(0.8-0.094*LN(MAX(IF(AT38="",10,AT38),5)))),20),30))</f>
        <v/>
      </c>
      <c r="AX38" s="68">
        <f>IF(AM38="Sand",Input!$AA$33*Input!$AA$32*AN38,Input!$AA$34*AV38)</f>
        <v/>
      </c>
      <c r="AY38" s="68">
        <f>IF(AM38="Sand",Input!$AA$35,0.5)</f>
        <v/>
      </c>
      <c r="AZ38" s="68">
        <f>Input!$AA$15/2/AL38</f>
        <v/>
      </c>
      <c r="BA38" s="68">
        <f>Input!$AA$16/2/AL38</f>
        <v/>
      </c>
      <c r="BB38" s="68">
        <f>1/(4*PI())*(2*AZ38*BA38*SQRT(AZ38^2+BA38^2+1)/(AZ38^2+BA38^2+1+AZ38^2*BA38^2)*(AZ38^2+BA38^2+2)/(AZ38^2+BA38^2+1)+ATAN2(AZ38^2+BA38^2+1-AZ38^2*BA38^2,2*AZ38*BA38*SQRT(AZ38^2+BA38^2+1)))</f>
        <v/>
      </c>
      <c r="BC38" s="68">
        <f>4*Input!$AA$14*BB38</f>
        <v/>
      </c>
      <c r="BD38" s="68">
        <f>((Input!$AA$16/Input!$AA$15)*LN((1+SQRT((Input!$AA$16/Input!$AA$15)^2+1))*SQRT((Input!$AA$16/Input!$AA$15)^2+(AJ38/(Input!$AA$15/2))^2)/((Input!$AA$16/Input!$AA$15)*(1+SQRT((Input!$AA$16/Input!$AA$15)^2+(AJ38/(Input!$AA$15/2))^2+1))))+LN(((Input!$AA$16/Input!$AA$15)+SQRT((Input!$AA$16/Input!$AA$15)^2+1))*SQRT(1+(AJ38/(Input!$AA$15/2))^2)/((Input!$AA$16/Input!$AA$15)+SQRT((Input!$AA$16/Input!$AA$15)^2+(AJ38/(Input!$AA$15/2))^2+1))))/PI()</f>
        <v/>
      </c>
      <c r="BE38" s="68">
        <f>(AJ38/(Input!$AA$15/2))/(2*PI())*ATAN((Input!$AA$16/Input!$AA$15)/((AJ38/(Input!$AA$15/2))*SQRT((Input!$AA$16/Input!$AA$15)^2+(AJ38/(Input!$AA$15/2))^2+1)))</f>
        <v/>
      </c>
      <c r="BF38" s="68">
        <f>MAX(0,AJ38-MAX(AI38,$AA$22))/AK38*IF(BC38&gt;=Input!$AA$21*AQ38,1,0)</f>
        <v/>
      </c>
      <c r="BG38" s="68">
        <f>4*Input!$AA$14*(Input!$AA$15/2)*(1-AY38^2)/AX38*((BD38-BD37)+(1-2*AY38)/(1-AY38)*(BE38-BE37))*1000*BF38</f>
        <v/>
      </c>
      <c r="BH38" s="68">
        <f>IF(AM38="Sand",0,0.009*(AR38-10))</f>
        <v/>
      </c>
      <c r="BI38" s="68">
        <f>BH38*Input!$AA$36</f>
        <v/>
      </c>
      <c r="BJ38" s="68">
        <f>IF(AM38="Sand",0,MAX(AV38/Input!$AA$37,AQ38))</f>
        <v/>
      </c>
      <c r="BK38" s="68">
        <f>IF(AM38="Sand",0,1000*AK38/(1+AU38)*IF(AQ38+BC38&lt;=BJ38,BI38*LOG10((AQ38+BC38)/AQ38),BI38*LOG10(BJ38/AQ38)+BH38*LOG10((AQ38+BC38)/BJ38)))*BF38</f>
        <v/>
      </c>
      <c r="BL38" s="68">
        <f>IF(AM38="Sand",0,10^(INDEX(Input!$Q$48:$Q$54,MIN(MATCH(MIN(MAX(AR38,30),120),Input!$C$48:$C$54,1),6))+(MIN(MAX(AR38,30),120)-INDEX(Input!$C$48:$C$54,MIN(MATCH(MIN(MAX(AR38,30),120),Input!$C$48:$C$54,1),6)))/(INDEX(Input!$C$48:$C$54,MIN(MATCH(MIN(MAX(AR38,30),120),Input!$C$48:$C$54,1),6)+1)-INDEX(Input!$C$48:$C$54,MIN(MATCH(MIN(MAX(AR38,30),120),Input!$C$48:$C$54,1),6)))*(INDEX(Input!$Q$48:$Q$54,MIN(MATCH(MIN(MAX(AR38,30),120),Input!$C$48:$C$54,1),6)+1)-INDEX(Input!$Q$48:$Q$54,MIN(MATCH(MIN(MAX(AR38,30),120),Input!$C$48:$C$54,1),6)))))</f>
        <v/>
      </c>
      <c r="BM38" s="68">
        <f>IF(OR(AM38="Sand",BF38=0),0,Input!$AA$38*(AK38/2)^2/(BL38*1E-4*31536000))</f>
        <v/>
      </c>
      <c r="BN38" s="68">
        <f>MAX(0,MIN(AJ38,Input!$AA$20)-AI38)</f>
        <v/>
      </c>
      <c r="BO38" s="68">
        <f>MAX(0,MIN(AJ38,Input!$AA$20)-MAX(AI38,$AA$22))</f>
        <v/>
      </c>
      <c r="BP38" s="68">
        <f>MAX(0,MIN(AJ38,$AA$225)-AI38)</f>
        <v/>
      </c>
      <c r="BQ38" s="68" t="inlineStr"/>
    </row>
    <row r="39">
      <c r="B39" s="9" t="n"/>
      <c r="C39" s="57" t="n">
        <v>12</v>
      </c>
      <c r="D39" s="41" t="n"/>
      <c r="E39" s="55">
        <f>AI39</f>
        <v/>
      </c>
      <c r="F39" s="41" t="n"/>
      <c r="G39" s="41" t="n"/>
      <c r="H39" s="55">
        <f>AJ39</f>
        <v/>
      </c>
      <c r="I39" s="41" t="n"/>
      <c r="J39" s="41" t="n"/>
      <c r="K39" s="52">
        <f>AM39</f>
        <v/>
      </c>
      <c r="L39" s="41" t="n"/>
      <c r="M39" s="41" t="n"/>
      <c r="N39" s="57">
        <f>AN39</f>
        <v/>
      </c>
      <c r="O39" s="41" t="n"/>
      <c r="P39" s="41" t="n"/>
      <c r="Q39" s="53">
        <f>AO39</f>
        <v/>
      </c>
      <c r="R39" s="41" t="n"/>
      <c r="S39" s="41" t="n"/>
      <c r="T39" s="57">
        <f>IF(AR39="","-",AR39)</f>
        <v/>
      </c>
      <c r="U39" s="41" t="n"/>
      <c r="V39" s="57">
        <f>IF(AT39="","-",AT39)</f>
        <v/>
      </c>
      <c r="W39" s="41" t="n"/>
      <c r="X39" s="55">
        <f>AU39</f>
        <v/>
      </c>
      <c r="Y39" s="41" t="n"/>
      <c r="Z39" s="66">
        <f>AV39</f>
        <v/>
      </c>
      <c r="AA39" s="41" t="n"/>
      <c r="AB39" s="41" t="n"/>
      <c r="AC39" s="53">
        <f>AW39</f>
        <v/>
      </c>
      <c r="AD39" s="41" t="n"/>
      <c r="AE39" s="41" t="n"/>
      <c r="AF39" s="15" t="n"/>
      <c r="AI39" s="67" t="n">
        <v>16.5</v>
      </c>
      <c r="AJ39" s="67" t="n">
        <v>18</v>
      </c>
      <c r="AK39" s="68">
        <f>AJ39-AI39</f>
        <v/>
      </c>
      <c r="AL39" s="68">
        <f>(AI39+AJ39)/2</f>
        <v/>
      </c>
      <c r="AM39" s="67" t="inlineStr">
        <is>
          <t>Sand</t>
        </is>
      </c>
      <c r="AN39" s="67" t="n">
        <v>26</v>
      </c>
      <c r="AO39" s="68">
        <f>IF(AL39&gt;$AA$19,$AA$21,$AA$20)</f>
        <v/>
      </c>
      <c r="AP39" s="68">
        <f>AP38+AO39*AK39</f>
        <v/>
      </c>
      <c r="AQ39" s="68">
        <f>AP39-AO39*AK39/2-10*MAX(AL39-$AA$19,0)</f>
        <v/>
      </c>
      <c r="AR39" s="67" t="n"/>
      <c r="AS39" s="67" t="n"/>
      <c r="AT39" s="68">
        <f>IF(AR39="","",AR39-AS39)</f>
        <v/>
      </c>
      <c r="AU39" s="67" t="n">
        <v>0.556</v>
      </c>
      <c r="AV39" s="68">
        <f>IF(AM39="Sand",0,Input!$AA$31*AN39)</f>
        <v/>
      </c>
      <c r="AW39" s="68">
        <f>IF(AM39="Sand",27.1+0.3*MIN(Input!$AA$32*AN39,60)-0.00054*MIN(Input!$AA$32*AN39,60)^2,MIN(MAX(DEGREES(ASIN(0.8-0.094*LN(MAX(IF(AT39="",10,AT39),5)))),20),30))</f>
        <v/>
      </c>
      <c r="AX39" s="68">
        <f>IF(AM39="Sand",Input!$AA$33*Input!$AA$32*AN39,Input!$AA$34*AV39)</f>
        <v/>
      </c>
      <c r="AY39" s="68">
        <f>IF(AM39="Sand",Input!$AA$35,0.5)</f>
        <v/>
      </c>
      <c r="AZ39" s="68">
        <f>Input!$AA$15/2/AL39</f>
        <v/>
      </c>
      <c r="BA39" s="68">
        <f>Input!$AA$16/2/AL39</f>
        <v/>
      </c>
      <c r="BB39" s="68">
        <f>1/(4*PI())*(2*AZ39*BA39*SQRT(AZ39^2+BA39^2+1)/(AZ39^2+BA39^2+1+AZ39^2*BA39^2)*(AZ39^2+BA39^2+2)/(AZ39^2+BA39^2+1)+ATAN2(AZ39^2+BA39^2+1-AZ39^2*BA39^2,2*AZ39*BA39*SQRT(AZ39^2+BA39^2+1)))</f>
        <v/>
      </c>
      <c r="BC39" s="68">
        <f>4*Input!$AA$14*BB39</f>
        <v/>
      </c>
      <c r="BD39" s="68">
        <f>((Input!$AA$16/Input!$AA$15)*LN((1+SQRT((Input!$AA$16/Input!$AA$15)^2+1))*SQRT((Input!$AA$16/Input!$AA$15)^2+(AJ39/(Input!$AA$15/2))^2)/((Input!$AA$16/Input!$AA$15)*(1+SQRT((Input!$AA$16/Input!$AA$15)^2+(AJ39/(Input!$AA$15/2))^2+1))))+LN(((Input!$AA$16/Input!$AA$15)+SQRT((Input!$AA$16/Input!$AA$15)^2+1))*SQRT(1+(AJ39/(Input!$AA$15/2))^2)/((Input!$AA$16/Input!$AA$15)+SQRT((Input!$AA$16/Input!$AA$15)^2+(AJ39/(Input!$AA$15/2))^2+1))))/PI()</f>
        <v/>
      </c>
      <c r="BE39" s="68">
        <f>(AJ39/(Input!$AA$15/2))/(2*PI())*ATAN((Input!$AA$16/Input!$AA$15)/((AJ39/(Input!$AA$15/2))*SQRT((Input!$AA$16/Input!$AA$15)^2+(AJ39/(Input!$AA$15/2))^2+1)))</f>
        <v/>
      </c>
      <c r="BF39" s="68">
        <f>MAX(0,AJ39-MAX(AI39,$AA$22))/AK39*IF(BC39&gt;=Input!$AA$21*AQ39,1,0)</f>
        <v/>
      </c>
      <c r="BG39" s="68">
        <f>4*Input!$AA$14*(Input!$AA$15/2)*(1-AY39^2)/AX39*((BD39-BD38)+(1-2*AY39)/(1-AY39)*(BE39-BE38))*1000*BF39</f>
        <v/>
      </c>
      <c r="BH39" s="68">
        <f>IF(AM39="Sand",0,0.009*(AR39-10))</f>
        <v/>
      </c>
      <c r="BI39" s="68">
        <f>BH39*Input!$AA$36</f>
        <v/>
      </c>
      <c r="BJ39" s="68">
        <f>IF(AM39="Sand",0,MAX(AV39/Input!$AA$37,AQ39))</f>
        <v/>
      </c>
      <c r="BK39" s="68">
        <f>IF(AM39="Sand",0,1000*AK39/(1+AU39)*IF(AQ39+BC39&lt;=BJ39,BI39*LOG10((AQ39+BC39)/AQ39),BI39*LOG10(BJ39/AQ39)+BH39*LOG10((AQ39+BC39)/BJ39)))*BF39</f>
        <v/>
      </c>
      <c r="BL39" s="68">
        <f>IF(AM39="Sand",0,10^(INDEX(Input!$Q$48:$Q$54,MIN(MATCH(MIN(MAX(AR39,30),120),Input!$C$48:$C$54,1),6))+(MIN(MAX(AR39,30),120)-INDEX(Input!$C$48:$C$54,MIN(MATCH(MIN(MAX(AR39,30),120),Input!$C$48:$C$54,1),6)))/(INDEX(Input!$C$48:$C$54,MIN(MATCH(MIN(MAX(AR39,30),120),Input!$C$48:$C$54,1),6)+1)-INDEX(Input!$C$48:$C$54,MIN(MATCH(MIN(MAX(AR39,30),120),Input!$C$48:$C$54,1),6)))*(INDEX(Input!$Q$48:$Q$54,MIN(MATCH(MIN(MAX(AR39,30),120),Input!$C$48:$C$54,1),6)+1)-INDEX(Input!$Q$48:$Q$54,MIN(MATCH(MIN(MAX(AR39,30),120),Input!$C$48:$C$54,1),6)))))</f>
        <v/>
      </c>
      <c r="BM39" s="68">
        <f>IF(OR(AM39="Sand",BF39=0),0,Input!$AA$38*(AK39/2)^2/(BL39*1E-4*31536000))</f>
        <v/>
      </c>
      <c r="BN39" s="68">
        <f>MAX(0,MIN(AJ39,Input!$AA$20)-AI39)</f>
        <v/>
      </c>
      <c r="BO39" s="68">
        <f>MAX(0,MIN(AJ39,Input!$AA$20)-MAX(AI39,$AA$22))</f>
        <v/>
      </c>
      <c r="BP39" s="68">
        <f>MAX(0,MIN(AJ39,$AA$225)-AI39)</f>
        <v/>
      </c>
      <c r="BQ39" s="68" t="inlineStr"/>
    </row>
    <row r="40">
      <c r="B40" s="9" t="n"/>
      <c r="C40" s="57" t="n">
        <v>13</v>
      </c>
      <c r="D40" s="41" t="n"/>
      <c r="E40" s="55">
        <f>AI40</f>
        <v/>
      </c>
      <c r="F40" s="41" t="n"/>
      <c r="G40" s="41" t="n"/>
      <c r="H40" s="55">
        <f>AJ40</f>
        <v/>
      </c>
      <c r="I40" s="41" t="n"/>
      <c r="J40" s="41" t="n"/>
      <c r="K40" s="52">
        <f>AM40</f>
        <v/>
      </c>
      <c r="L40" s="41" t="n"/>
      <c r="M40" s="41" t="n"/>
      <c r="N40" s="57">
        <f>AN40</f>
        <v/>
      </c>
      <c r="O40" s="41" t="n"/>
      <c r="P40" s="41" t="n"/>
      <c r="Q40" s="53">
        <f>AO40</f>
        <v/>
      </c>
      <c r="R40" s="41" t="n"/>
      <c r="S40" s="41" t="n"/>
      <c r="T40" s="57">
        <f>IF(AR40="","-",AR40)</f>
        <v/>
      </c>
      <c r="U40" s="41" t="n"/>
      <c r="V40" s="57">
        <f>IF(AT40="","-",AT40)</f>
        <v/>
      </c>
      <c r="W40" s="41" t="n"/>
      <c r="X40" s="55">
        <f>AU40</f>
        <v/>
      </c>
      <c r="Y40" s="41" t="n"/>
      <c r="Z40" s="66">
        <f>AV40</f>
        <v/>
      </c>
      <c r="AA40" s="41" t="n"/>
      <c r="AB40" s="41" t="n"/>
      <c r="AC40" s="53">
        <f>AW40</f>
        <v/>
      </c>
      <c r="AD40" s="41" t="n"/>
      <c r="AE40" s="41" t="n"/>
      <c r="AF40" s="15" t="n"/>
      <c r="AI40" s="67" t="n">
        <v>18</v>
      </c>
      <c r="AJ40" s="67" t="n">
        <v>19.5</v>
      </c>
      <c r="AK40" s="68">
        <f>AJ40-AI40</f>
        <v/>
      </c>
      <c r="AL40" s="68">
        <f>(AI40+AJ40)/2</f>
        <v/>
      </c>
      <c r="AM40" s="67" t="inlineStr">
        <is>
          <t>Sand</t>
        </is>
      </c>
      <c r="AN40" s="67" t="n">
        <v>22</v>
      </c>
      <c r="AO40" s="68">
        <f>IF(AL40&gt;$AA$19,$AA$21,$AA$20)</f>
        <v/>
      </c>
      <c r="AP40" s="68">
        <f>AP39+AO40*AK40</f>
        <v/>
      </c>
      <c r="AQ40" s="68">
        <f>AP40-AO40*AK40/2-10*MAX(AL40-$AA$19,0)</f>
        <v/>
      </c>
      <c r="AR40" s="67" t="n"/>
      <c r="AS40" s="67" t="n"/>
      <c r="AT40" s="68">
        <f>IF(AR40="","",AR40-AS40)</f>
        <v/>
      </c>
      <c r="AU40" s="67" t="n">
        <v>0.351</v>
      </c>
      <c r="AV40" s="68">
        <f>IF(AM40="Sand",0,Input!$AA$31*AN40)</f>
        <v/>
      </c>
      <c r="AW40" s="68">
        <f>IF(AM40="Sand",27.1+0.3*MIN(Input!$AA$32*AN40,60)-0.00054*MIN(Input!$AA$32*AN40,60)^2,MIN(MAX(DEGREES(ASIN(0.8-0.094*LN(MAX(IF(AT40="",10,AT40),5)))),20),30))</f>
        <v/>
      </c>
      <c r="AX40" s="68">
        <f>IF(AM40="Sand",Input!$AA$33*Input!$AA$32*AN40,Input!$AA$34*AV40)</f>
        <v/>
      </c>
      <c r="AY40" s="68">
        <f>IF(AM40="Sand",Input!$AA$35,0.5)</f>
        <v/>
      </c>
      <c r="AZ40" s="68">
        <f>Input!$AA$15/2/AL40</f>
        <v/>
      </c>
      <c r="BA40" s="68">
        <f>Input!$AA$16/2/AL40</f>
        <v/>
      </c>
      <c r="BB40" s="68">
        <f>1/(4*PI())*(2*AZ40*BA40*SQRT(AZ40^2+BA40^2+1)/(AZ40^2+BA40^2+1+AZ40^2*BA40^2)*(AZ40^2+BA40^2+2)/(AZ40^2+BA40^2+1)+ATAN2(AZ40^2+BA40^2+1-AZ40^2*BA40^2,2*AZ40*BA40*SQRT(AZ40^2+BA40^2+1)))</f>
        <v/>
      </c>
      <c r="BC40" s="68">
        <f>4*Input!$AA$14*BB40</f>
        <v/>
      </c>
      <c r="BD40" s="68">
        <f>((Input!$AA$16/Input!$AA$15)*LN((1+SQRT((Input!$AA$16/Input!$AA$15)^2+1))*SQRT((Input!$AA$16/Input!$AA$15)^2+(AJ40/(Input!$AA$15/2))^2)/((Input!$AA$16/Input!$AA$15)*(1+SQRT((Input!$AA$16/Input!$AA$15)^2+(AJ40/(Input!$AA$15/2))^2+1))))+LN(((Input!$AA$16/Input!$AA$15)+SQRT((Input!$AA$16/Input!$AA$15)^2+1))*SQRT(1+(AJ40/(Input!$AA$15/2))^2)/((Input!$AA$16/Input!$AA$15)+SQRT((Input!$AA$16/Input!$AA$15)^2+(AJ40/(Input!$AA$15/2))^2+1))))/PI()</f>
        <v/>
      </c>
      <c r="BE40" s="68">
        <f>(AJ40/(Input!$AA$15/2))/(2*PI())*ATAN((Input!$AA$16/Input!$AA$15)/((AJ40/(Input!$AA$15/2))*SQRT((Input!$AA$16/Input!$AA$15)^2+(AJ40/(Input!$AA$15/2))^2+1)))</f>
        <v/>
      </c>
      <c r="BF40" s="68">
        <f>MAX(0,AJ40-MAX(AI40,$AA$22))/AK40*IF(BC40&gt;=Input!$AA$21*AQ40,1,0)</f>
        <v/>
      </c>
      <c r="BG40" s="68">
        <f>4*Input!$AA$14*(Input!$AA$15/2)*(1-AY40^2)/AX40*((BD40-BD39)+(1-2*AY40)/(1-AY40)*(BE40-BE39))*1000*BF40</f>
        <v/>
      </c>
      <c r="BH40" s="68">
        <f>IF(AM40="Sand",0,0.009*(AR40-10))</f>
        <v/>
      </c>
      <c r="BI40" s="68">
        <f>BH40*Input!$AA$36</f>
        <v/>
      </c>
      <c r="BJ40" s="68">
        <f>IF(AM40="Sand",0,MAX(AV40/Input!$AA$37,AQ40))</f>
        <v/>
      </c>
      <c r="BK40" s="68">
        <f>IF(AM40="Sand",0,1000*AK40/(1+AU40)*IF(AQ40+BC40&lt;=BJ40,BI40*LOG10((AQ40+BC40)/AQ40),BI40*LOG10(BJ40/AQ40)+BH40*LOG10((AQ40+BC40)/BJ40)))*BF40</f>
        <v/>
      </c>
      <c r="BL40" s="68">
        <f>IF(AM40="Sand",0,10^(INDEX(Input!$Q$48:$Q$54,MIN(MATCH(MIN(MAX(AR40,30),120),Input!$C$48:$C$54,1),6))+(MIN(MAX(AR40,30),120)-INDEX(Input!$C$48:$C$54,MIN(MATCH(MIN(MAX(AR40,30),120),Input!$C$48:$C$54,1),6)))/(INDEX(Input!$C$48:$C$54,MIN(MATCH(MIN(MAX(AR40,30),120),Input!$C$48:$C$54,1),6)+1)-INDEX(Input!$C$48:$C$54,MIN(MATCH(MIN(MAX(AR40,30),120),Input!$C$48:$C$54,1),6)))*(INDEX(Input!$Q$48:$Q$54,MIN(MATCH(MIN(MAX(AR40,30),120),Input!$C$48:$C$54,1),6)+1)-INDEX(Input!$Q$48:$Q$54,MIN(MATCH(MIN(MAX(AR40,30),120),Input!$C$48:$C$54,1),6)))))</f>
        <v/>
      </c>
      <c r="BM40" s="68">
        <f>IF(OR(AM40="Sand",BF40=0),0,Input!$AA$38*(AK40/2)^2/(BL40*1E-4*31536000))</f>
        <v/>
      </c>
      <c r="BN40" s="68">
        <f>MAX(0,MIN(AJ40,Input!$AA$20)-AI40)</f>
        <v/>
      </c>
      <c r="BO40" s="68">
        <f>MAX(0,MIN(AJ40,Input!$AA$20)-MAX(AI40,$AA$22))</f>
        <v/>
      </c>
      <c r="BP40" s="68">
        <f>MAX(0,MIN(AJ40,$AA$225)-AI40)</f>
        <v/>
      </c>
      <c r="BQ40" s="68" t="inlineStr"/>
    </row>
    <row r="41">
      <c r="B41" s="9" t="n"/>
      <c r="C41" s="57" t="n">
        <v>14</v>
      </c>
      <c r="D41" s="41" t="n"/>
      <c r="E41" s="55">
        <f>AI41</f>
        <v/>
      </c>
      <c r="F41" s="41" t="n"/>
      <c r="G41" s="41" t="n"/>
      <c r="H41" s="55">
        <f>AJ41</f>
        <v/>
      </c>
      <c r="I41" s="41" t="n"/>
      <c r="J41" s="41" t="n"/>
      <c r="K41" s="52">
        <f>AM41</f>
        <v/>
      </c>
      <c r="L41" s="41" t="n"/>
      <c r="M41" s="41" t="n"/>
      <c r="N41" s="57">
        <f>AN41</f>
        <v/>
      </c>
      <c r="O41" s="41" t="n"/>
      <c r="P41" s="41" t="n"/>
      <c r="Q41" s="53">
        <f>AO41</f>
        <v/>
      </c>
      <c r="R41" s="41" t="n"/>
      <c r="S41" s="41" t="n"/>
      <c r="T41" s="57">
        <f>IF(AR41="","-",AR41)</f>
        <v/>
      </c>
      <c r="U41" s="41" t="n"/>
      <c r="V41" s="57">
        <f>IF(AT41="","-",AT41)</f>
        <v/>
      </c>
      <c r="W41" s="41" t="n"/>
      <c r="X41" s="55">
        <f>AU41</f>
        <v/>
      </c>
      <c r="Y41" s="41" t="n"/>
      <c r="Z41" s="66">
        <f>AV41</f>
        <v/>
      </c>
      <c r="AA41" s="41" t="n"/>
      <c r="AB41" s="41" t="n"/>
      <c r="AC41" s="53">
        <f>AW41</f>
        <v/>
      </c>
      <c r="AD41" s="41" t="n"/>
      <c r="AE41" s="41" t="n"/>
      <c r="AF41" s="15" t="n"/>
      <c r="AI41" s="67" t="n">
        <v>19.5</v>
      </c>
      <c r="AJ41" s="67" t="n">
        <v>21</v>
      </c>
      <c r="AK41" s="68">
        <f>AJ41-AI41</f>
        <v/>
      </c>
      <c r="AL41" s="68">
        <f>(AI41+AJ41)/2</f>
        <v/>
      </c>
      <c r="AM41" s="67" t="inlineStr">
        <is>
          <t>Sand</t>
        </is>
      </c>
      <c r="AN41" s="67" t="n">
        <v>24</v>
      </c>
      <c r="AO41" s="68">
        <f>IF(AL41&gt;$AA$19,$AA$21,$AA$20)</f>
        <v/>
      </c>
      <c r="AP41" s="68">
        <f>AP40+AO41*AK41</f>
        <v/>
      </c>
      <c r="AQ41" s="68">
        <f>AP41-AO41*AK41/2-10*MAX(AL41-$AA$19,0)</f>
        <v/>
      </c>
      <c r="AR41" s="67" t="n"/>
      <c r="AS41" s="67" t="n"/>
      <c r="AT41" s="68">
        <f>IF(AR41="","",AR41-AS41)</f>
        <v/>
      </c>
      <c r="AU41" s="67" t="n">
        <v>0.786</v>
      </c>
      <c r="AV41" s="68">
        <f>IF(AM41="Sand",0,Input!$AA$31*AN41)</f>
        <v/>
      </c>
      <c r="AW41" s="68">
        <f>IF(AM41="Sand",27.1+0.3*MIN(Input!$AA$32*AN41,60)-0.00054*MIN(Input!$AA$32*AN41,60)^2,MIN(MAX(DEGREES(ASIN(0.8-0.094*LN(MAX(IF(AT41="",10,AT41),5)))),20),30))</f>
        <v/>
      </c>
      <c r="AX41" s="68">
        <f>IF(AM41="Sand",Input!$AA$33*Input!$AA$32*AN41,Input!$AA$34*AV41)</f>
        <v/>
      </c>
      <c r="AY41" s="68">
        <f>IF(AM41="Sand",Input!$AA$35,0.5)</f>
        <v/>
      </c>
      <c r="AZ41" s="68">
        <f>Input!$AA$15/2/AL41</f>
        <v/>
      </c>
      <c r="BA41" s="68">
        <f>Input!$AA$16/2/AL41</f>
        <v/>
      </c>
      <c r="BB41" s="68">
        <f>1/(4*PI())*(2*AZ41*BA41*SQRT(AZ41^2+BA41^2+1)/(AZ41^2+BA41^2+1+AZ41^2*BA41^2)*(AZ41^2+BA41^2+2)/(AZ41^2+BA41^2+1)+ATAN2(AZ41^2+BA41^2+1-AZ41^2*BA41^2,2*AZ41*BA41*SQRT(AZ41^2+BA41^2+1)))</f>
        <v/>
      </c>
      <c r="BC41" s="68">
        <f>4*Input!$AA$14*BB41</f>
        <v/>
      </c>
      <c r="BD41" s="68">
        <f>((Input!$AA$16/Input!$AA$15)*LN((1+SQRT((Input!$AA$16/Input!$AA$15)^2+1))*SQRT((Input!$AA$16/Input!$AA$15)^2+(AJ41/(Input!$AA$15/2))^2)/((Input!$AA$16/Input!$AA$15)*(1+SQRT((Input!$AA$16/Input!$AA$15)^2+(AJ41/(Input!$AA$15/2))^2+1))))+LN(((Input!$AA$16/Input!$AA$15)+SQRT((Input!$AA$16/Input!$AA$15)^2+1))*SQRT(1+(AJ41/(Input!$AA$15/2))^2)/((Input!$AA$16/Input!$AA$15)+SQRT((Input!$AA$16/Input!$AA$15)^2+(AJ41/(Input!$AA$15/2))^2+1))))/PI()</f>
        <v/>
      </c>
      <c r="BE41" s="68">
        <f>(AJ41/(Input!$AA$15/2))/(2*PI())*ATAN((Input!$AA$16/Input!$AA$15)/((AJ41/(Input!$AA$15/2))*SQRT((Input!$AA$16/Input!$AA$15)^2+(AJ41/(Input!$AA$15/2))^2+1)))</f>
        <v/>
      </c>
      <c r="BF41" s="68">
        <f>MAX(0,AJ41-MAX(AI41,$AA$22))/AK41*IF(BC41&gt;=Input!$AA$21*AQ41,1,0)</f>
        <v/>
      </c>
      <c r="BG41" s="68">
        <f>4*Input!$AA$14*(Input!$AA$15/2)*(1-AY41^2)/AX41*((BD41-BD40)+(1-2*AY41)/(1-AY41)*(BE41-BE40))*1000*BF41</f>
        <v/>
      </c>
      <c r="BH41" s="68">
        <f>IF(AM41="Sand",0,0.009*(AR41-10))</f>
        <v/>
      </c>
      <c r="BI41" s="68">
        <f>BH41*Input!$AA$36</f>
        <v/>
      </c>
      <c r="BJ41" s="68">
        <f>IF(AM41="Sand",0,MAX(AV41/Input!$AA$37,AQ41))</f>
        <v/>
      </c>
      <c r="BK41" s="68">
        <f>IF(AM41="Sand",0,1000*AK41/(1+AU41)*IF(AQ41+BC41&lt;=BJ41,BI41*LOG10((AQ41+BC41)/AQ41),BI41*LOG10(BJ41/AQ41)+BH41*LOG10((AQ41+BC41)/BJ41)))*BF41</f>
        <v/>
      </c>
      <c r="BL41" s="68">
        <f>IF(AM41="Sand",0,10^(INDEX(Input!$Q$48:$Q$54,MIN(MATCH(MIN(MAX(AR41,30),120),Input!$C$48:$C$54,1),6))+(MIN(MAX(AR41,30),120)-INDEX(Input!$C$48:$C$54,MIN(MATCH(MIN(MAX(AR41,30),120),Input!$C$48:$C$54,1),6)))/(INDEX(Input!$C$48:$C$54,MIN(MATCH(MIN(MAX(AR41,30),120),Input!$C$48:$C$54,1),6)+1)-INDEX(Input!$C$48:$C$54,MIN(MATCH(MIN(MAX(AR41,30),120),Input!$C$48:$C$54,1),6)))*(INDEX(Input!$Q$48:$Q$54,MIN(MATCH(MIN(MAX(AR41,30),120),Input!$C$48:$C$54,1),6)+1)-INDEX(Input!$Q$48:$Q$54,MIN(MATCH(MIN(MAX(AR41,30),120),Input!$C$48:$C$54,1),6)))))</f>
        <v/>
      </c>
      <c r="BM41" s="68">
        <f>IF(OR(AM41="Sand",BF41=0),0,Input!$AA$38*(AK41/2)^2/(BL41*1E-4*31536000))</f>
        <v/>
      </c>
      <c r="BN41" s="68">
        <f>MAX(0,MIN(AJ41,Input!$AA$20)-AI41)</f>
        <v/>
      </c>
      <c r="BO41" s="68">
        <f>MAX(0,MIN(AJ41,Input!$AA$20)-MAX(AI41,$AA$22))</f>
        <v/>
      </c>
      <c r="BP41" s="68">
        <f>MAX(0,MIN(AJ41,$AA$225)-AI41)</f>
        <v/>
      </c>
      <c r="BQ41" s="68" t="inlineStr"/>
    </row>
    <row r="42">
      <c r="B42" s="9" t="n"/>
      <c r="C42" s="57" t="n">
        <v>15</v>
      </c>
      <c r="D42" s="41" t="n"/>
      <c r="E42" s="55">
        <f>AI42</f>
        <v/>
      </c>
      <c r="F42" s="41" t="n"/>
      <c r="G42" s="41" t="n"/>
      <c r="H42" s="55">
        <f>AJ42</f>
        <v/>
      </c>
      <c r="I42" s="41" t="n"/>
      <c r="J42" s="41" t="n"/>
      <c r="K42" s="52">
        <f>AM42</f>
        <v/>
      </c>
      <c r="L42" s="41" t="n"/>
      <c r="M42" s="41" t="n"/>
      <c r="N42" s="57">
        <f>AN42</f>
        <v/>
      </c>
      <c r="O42" s="41" t="n"/>
      <c r="P42" s="41" t="n"/>
      <c r="Q42" s="53">
        <f>AO42</f>
        <v/>
      </c>
      <c r="R42" s="41" t="n"/>
      <c r="S42" s="41" t="n"/>
      <c r="T42" s="57">
        <f>IF(AR42="","-",AR42)</f>
        <v/>
      </c>
      <c r="U42" s="41" t="n"/>
      <c r="V42" s="57">
        <f>IF(AT42="","-",AT42)</f>
        <v/>
      </c>
      <c r="W42" s="41" t="n"/>
      <c r="X42" s="55">
        <f>AU42</f>
        <v/>
      </c>
      <c r="Y42" s="41" t="n"/>
      <c r="Z42" s="66">
        <f>AV42</f>
        <v/>
      </c>
      <c r="AA42" s="41" t="n"/>
      <c r="AB42" s="41" t="n"/>
      <c r="AC42" s="53">
        <f>AW42</f>
        <v/>
      </c>
      <c r="AD42" s="41" t="n"/>
      <c r="AE42" s="41" t="n"/>
      <c r="AF42" s="15" t="n"/>
      <c r="AI42" s="67" t="n">
        <v>21</v>
      </c>
      <c r="AJ42" s="67" t="n">
        <v>22.5</v>
      </c>
      <c r="AK42" s="68">
        <f>AJ42-AI42</f>
        <v/>
      </c>
      <c r="AL42" s="68">
        <f>(AI42+AJ42)/2</f>
        <v/>
      </c>
      <c r="AM42" s="67" t="inlineStr">
        <is>
          <t>Clay</t>
        </is>
      </c>
      <c r="AN42" s="67" t="n">
        <v>38</v>
      </c>
      <c r="AO42" s="68">
        <f>IF(AL42&gt;$AA$19,$AA$21,$AA$20)</f>
        <v/>
      </c>
      <c r="AP42" s="68">
        <f>AP41+AO42*AK42</f>
        <v/>
      </c>
      <c r="AQ42" s="68">
        <f>AP42-AO42*AK42/2-10*MAX(AL42-$AA$19,0)</f>
        <v/>
      </c>
      <c r="AR42" s="67" t="n">
        <v>32.8</v>
      </c>
      <c r="AS42" s="67" t="n">
        <v>20.032</v>
      </c>
      <c r="AT42" s="68">
        <f>IF(AR42="","",AR42-AS42)</f>
        <v/>
      </c>
      <c r="AU42" s="67" t="n">
        <v>0.801</v>
      </c>
      <c r="AV42" s="68">
        <f>IF(AM42="Sand",0,Input!$AA$31*AN42)</f>
        <v/>
      </c>
      <c r="AW42" s="68">
        <f>IF(AM42="Sand",27.1+0.3*MIN(Input!$AA$32*AN42,60)-0.00054*MIN(Input!$AA$32*AN42,60)^2,MIN(MAX(DEGREES(ASIN(0.8-0.094*LN(MAX(IF(AT42="",10,AT42),5)))),20),30))</f>
        <v/>
      </c>
      <c r="AX42" s="68">
        <f>IF(AM42="Sand",Input!$AA$33*Input!$AA$32*AN42,Input!$AA$34*AV42)</f>
        <v/>
      </c>
      <c r="AY42" s="68">
        <f>IF(AM42="Sand",Input!$AA$35,0.5)</f>
        <v/>
      </c>
      <c r="AZ42" s="68">
        <f>Input!$AA$15/2/AL42</f>
        <v/>
      </c>
      <c r="BA42" s="68">
        <f>Input!$AA$16/2/AL42</f>
        <v/>
      </c>
      <c r="BB42" s="68">
        <f>1/(4*PI())*(2*AZ42*BA42*SQRT(AZ42^2+BA42^2+1)/(AZ42^2+BA42^2+1+AZ42^2*BA42^2)*(AZ42^2+BA42^2+2)/(AZ42^2+BA42^2+1)+ATAN2(AZ42^2+BA42^2+1-AZ42^2*BA42^2,2*AZ42*BA42*SQRT(AZ42^2+BA42^2+1)))</f>
        <v/>
      </c>
      <c r="BC42" s="68">
        <f>4*Input!$AA$14*BB42</f>
        <v/>
      </c>
      <c r="BD42" s="68">
        <f>((Input!$AA$16/Input!$AA$15)*LN((1+SQRT((Input!$AA$16/Input!$AA$15)^2+1))*SQRT((Input!$AA$16/Input!$AA$15)^2+(AJ42/(Input!$AA$15/2))^2)/((Input!$AA$16/Input!$AA$15)*(1+SQRT((Input!$AA$16/Input!$AA$15)^2+(AJ42/(Input!$AA$15/2))^2+1))))+LN(((Input!$AA$16/Input!$AA$15)+SQRT((Input!$AA$16/Input!$AA$15)^2+1))*SQRT(1+(AJ42/(Input!$AA$15/2))^2)/((Input!$AA$16/Input!$AA$15)+SQRT((Input!$AA$16/Input!$AA$15)^2+(AJ42/(Input!$AA$15/2))^2+1))))/PI()</f>
        <v/>
      </c>
      <c r="BE42" s="68">
        <f>(AJ42/(Input!$AA$15/2))/(2*PI())*ATAN((Input!$AA$16/Input!$AA$15)/((AJ42/(Input!$AA$15/2))*SQRT((Input!$AA$16/Input!$AA$15)^2+(AJ42/(Input!$AA$15/2))^2+1)))</f>
        <v/>
      </c>
      <c r="BF42" s="68">
        <f>MAX(0,AJ42-MAX(AI42,$AA$22))/AK42*IF(BC42&gt;=Input!$AA$21*AQ42,1,0)</f>
        <v/>
      </c>
      <c r="BG42" s="68">
        <f>4*Input!$AA$14*(Input!$AA$15/2)*(1-AY42^2)/AX42*((BD42-BD41)+(1-2*AY42)/(1-AY42)*(BE42-BE41))*1000*BF42</f>
        <v/>
      </c>
      <c r="BH42" s="68">
        <f>IF(AM42="Sand",0,0.009*(AR42-10))</f>
        <v/>
      </c>
      <c r="BI42" s="68">
        <f>BH42*Input!$AA$36</f>
        <v/>
      </c>
      <c r="BJ42" s="68">
        <f>IF(AM42="Sand",0,MAX(AV42/Input!$AA$37,AQ42))</f>
        <v/>
      </c>
      <c r="BK42" s="68">
        <f>IF(AM42="Sand",0,1000*AK42/(1+AU42)*IF(AQ42+BC42&lt;=BJ42,BI42*LOG10((AQ42+BC42)/AQ42),BI42*LOG10(BJ42/AQ42)+BH42*LOG10((AQ42+BC42)/BJ42)))*BF42</f>
        <v/>
      </c>
      <c r="BL42" s="68">
        <f>IF(AM42="Sand",0,10^(INDEX(Input!$Q$48:$Q$54,MIN(MATCH(MIN(MAX(AR42,30),120),Input!$C$48:$C$54,1),6))+(MIN(MAX(AR42,30),120)-INDEX(Input!$C$48:$C$54,MIN(MATCH(MIN(MAX(AR42,30),120),Input!$C$48:$C$54,1),6)))/(INDEX(Input!$C$48:$C$54,MIN(MATCH(MIN(MAX(AR42,30),120),Input!$C$48:$C$54,1),6)+1)-INDEX(Input!$C$48:$C$54,MIN(MATCH(MIN(MAX(AR42,30),120),Input!$C$48:$C$54,1),6)))*(INDEX(Input!$Q$48:$Q$54,MIN(MATCH(MIN(MAX(AR42,30),120),Input!$C$48:$C$54,1),6)+1)-INDEX(Input!$Q$48:$Q$54,MIN(MATCH(MIN(MAX(AR42,30),120),Input!$C$48:$C$54,1),6)))))</f>
        <v/>
      </c>
      <c r="BM42" s="68">
        <f>IF(OR(AM42="Sand",BF42=0),0,Input!$AA$38*(AK42/2)^2/(BL42*1E-4*31536000))</f>
        <v/>
      </c>
      <c r="BN42" s="68">
        <f>MAX(0,MIN(AJ42,Input!$AA$20)-AI42)</f>
        <v/>
      </c>
      <c r="BO42" s="68">
        <f>MAX(0,MIN(AJ42,Input!$AA$20)-MAX(AI42,$AA$22))</f>
        <v/>
      </c>
      <c r="BP42" s="68">
        <f>MAX(0,MIN(AJ42,$AA$225)-AI42)</f>
        <v/>
      </c>
      <c r="BQ42" s="68" t="inlineStr">
        <is>
          <t>LL/PL/e0 = borehole average</t>
        </is>
      </c>
    </row>
    <row r="43">
      <c r="B43" s="9" t="n"/>
      <c r="C43" s="57" t="n">
        <v>16</v>
      </c>
      <c r="D43" s="41" t="n"/>
      <c r="E43" s="55">
        <f>AI43</f>
        <v/>
      </c>
      <c r="F43" s="41" t="n"/>
      <c r="G43" s="41" t="n"/>
      <c r="H43" s="55">
        <f>AJ43</f>
        <v/>
      </c>
      <c r="I43" s="41" t="n"/>
      <c r="J43" s="41" t="n"/>
      <c r="K43" s="52">
        <f>AM43</f>
        <v/>
      </c>
      <c r="L43" s="41" t="n"/>
      <c r="M43" s="41" t="n"/>
      <c r="N43" s="57">
        <f>AN43</f>
        <v/>
      </c>
      <c r="O43" s="41" t="n"/>
      <c r="P43" s="41" t="n"/>
      <c r="Q43" s="53">
        <f>AO43</f>
        <v/>
      </c>
      <c r="R43" s="41" t="n"/>
      <c r="S43" s="41" t="n"/>
      <c r="T43" s="57">
        <f>IF(AR43="","-",AR43)</f>
        <v/>
      </c>
      <c r="U43" s="41" t="n"/>
      <c r="V43" s="57">
        <f>IF(AT43="","-",AT43)</f>
        <v/>
      </c>
      <c r="W43" s="41" t="n"/>
      <c r="X43" s="55">
        <f>AU43</f>
        <v/>
      </c>
      <c r="Y43" s="41" t="n"/>
      <c r="Z43" s="66">
        <f>AV43</f>
        <v/>
      </c>
      <c r="AA43" s="41" t="n"/>
      <c r="AB43" s="41" t="n"/>
      <c r="AC43" s="53">
        <f>AW43</f>
        <v/>
      </c>
      <c r="AD43" s="41" t="n"/>
      <c r="AE43" s="41" t="n"/>
      <c r="AF43" s="15" t="n"/>
      <c r="AI43" s="67" t="n">
        <v>22.5</v>
      </c>
      <c r="AJ43" s="67" t="n">
        <v>24</v>
      </c>
      <c r="AK43" s="68">
        <f>AJ43-AI43</f>
        <v/>
      </c>
      <c r="AL43" s="68">
        <f>(AI43+AJ43)/2</f>
        <v/>
      </c>
      <c r="AM43" s="67" t="inlineStr">
        <is>
          <t>Sand</t>
        </is>
      </c>
      <c r="AN43" s="67" t="n">
        <v>24</v>
      </c>
      <c r="AO43" s="68">
        <f>IF(AL43&gt;$AA$19,$AA$21,$AA$20)</f>
        <v/>
      </c>
      <c r="AP43" s="68">
        <f>AP42+AO43*AK43</f>
        <v/>
      </c>
      <c r="AQ43" s="68">
        <f>AP43-AO43*AK43/2-10*MAX(AL43-$AA$19,0)</f>
        <v/>
      </c>
      <c r="AR43" s="67" t="n"/>
      <c r="AS43" s="67" t="n"/>
      <c r="AT43" s="68">
        <f>IF(AR43="","",AR43-AS43)</f>
        <v/>
      </c>
      <c r="AU43" s="67" t="n">
        <v>0.767</v>
      </c>
      <c r="AV43" s="68">
        <f>IF(AM43="Sand",0,Input!$AA$31*AN43)</f>
        <v/>
      </c>
      <c r="AW43" s="68">
        <f>IF(AM43="Sand",27.1+0.3*MIN(Input!$AA$32*AN43,60)-0.00054*MIN(Input!$AA$32*AN43,60)^2,MIN(MAX(DEGREES(ASIN(0.8-0.094*LN(MAX(IF(AT43="",10,AT43),5)))),20),30))</f>
        <v/>
      </c>
      <c r="AX43" s="68">
        <f>IF(AM43="Sand",Input!$AA$33*Input!$AA$32*AN43,Input!$AA$34*AV43)</f>
        <v/>
      </c>
      <c r="AY43" s="68">
        <f>IF(AM43="Sand",Input!$AA$35,0.5)</f>
        <v/>
      </c>
      <c r="AZ43" s="68">
        <f>Input!$AA$15/2/AL43</f>
        <v/>
      </c>
      <c r="BA43" s="68">
        <f>Input!$AA$16/2/AL43</f>
        <v/>
      </c>
      <c r="BB43" s="68">
        <f>1/(4*PI())*(2*AZ43*BA43*SQRT(AZ43^2+BA43^2+1)/(AZ43^2+BA43^2+1+AZ43^2*BA43^2)*(AZ43^2+BA43^2+2)/(AZ43^2+BA43^2+1)+ATAN2(AZ43^2+BA43^2+1-AZ43^2*BA43^2,2*AZ43*BA43*SQRT(AZ43^2+BA43^2+1)))</f>
        <v/>
      </c>
      <c r="BC43" s="68">
        <f>4*Input!$AA$14*BB43</f>
        <v/>
      </c>
      <c r="BD43" s="68">
        <f>((Input!$AA$16/Input!$AA$15)*LN((1+SQRT((Input!$AA$16/Input!$AA$15)^2+1))*SQRT((Input!$AA$16/Input!$AA$15)^2+(AJ43/(Input!$AA$15/2))^2)/((Input!$AA$16/Input!$AA$15)*(1+SQRT((Input!$AA$16/Input!$AA$15)^2+(AJ43/(Input!$AA$15/2))^2+1))))+LN(((Input!$AA$16/Input!$AA$15)+SQRT((Input!$AA$16/Input!$AA$15)^2+1))*SQRT(1+(AJ43/(Input!$AA$15/2))^2)/((Input!$AA$16/Input!$AA$15)+SQRT((Input!$AA$16/Input!$AA$15)^2+(AJ43/(Input!$AA$15/2))^2+1))))/PI()</f>
        <v/>
      </c>
      <c r="BE43" s="68">
        <f>(AJ43/(Input!$AA$15/2))/(2*PI())*ATAN((Input!$AA$16/Input!$AA$15)/((AJ43/(Input!$AA$15/2))*SQRT((Input!$AA$16/Input!$AA$15)^2+(AJ43/(Input!$AA$15/2))^2+1)))</f>
        <v/>
      </c>
      <c r="BF43" s="68">
        <f>MAX(0,AJ43-MAX(AI43,$AA$22))/AK43*IF(BC43&gt;=Input!$AA$21*AQ43,1,0)</f>
        <v/>
      </c>
      <c r="BG43" s="68">
        <f>4*Input!$AA$14*(Input!$AA$15/2)*(1-AY43^2)/AX43*((BD43-BD42)+(1-2*AY43)/(1-AY43)*(BE43-BE42))*1000*BF43</f>
        <v/>
      </c>
      <c r="BH43" s="68">
        <f>IF(AM43="Sand",0,0.009*(AR43-10))</f>
        <v/>
      </c>
      <c r="BI43" s="68">
        <f>BH43*Input!$AA$36</f>
        <v/>
      </c>
      <c r="BJ43" s="68">
        <f>IF(AM43="Sand",0,MAX(AV43/Input!$AA$37,AQ43))</f>
        <v/>
      </c>
      <c r="BK43" s="68">
        <f>IF(AM43="Sand",0,1000*AK43/(1+AU43)*IF(AQ43+BC43&lt;=BJ43,BI43*LOG10((AQ43+BC43)/AQ43),BI43*LOG10(BJ43/AQ43)+BH43*LOG10((AQ43+BC43)/BJ43)))*BF43</f>
        <v/>
      </c>
      <c r="BL43" s="68">
        <f>IF(AM43="Sand",0,10^(INDEX(Input!$Q$48:$Q$54,MIN(MATCH(MIN(MAX(AR43,30),120),Input!$C$48:$C$54,1),6))+(MIN(MAX(AR43,30),120)-INDEX(Input!$C$48:$C$54,MIN(MATCH(MIN(MAX(AR43,30),120),Input!$C$48:$C$54,1),6)))/(INDEX(Input!$C$48:$C$54,MIN(MATCH(MIN(MAX(AR43,30),120),Input!$C$48:$C$54,1),6)+1)-INDEX(Input!$C$48:$C$54,MIN(MATCH(MIN(MAX(AR43,30),120),Input!$C$48:$C$54,1),6)))*(INDEX(Input!$Q$48:$Q$54,MIN(MATCH(MIN(MAX(AR43,30),120),Input!$C$48:$C$54,1),6)+1)-INDEX(Input!$Q$48:$Q$54,MIN(MATCH(MIN(MAX(AR43,30),120),Input!$C$48:$C$54,1),6)))))</f>
        <v/>
      </c>
      <c r="BM43" s="68">
        <f>IF(OR(AM43="Sand",BF43=0),0,Input!$AA$38*(AK43/2)^2/(BL43*1E-4*31536000))</f>
        <v/>
      </c>
      <c r="BN43" s="68">
        <f>MAX(0,MIN(AJ43,Input!$AA$20)-AI43)</f>
        <v/>
      </c>
      <c r="BO43" s="68">
        <f>MAX(0,MIN(AJ43,Input!$AA$20)-MAX(AI43,$AA$22))</f>
        <v/>
      </c>
      <c r="BP43" s="68">
        <f>MAX(0,MIN(AJ43,$AA$225)-AI43)</f>
        <v/>
      </c>
      <c r="BQ43" s="68" t="inlineStr">
        <is>
          <t>data copied from BH-02</t>
        </is>
      </c>
    </row>
    <row r="44">
      <c r="B44" s="9" t="n"/>
      <c r="C44" s="57" t="n">
        <v>17</v>
      </c>
      <c r="D44" s="41" t="n"/>
      <c r="E44" s="55">
        <f>AI44</f>
        <v/>
      </c>
      <c r="F44" s="41" t="n"/>
      <c r="G44" s="41" t="n"/>
      <c r="H44" s="55">
        <f>AJ44</f>
        <v/>
      </c>
      <c r="I44" s="41" t="n"/>
      <c r="J44" s="41" t="n"/>
      <c r="K44" s="52">
        <f>AM44</f>
        <v/>
      </c>
      <c r="L44" s="41" t="n"/>
      <c r="M44" s="41" t="n"/>
      <c r="N44" s="57">
        <f>AN44</f>
        <v/>
      </c>
      <c r="O44" s="41" t="n"/>
      <c r="P44" s="41" t="n"/>
      <c r="Q44" s="53">
        <f>AO44</f>
        <v/>
      </c>
      <c r="R44" s="41" t="n"/>
      <c r="S44" s="41" t="n"/>
      <c r="T44" s="57">
        <f>IF(AR44="","-",AR44)</f>
        <v/>
      </c>
      <c r="U44" s="41" t="n"/>
      <c r="V44" s="57">
        <f>IF(AT44="","-",AT44)</f>
        <v/>
      </c>
      <c r="W44" s="41" t="n"/>
      <c r="X44" s="55">
        <f>AU44</f>
        <v/>
      </c>
      <c r="Y44" s="41" t="n"/>
      <c r="Z44" s="66">
        <f>AV44</f>
        <v/>
      </c>
      <c r="AA44" s="41" t="n"/>
      <c r="AB44" s="41" t="n"/>
      <c r="AC44" s="53">
        <f>AW44</f>
        <v/>
      </c>
      <c r="AD44" s="41" t="n"/>
      <c r="AE44" s="41" t="n"/>
      <c r="AF44" s="15" t="n"/>
      <c r="AI44" s="67" t="n">
        <v>24</v>
      </c>
      <c r="AJ44" s="67" t="n">
        <v>25.5</v>
      </c>
      <c r="AK44" s="68">
        <f>AJ44-AI44</f>
        <v/>
      </c>
      <c r="AL44" s="68">
        <f>(AI44+AJ44)/2</f>
        <v/>
      </c>
      <c r="AM44" s="67" t="inlineStr">
        <is>
          <t>Sand</t>
        </is>
      </c>
      <c r="AN44" s="67" t="n">
        <v>44</v>
      </c>
      <c r="AO44" s="68">
        <f>IF(AL44&gt;$AA$19,$AA$21,$AA$20)</f>
        <v/>
      </c>
      <c r="AP44" s="68">
        <f>AP43+AO44*AK44</f>
        <v/>
      </c>
      <c r="AQ44" s="68">
        <f>AP44-AO44*AK44/2-10*MAX(AL44-$AA$19,0)</f>
        <v/>
      </c>
      <c r="AR44" s="67" t="n"/>
      <c r="AS44" s="67" t="n"/>
      <c r="AT44" s="68">
        <f>IF(AR44="","",AR44-AS44)</f>
        <v/>
      </c>
      <c r="AU44" s="67" t="n">
        <v>0.65</v>
      </c>
      <c r="AV44" s="68">
        <f>IF(AM44="Sand",0,Input!$AA$31*AN44)</f>
        <v/>
      </c>
      <c r="AW44" s="68">
        <f>IF(AM44="Sand",27.1+0.3*MIN(Input!$AA$32*AN44,60)-0.00054*MIN(Input!$AA$32*AN44,60)^2,MIN(MAX(DEGREES(ASIN(0.8-0.094*LN(MAX(IF(AT44="",10,AT44),5)))),20),30))</f>
        <v/>
      </c>
      <c r="AX44" s="68">
        <f>IF(AM44="Sand",Input!$AA$33*Input!$AA$32*AN44,Input!$AA$34*AV44)</f>
        <v/>
      </c>
      <c r="AY44" s="68">
        <f>IF(AM44="Sand",Input!$AA$35,0.5)</f>
        <v/>
      </c>
      <c r="AZ44" s="68">
        <f>Input!$AA$15/2/AL44</f>
        <v/>
      </c>
      <c r="BA44" s="68">
        <f>Input!$AA$16/2/AL44</f>
        <v/>
      </c>
      <c r="BB44" s="68">
        <f>1/(4*PI())*(2*AZ44*BA44*SQRT(AZ44^2+BA44^2+1)/(AZ44^2+BA44^2+1+AZ44^2*BA44^2)*(AZ44^2+BA44^2+2)/(AZ44^2+BA44^2+1)+ATAN2(AZ44^2+BA44^2+1-AZ44^2*BA44^2,2*AZ44*BA44*SQRT(AZ44^2+BA44^2+1)))</f>
        <v/>
      </c>
      <c r="BC44" s="68">
        <f>4*Input!$AA$14*BB44</f>
        <v/>
      </c>
      <c r="BD44" s="68">
        <f>((Input!$AA$16/Input!$AA$15)*LN((1+SQRT((Input!$AA$16/Input!$AA$15)^2+1))*SQRT((Input!$AA$16/Input!$AA$15)^2+(AJ44/(Input!$AA$15/2))^2)/((Input!$AA$16/Input!$AA$15)*(1+SQRT((Input!$AA$16/Input!$AA$15)^2+(AJ44/(Input!$AA$15/2))^2+1))))+LN(((Input!$AA$16/Input!$AA$15)+SQRT((Input!$AA$16/Input!$AA$15)^2+1))*SQRT(1+(AJ44/(Input!$AA$15/2))^2)/((Input!$AA$16/Input!$AA$15)+SQRT((Input!$AA$16/Input!$AA$15)^2+(AJ44/(Input!$AA$15/2))^2+1))))/PI()</f>
        <v/>
      </c>
      <c r="BE44" s="68">
        <f>(AJ44/(Input!$AA$15/2))/(2*PI())*ATAN((Input!$AA$16/Input!$AA$15)/((AJ44/(Input!$AA$15/2))*SQRT((Input!$AA$16/Input!$AA$15)^2+(AJ44/(Input!$AA$15/2))^2+1)))</f>
        <v/>
      </c>
      <c r="BF44" s="68">
        <f>MAX(0,AJ44-MAX(AI44,$AA$22))/AK44*IF(BC44&gt;=Input!$AA$21*AQ44,1,0)</f>
        <v/>
      </c>
      <c r="BG44" s="68">
        <f>4*Input!$AA$14*(Input!$AA$15/2)*(1-AY44^2)/AX44*((BD44-BD43)+(1-2*AY44)/(1-AY44)*(BE44-BE43))*1000*BF44</f>
        <v/>
      </c>
      <c r="BH44" s="68">
        <f>IF(AM44="Sand",0,0.009*(AR44-10))</f>
        <v/>
      </c>
      <c r="BI44" s="68">
        <f>BH44*Input!$AA$36</f>
        <v/>
      </c>
      <c r="BJ44" s="68">
        <f>IF(AM44="Sand",0,MAX(AV44/Input!$AA$37,AQ44))</f>
        <v/>
      </c>
      <c r="BK44" s="68">
        <f>IF(AM44="Sand",0,1000*AK44/(1+AU44)*IF(AQ44+BC44&lt;=BJ44,BI44*LOG10((AQ44+BC44)/AQ44),BI44*LOG10(BJ44/AQ44)+BH44*LOG10((AQ44+BC44)/BJ44)))*BF44</f>
        <v/>
      </c>
      <c r="BL44" s="68">
        <f>IF(AM44="Sand",0,10^(INDEX(Input!$Q$48:$Q$54,MIN(MATCH(MIN(MAX(AR44,30),120),Input!$C$48:$C$54,1),6))+(MIN(MAX(AR44,30),120)-INDEX(Input!$C$48:$C$54,MIN(MATCH(MIN(MAX(AR44,30),120),Input!$C$48:$C$54,1),6)))/(INDEX(Input!$C$48:$C$54,MIN(MATCH(MIN(MAX(AR44,30),120),Input!$C$48:$C$54,1),6)+1)-INDEX(Input!$C$48:$C$54,MIN(MATCH(MIN(MAX(AR44,30),120),Input!$C$48:$C$54,1),6)))*(INDEX(Input!$Q$48:$Q$54,MIN(MATCH(MIN(MAX(AR44,30),120),Input!$C$48:$C$54,1),6)+1)-INDEX(Input!$Q$48:$Q$54,MIN(MATCH(MIN(MAX(AR44,30),120),Input!$C$48:$C$54,1),6)))))</f>
        <v/>
      </c>
      <c r="BM44" s="68">
        <f>IF(OR(AM44="Sand",BF44=0),0,Input!$AA$38*(AK44/2)^2/(BL44*1E-4*31536000))</f>
        <v/>
      </c>
      <c r="BN44" s="68">
        <f>MAX(0,MIN(AJ44,Input!$AA$20)-AI44)</f>
        <v/>
      </c>
      <c r="BO44" s="68">
        <f>MAX(0,MIN(AJ44,Input!$AA$20)-MAX(AI44,$AA$22))</f>
        <v/>
      </c>
      <c r="BP44" s="68">
        <f>MAX(0,MIN(AJ44,$AA$225)-AI44)</f>
        <v/>
      </c>
      <c r="BQ44" s="68" t="inlineStr">
        <is>
          <t>data copied from BH-02</t>
        </is>
      </c>
    </row>
    <row r="45">
      <c r="B45" s="9" t="n"/>
      <c r="C45" s="57" t="n">
        <v>18</v>
      </c>
      <c r="D45" s="41" t="n"/>
      <c r="E45" s="55">
        <f>AI45</f>
        <v/>
      </c>
      <c r="F45" s="41" t="n"/>
      <c r="G45" s="41" t="n"/>
      <c r="H45" s="55">
        <f>AJ45</f>
        <v/>
      </c>
      <c r="I45" s="41" t="n"/>
      <c r="J45" s="41" t="n"/>
      <c r="K45" s="52">
        <f>AM45</f>
        <v/>
      </c>
      <c r="L45" s="41" t="n"/>
      <c r="M45" s="41" t="n"/>
      <c r="N45" s="57">
        <f>AN45</f>
        <v/>
      </c>
      <c r="O45" s="41" t="n"/>
      <c r="P45" s="41" t="n"/>
      <c r="Q45" s="53">
        <f>AO45</f>
        <v/>
      </c>
      <c r="R45" s="41" t="n"/>
      <c r="S45" s="41" t="n"/>
      <c r="T45" s="57">
        <f>IF(AR45="","-",AR45)</f>
        <v/>
      </c>
      <c r="U45" s="41" t="n"/>
      <c r="V45" s="57">
        <f>IF(AT45="","-",AT45)</f>
        <v/>
      </c>
      <c r="W45" s="41" t="n"/>
      <c r="X45" s="55">
        <f>AU45</f>
        <v/>
      </c>
      <c r="Y45" s="41" t="n"/>
      <c r="Z45" s="66">
        <f>AV45</f>
        <v/>
      </c>
      <c r="AA45" s="41" t="n"/>
      <c r="AB45" s="41" t="n"/>
      <c r="AC45" s="53">
        <f>AW45</f>
        <v/>
      </c>
      <c r="AD45" s="41" t="n"/>
      <c r="AE45" s="41" t="n"/>
      <c r="AF45" s="15" t="n"/>
      <c r="AI45" s="67" t="n">
        <v>25.5</v>
      </c>
      <c r="AJ45" s="67" t="n">
        <v>27</v>
      </c>
      <c r="AK45" s="68">
        <f>AJ45-AI45</f>
        <v/>
      </c>
      <c r="AL45" s="68">
        <f>(AI45+AJ45)/2</f>
        <v/>
      </c>
      <c r="AM45" s="67" t="inlineStr">
        <is>
          <t>Sand</t>
        </is>
      </c>
      <c r="AN45" s="67" t="n">
        <v>21</v>
      </c>
      <c r="AO45" s="68">
        <f>IF(AL45&gt;$AA$19,$AA$21,$AA$20)</f>
        <v/>
      </c>
      <c r="AP45" s="68">
        <f>AP44+AO45*AK45</f>
        <v/>
      </c>
      <c r="AQ45" s="68">
        <f>AP45-AO45*AK45/2-10*MAX(AL45-$AA$19,0)</f>
        <v/>
      </c>
      <c r="AR45" s="67" t="n"/>
      <c r="AS45" s="67" t="n"/>
      <c r="AT45" s="68">
        <f>IF(AR45="","",AR45-AS45)</f>
        <v/>
      </c>
      <c r="AU45" s="67" t="n">
        <v>0.73</v>
      </c>
      <c r="AV45" s="68">
        <f>IF(AM45="Sand",0,Input!$AA$31*AN45)</f>
        <v/>
      </c>
      <c r="AW45" s="68">
        <f>IF(AM45="Sand",27.1+0.3*MIN(Input!$AA$32*AN45,60)-0.00054*MIN(Input!$AA$32*AN45,60)^2,MIN(MAX(DEGREES(ASIN(0.8-0.094*LN(MAX(IF(AT45="",10,AT45),5)))),20),30))</f>
        <v/>
      </c>
      <c r="AX45" s="68">
        <f>IF(AM45="Sand",Input!$AA$33*Input!$AA$32*AN45,Input!$AA$34*AV45)</f>
        <v/>
      </c>
      <c r="AY45" s="68">
        <f>IF(AM45="Sand",Input!$AA$35,0.5)</f>
        <v/>
      </c>
      <c r="AZ45" s="68">
        <f>Input!$AA$15/2/AL45</f>
        <v/>
      </c>
      <c r="BA45" s="68">
        <f>Input!$AA$16/2/AL45</f>
        <v/>
      </c>
      <c r="BB45" s="68">
        <f>1/(4*PI())*(2*AZ45*BA45*SQRT(AZ45^2+BA45^2+1)/(AZ45^2+BA45^2+1+AZ45^2*BA45^2)*(AZ45^2+BA45^2+2)/(AZ45^2+BA45^2+1)+ATAN2(AZ45^2+BA45^2+1-AZ45^2*BA45^2,2*AZ45*BA45*SQRT(AZ45^2+BA45^2+1)))</f>
        <v/>
      </c>
      <c r="BC45" s="68">
        <f>4*Input!$AA$14*BB45</f>
        <v/>
      </c>
      <c r="BD45" s="68">
        <f>((Input!$AA$16/Input!$AA$15)*LN((1+SQRT((Input!$AA$16/Input!$AA$15)^2+1))*SQRT((Input!$AA$16/Input!$AA$15)^2+(AJ45/(Input!$AA$15/2))^2)/((Input!$AA$16/Input!$AA$15)*(1+SQRT((Input!$AA$16/Input!$AA$15)^2+(AJ45/(Input!$AA$15/2))^2+1))))+LN(((Input!$AA$16/Input!$AA$15)+SQRT((Input!$AA$16/Input!$AA$15)^2+1))*SQRT(1+(AJ45/(Input!$AA$15/2))^2)/((Input!$AA$16/Input!$AA$15)+SQRT((Input!$AA$16/Input!$AA$15)^2+(AJ45/(Input!$AA$15/2))^2+1))))/PI()</f>
        <v/>
      </c>
      <c r="BE45" s="68">
        <f>(AJ45/(Input!$AA$15/2))/(2*PI())*ATAN((Input!$AA$16/Input!$AA$15)/((AJ45/(Input!$AA$15/2))*SQRT((Input!$AA$16/Input!$AA$15)^2+(AJ45/(Input!$AA$15/2))^2+1)))</f>
        <v/>
      </c>
      <c r="BF45" s="68">
        <f>MAX(0,AJ45-MAX(AI45,$AA$22))/AK45*IF(BC45&gt;=Input!$AA$21*AQ45,1,0)</f>
        <v/>
      </c>
      <c r="BG45" s="68">
        <f>4*Input!$AA$14*(Input!$AA$15/2)*(1-AY45^2)/AX45*((BD45-BD44)+(1-2*AY45)/(1-AY45)*(BE45-BE44))*1000*BF45</f>
        <v/>
      </c>
      <c r="BH45" s="68">
        <f>IF(AM45="Sand",0,0.009*(AR45-10))</f>
        <v/>
      </c>
      <c r="BI45" s="68">
        <f>BH45*Input!$AA$36</f>
        <v/>
      </c>
      <c r="BJ45" s="68">
        <f>IF(AM45="Sand",0,MAX(AV45/Input!$AA$37,AQ45))</f>
        <v/>
      </c>
      <c r="BK45" s="68">
        <f>IF(AM45="Sand",0,1000*AK45/(1+AU45)*IF(AQ45+BC45&lt;=BJ45,BI45*LOG10((AQ45+BC45)/AQ45),BI45*LOG10(BJ45/AQ45)+BH45*LOG10((AQ45+BC45)/BJ45)))*BF45</f>
        <v/>
      </c>
      <c r="BL45" s="68">
        <f>IF(AM45="Sand",0,10^(INDEX(Input!$Q$48:$Q$54,MIN(MATCH(MIN(MAX(AR45,30),120),Input!$C$48:$C$54,1),6))+(MIN(MAX(AR45,30),120)-INDEX(Input!$C$48:$C$54,MIN(MATCH(MIN(MAX(AR45,30),120),Input!$C$48:$C$54,1),6)))/(INDEX(Input!$C$48:$C$54,MIN(MATCH(MIN(MAX(AR45,30),120),Input!$C$48:$C$54,1),6)+1)-INDEX(Input!$C$48:$C$54,MIN(MATCH(MIN(MAX(AR45,30),120),Input!$C$48:$C$54,1),6)))*(INDEX(Input!$Q$48:$Q$54,MIN(MATCH(MIN(MAX(AR45,30),120),Input!$C$48:$C$54,1),6)+1)-INDEX(Input!$Q$48:$Q$54,MIN(MATCH(MIN(MAX(AR45,30),120),Input!$C$48:$C$54,1),6)))))</f>
        <v/>
      </c>
      <c r="BM45" s="68">
        <f>IF(OR(AM45="Sand",BF45=0),0,Input!$AA$38*(AK45/2)^2/(BL45*1E-4*31536000))</f>
        <v/>
      </c>
      <c r="BN45" s="68">
        <f>MAX(0,MIN(AJ45,Input!$AA$20)-AI45)</f>
        <v/>
      </c>
      <c r="BO45" s="68">
        <f>MAX(0,MIN(AJ45,Input!$AA$20)-MAX(AI45,$AA$22))</f>
        <v/>
      </c>
      <c r="BP45" s="68">
        <f>MAX(0,MIN(AJ45,$AA$225)-AI45)</f>
        <v/>
      </c>
      <c r="BQ45" s="68" t="inlineStr">
        <is>
          <t>data copied from BH-02</t>
        </is>
      </c>
    </row>
    <row r="46">
      <c r="B46" s="9" t="n"/>
      <c r="C46" s="57" t="n">
        <v>19</v>
      </c>
      <c r="D46" s="41" t="n"/>
      <c r="E46" s="55">
        <f>AI46</f>
        <v/>
      </c>
      <c r="F46" s="41" t="n"/>
      <c r="G46" s="41" t="n"/>
      <c r="H46" s="55">
        <f>AJ46</f>
        <v/>
      </c>
      <c r="I46" s="41" t="n"/>
      <c r="J46" s="41" t="n"/>
      <c r="K46" s="52">
        <f>AM46</f>
        <v/>
      </c>
      <c r="L46" s="41" t="n"/>
      <c r="M46" s="41" t="n"/>
      <c r="N46" s="57">
        <f>AN46</f>
        <v/>
      </c>
      <c r="O46" s="41" t="n"/>
      <c r="P46" s="41" t="n"/>
      <c r="Q46" s="53">
        <f>AO46</f>
        <v/>
      </c>
      <c r="R46" s="41" t="n"/>
      <c r="S46" s="41" t="n"/>
      <c r="T46" s="57">
        <f>IF(AR46="","-",AR46)</f>
        <v/>
      </c>
      <c r="U46" s="41" t="n"/>
      <c r="V46" s="57">
        <f>IF(AT46="","-",AT46)</f>
        <v/>
      </c>
      <c r="W46" s="41" t="n"/>
      <c r="X46" s="55">
        <f>AU46</f>
        <v/>
      </c>
      <c r="Y46" s="41" t="n"/>
      <c r="Z46" s="66">
        <f>AV46</f>
        <v/>
      </c>
      <c r="AA46" s="41" t="n"/>
      <c r="AB46" s="41" t="n"/>
      <c r="AC46" s="53">
        <f>AW46</f>
        <v/>
      </c>
      <c r="AD46" s="41" t="n"/>
      <c r="AE46" s="41" t="n"/>
      <c r="AF46" s="15" t="n"/>
      <c r="AI46" s="67" t="n">
        <v>27</v>
      </c>
      <c r="AJ46" s="67" t="n">
        <v>28.5</v>
      </c>
      <c r="AK46" s="68">
        <f>AJ46-AI46</f>
        <v/>
      </c>
      <c r="AL46" s="68">
        <f>(AI46+AJ46)/2</f>
        <v/>
      </c>
      <c r="AM46" s="67" t="inlineStr">
        <is>
          <t>Sand</t>
        </is>
      </c>
      <c r="AN46" s="67" t="n">
        <v>31</v>
      </c>
      <c r="AO46" s="68">
        <f>IF(AL46&gt;$AA$19,$AA$21,$AA$20)</f>
        <v/>
      </c>
      <c r="AP46" s="68">
        <f>AP45+AO46*AK46</f>
        <v/>
      </c>
      <c r="AQ46" s="68">
        <f>AP46-AO46*AK46/2-10*MAX(AL46-$AA$19,0)</f>
        <v/>
      </c>
      <c r="AR46" s="67" t="n"/>
      <c r="AS46" s="67" t="n"/>
      <c r="AT46" s="68">
        <f>IF(AR46="","",AR46-AS46)</f>
        <v/>
      </c>
      <c r="AU46" s="67" t="n">
        <v>0.65</v>
      </c>
      <c r="AV46" s="68">
        <f>IF(AM46="Sand",0,Input!$AA$31*AN46)</f>
        <v/>
      </c>
      <c r="AW46" s="68">
        <f>IF(AM46="Sand",27.1+0.3*MIN(Input!$AA$32*AN46,60)-0.00054*MIN(Input!$AA$32*AN46,60)^2,MIN(MAX(DEGREES(ASIN(0.8-0.094*LN(MAX(IF(AT46="",10,AT46),5)))),20),30))</f>
        <v/>
      </c>
      <c r="AX46" s="68">
        <f>IF(AM46="Sand",Input!$AA$33*Input!$AA$32*AN46,Input!$AA$34*AV46)</f>
        <v/>
      </c>
      <c r="AY46" s="68">
        <f>IF(AM46="Sand",Input!$AA$35,0.5)</f>
        <v/>
      </c>
      <c r="AZ46" s="68">
        <f>Input!$AA$15/2/AL46</f>
        <v/>
      </c>
      <c r="BA46" s="68">
        <f>Input!$AA$16/2/AL46</f>
        <v/>
      </c>
      <c r="BB46" s="68">
        <f>1/(4*PI())*(2*AZ46*BA46*SQRT(AZ46^2+BA46^2+1)/(AZ46^2+BA46^2+1+AZ46^2*BA46^2)*(AZ46^2+BA46^2+2)/(AZ46^2+BA46^2+1)+ATAN2(AZ46^2+BA46^2+1-AZ46^2*BA46^2,2*AZ46*BA46*SQRT(AZ46^2+BA46^2+1)))</f>
        <v/>
      </c>
      <c r="BC46" s="68">
        <f>4*Input!$AA$14*BB46</f>
        <v/>
      </c>
      <c r="BD46" s="68">
        <f>((Input!$AA$16/Input!$AA$15)*LN((1+SQRT((Input!$AA$16/Input!$AA$15)^2+1))*SQRT((Input!$AA$16/Input!$AA$15)^2+(AJ46/(Input!$AA$15/2))^2)/((Input!$AA$16/Input!$AA$15)*(1+SQRT((Input!$AA$16/Input!$AA$15)^2+(AJ46/(Input!$AA$15/2))^2+1))))+LN(((Input!$AA$16/Input!$AA$15)+SQRT((Input!$AA$16/Input!$AA$15)^2+1))*SQRT(1+(AJ46/(Input!$AA$15/2))^2)/((Input!$AA$16/Input!$AA$15)+SQRT((Input!$AA$16/Input!$AA$15)^2+(AJ46/(Input!$AA$15/2))^2+1))))/PI()</f>
        <v/>
      </c>
      <c r="BE46" s="68">
        <f>(AJ46/(Input!$AA$15/2))/(2*PI())*ATAN((Input!$AA$16/Input!$AA$15)/((AJ46/(Input!$AA$15/2))*SQRT((Input!$AA$16/Input!$AA$15)^2+(AJ46/(Input!$AA$15/2))^2+1)))</f>
        <v/>
      </c>
      <c r="BF46" s="68">
        <f>MAX(0,AJ46-MAX(AI46,$AA$22))/AK46*IF(BC46&gt;=Input!$AA$21*AQ46,1,0)</f>
        <v/>
      </c>
      <c r="BG46" s="68">
        <f>4*Input!$AA$14*(Input!$AA$15/2)*(1-AY46^2)/AX46*((BD46-BD45)+(1-2*AY46)/(1-AY46)*(BE46-BE45))*1000*BF46</f>
        <v/>
      </c>
      <c r="BH46" s="68">
        <f>IF(AM46="Sand",0,0.009*(AR46-10))</f>
        <v/>
      </c>
      <c r="BI46" s="68">
        <f>BH46*Input!$AA$36</f>
        <v/>
      </c>
      <c r="BJ46" s="68">
        <f>IF(AM46="Sand",0,MAX(AV46/Input!$AA$37,AQ46))</f>
        <v/>
      </c>
      <c r="BK46" s="68">
        <f>IF(AM46="Sand",0,1000*AK46/(1+AU46)*IF(AQ46+BC46&lt;=BJ46,BI46*LOG10((AQ46+BC46)/AQ46),BI46*LOG10(BJ46/AQ46)+BH46*LOG10((AQ46+BC46)/BJ46)))*BF46</f>
        <v/>
      </c>
      <c r="BL46" s="68">
        <f>IF(AM46="Sand",0,10^(INDEX(Input!$Q$48:$Q$54,MIN(MATCH(MIN(MAX(AR46,30),120),Input!$C$48:$C$54,1),6))+(MIN(MAX(AR46,30),120)-INDEX(Input!$C$48:$C$54,MIN(MATCH(MIN(MAX(AR46,30),120),Input!$C$48:$C$54,1),6)))/(INDEX(Input!$C$48:$C$54,MIN(MATCH(MIN(MAX(AR46,30),120),Input!$C$48:$C$54,1),6)+1)-INDEX(Input!$C$48:$C$54,MIN(MATCH(MIN(MAX(AR46,30),120),Input!$C$48:$C$54,1),6)))*(INDEX(Input!$Q$48:$Q$54,MIN(MATCH(MIN(MAX(AR46,30),120),Input!$C$48:$C$54,1),6)+1)-INDEX(Input!$Q$48:$Q$54,MIN(MATCH(MIN(MAX(AR46,30),120),Input!$C$48:$C$54,1),6)))))</f>
        <v/>
      </c>
      <c r="BM46" s="68">
        <f>IF(OR(AM46="Sand",BF46=0),0,Input!$AA$38*(AK46/2)^2/(BL46*1E-4*31536000))</f>
        <v/>
      </c>
      <c r="BN46" s="68">
        <f>MAX(0,MIN(AJ46,Input!$AA$20)-AI46)</f>
        <v/>
      </c>
      <c r="BO46" s="68">
        <f>MAX(0,MIN(AJ46,Input!$AA$20)-MAX(AI46,$AA$22))</f>
        <v/>
      </c>
      <c r="BP46" s="68">
        <f>MAX(0,MIN(AJ46,$AA$225)-AI46)</f>
        <v/>
      </c>
      <c r="BQ46" s="68" t="inlineStr">
        <is>
          <t>data copied from BH-02</t>
        </is>
      </c>
    </row>
    <row r="47">
      <c r="B47" s="9" t="n"/>
      <c r="C47" s="57" t="n">
        <v>20</v>
      </c>
      <c r="D47" s="41" t="n"/>
      <c r="E47" s="55">
        <f>AI47</f>
        <v/>
      </c>
      <c r="F47" s="41" t="n"/>
      <c r="G47" s="41" t="n"/>
      <c r="H47" s="55">
        <f>AJ47</f>
        <v/>
      </c>
      <c r="I47" s="41" t="n"/>
      <c r="J47" s="41" t="n"/>
      <c r="K47" s="52">
        <f>AM47</f>
        <v/>
      </c>
      <c r="L47" s="41" t="n"/>
      <c r="M47" s="41" t="n"/>
      <c r="N47" s="57">
        <f>AN47</f>
        <v/>
      </c>
      <c r="O47" s="41" t="n"/>
      <c r="P47" s="41" t="n"/>
      <c r="Q47" s="53">
        <f>AO47</f>
        <v/>
      </c>
      <c r="R47" s="41" t="n"/>
      <c r="S47" s="41" t="n"/>
      <c r="T47" s="57">
        <f>IF(AR47="","-",AR47)</f>
        <v/>
      </c>
      <c r="U47" s="41" t="n"/>
      <c r="V47" s="57">
        <f>IF(AT47="","-",AT47)</f>
        <v/>
      </c>
      <c r="W47" s="41" t="n"/>
      <c r="X47" s="55">
        <f>AU47</f>
        <v/>
      </c>
      <c r="Y47" s="41" t="n"/>
      <c r="Z47" s="66">
        <f>AV47</f>
        <v/>
      </c>
      <c r="AA47" s="41" t="n"/>
      <c r="AB47" s="41" t="n"/>
      <c r="AC47" s="53">
        <f>AW47</f>
        <v/>
      </c>
      <c r="AD47" s="41" t="n"/>
      <c r="AE47" s="41" t="n"/>
      <c r="AF47" s="15" t="n"/>
      <c r="AI47" s="67" t="n">
        <v>28.5</v>
      </c>
      <c r="AJ47" s="67" t="n">
        <v>30</v>
      </c>
      <c r="AK47" s="68">
        <f>AJ47-AI47</f>
        <v/>
      </c>
      <c r="AL47" s="68">
        <f>(AI47+AJ47)/2</f>
        <v/>
      </c>
      <c r="AM47" s="67" t="inlineStr">
        <is>
          <t>Sand</t>
        </is>
      </c>
      <c r="AN47" s="67" t="n">
        <v>50</v>
      </c>
      <c r="AO47" s="68">
        <f>IF(AL47&gt;$AA$19,$AA$21,$AA$20)</f>
        <v/>
      </c>
      <c r="AP47" s="68">
        <f>AP46+AO47*AK47</f>
        <v/>
      </c>
      <c r="AQ47" s="68">
        <f>AP47-AO47*AK47/2-10*MAX(AL47-$AA$19,0)</f>
        <v/>
      </c>
      <c r="AR47" s="67" t="n"/>
      <c r="AS47" s="67" t="n"/>
      <c r="AT47" s="68">
        <f>IF(AR47="","",AR47-AS47)</f>
        <v/>
      </c>
      <c r="AU47" s="67" t="n">
        <v>0.65</v>
      </c>
      <c r="AV47" s="68">
        <f>IF(AM47="Sand",0,Input!$AA$31*AN47)</f>
        <v/>
      </c>
      <c r="AW47" s="68">
        <f>IF(AM47="Sand",27.1+0.3*MIN(Input!$AA$32*AN47,60)-0.00054*MIN(Input!$AA$32*AN47,60)^2,MIN(MAX(DEGREES(ASIN(0.8-0.094*LN(MAX(IF(AT47="",10,AT47),5)))),20),30))</f>
        <v/>
      </c>
      <c r="AX47" s="68">
        <f>IF(AM47="Sand",Input!$AA$33*Input!$AA$32*AN47,Input!$AA$34*AV47)</f>
        <v/>
      </c>
      <c r="AY47" s="68">
        <f>IF(AM47="Sand",Input!$AA$35,0.5)</f>
        <v/>
      </c>
      <c r="AZ47" s="68">
        <f>Input!$AA$15/2/AL47</f>
        <v/>
      </c>
      <c r="BA47" s="68">
        <f>Input!$AA$16/2/AL47</f>
        <v/>
      </c>
      <c r="BB47" s="68">
        <f>1/(4*PI())*(2*AZ47*BA47*SQRT(AZ47^2+BA47^2+1)/(AZ47^2+BA47^2+1+AZ47^2*BA47^2)*(AZ47^2+BA47^2+2)/(AZ47^2+BA47^2+1)+ATAN2(AZ47^2+BA47^2+1-AZ47^2*BA47^2,2*AZ47*BA47*SQRT(AZ47^2+BA47^2+1)))</f>
        <v/>
      </c>
      <c r="BC47" s="68">
        <f>4*Input!$AA$14*BB47</f>
        <v/>
      </c>
      <c r="BD47" s="68">
        <f>((Input!$AA$16/Input!$AA$15)*LN((1+SQRT((Input!$AA$16/Input!$AA$15)^2+1))*SQRT((Input!$AA$16/Input!$AA$15)^2+(AJ47/(Input!$AA$15/2))^2)/((Input!$AA$16/Input!$AA$15)*(1+SQRT((Input!$AA$16/Input!$AA$15)^2+(AJ47/(Input!$AA$15/2))^2+1))))+LN(((Input!$AA$16/Input!$AA$15)+SQRT((Input!$AA$16/Input!$AA$15)^2+1))*SQRT(1+(AJ47/(Input!$AA$15/2))^2)/((Input!$AA$16/Input!$AA$15)+SQRT((Input!$AA$16/Input!$AA$15)^2+(AJ47/(Input!$AA$15/2))^2+1))))/PI()</f>
        <v/>
      </c>
      <c r="BE47" s="68">
        <f>(AJ47/(Input!$AA$15/2))/(2*PI())*ATAN((Input!$AA$16/Input!$AA$15)/((AJ47/(Input!$AA$15/2))*SQRT((Input!$AA$16/Input!$AA$15)^2+(AJ47/(Input!$AA$15/2))^2+1)))</f>
        <v/>
      </c>
      <c r="BF47" s="68">
        <f>MAX(0,AJ47-MAX(AI47,$AA$22))/AK47*IF(BC47&gt;=Input!$AA$21*AQ47,1,0)</f>
        <v/>
      </c>
      <c r="BG47" s="68">
        <f>4*Input!$AA$14*(Input!$AA$15/2)*(1-AY47^2)/AX47*((BD47-BD46)+(1-2*AY47)/(1-AY47)*(BE47-BE46))*1000*BF47</f>
        <v/>
      </c>
      <c r="BH47" s="68">
        <f>IF(AM47="Sand",0,0.009*(AR47-10))</f>
        <v/>
      </c>
      <c r="BI47" s="68">
        <f>BH47*Input!$AA$36</f>
        <v/>
      </c>
      <c r="BJ47" s="68">
        <f>IF(AM47="Sand",0,MAX(AV47/Input!$AA$37,AQ47))</f>
        <v/>
      </c>
      <c r="BK47" s="68">
        <f>IF(AM47="Sand",0,1000*AK47/(1+AU47)*IF(AQ47+BC47&lt;=BJ47,BI47*LOG10((AQ47+BC47)/AQ47),BI47*LOG10(BJ47/AQ47)+BH47*LOG10((AQ47+BC47)/BJ47)))*BF47</f>
        <v/>
      </c>
      <c r="BL47" s="68">
        <f>IF(AM47="Sand",0,10^(INDEX(Input!$Q$48:$Q$54,MIN(MATCH(MIN(MAX(AR47,30),120),Input!$C$48:$C$54,1),6))+(MIN(MAX(AR47,30),120)-INDEX(Input!$C$48:$C$54,MIN(MATCH(MIN(MAX(AR47,30),120),Input!$C$48:$C$54,1),6)))/(INDEX(Input!$C$48:$C$54,MIN(MATCH(MIN(MAX(AR47,30),120),Input!$C$48:$C$54,1),6)+1)-INDEX(Input!$C$48:$C$54,MIN(MATCH(MIN(MAX(AR47,30),120),Input!$C$48:$C$54,1),6)))*(INDEX(Input!$Q$48:$Q$54,MIN(MATCH(MIN(MAX(AR47,30),120),Input!$C$48:$C$54,1),6)+1)-INDEX(Input!$Q$48:$Q$54,MIN(MATCH(MIN(MAX(AR47,30),120),Input!$C$48:$C$54,1),6)))))</f>
        <v/>
      </c>
      <c r="BM47" s="68">
        <f>IF(OR(AM47="Sand",BF47=0),0,Input!$AA$38*(AK47/2)^2/(BL47*1E-4*31536000))</f>
        <v/>
      </c>
      <c r="BN47" s="68">
        <f>MAX(0,MIN(AJ47,Input!$AA$20)-AI47)</f>
        <v/>
      </c>
      <c r="BO47" s="68">
        <f>MAX(0,MIN(AJ47,Input!$AA$20)-MAX(AI47,$AA$22))</f>
        <v/>
      </c>
      <c r="BP47" s="68">
        <f>MAX(0,MIN(AJ47,$AA$225)-AI47)</f>
        <v/>
      </c>
      <c r="BQ47" s="68" t="inlineStr">
        <is>
          <t>data copied from BH-02</t>
        </is>
      </c>
    </row>
    <row r="48">
      <c r="B48" s="9" t="n"/>
      <c r="C48" s="57" t="n">
        <v>21</v>
      </c>
      <c r="D48" s="41" t="n"/>
      <c r="E48" s="55">
        <f>AI48</f>
        <v/>
      </c>
      <c r="F48" s="41" t="n"/>
      <c r="G48" s="41" t="n"/>
      <c r="H48" s="55">
        <f>AJ48</f>
        <v/>
      </c>
      <c r="I48" s="41" t="n"/>
      <c r="J48" s="41" t="n"/>
      <c r="K48" s="52">
        <f>AM48</f>
        <v/>
      </c>
      <c r="L48" s="41" t="n"/>
      <c r="M48" s="41" t="n"/>
      <c r="N48" s="57">
        <f>AN48</f>
        <v/>
      </c>
      <c r="O48" s="41" t="n"/>
      <c r="P48" s="41" t="n"/>
      <c r="Q48" s="53">
        <f>AO48</f>
        <v/>
      </c>
      <c r="R48" s="41" t="n"/>
      <c r="S48" s="41" t="n"/>
      <c r="T48" s="57">
        <f>IF(AR48="","-",AR48)</f>
        <v/>
      </c>
      <c r="U48" s="41" t="n"/>
      <c r="V48" s="57">
        <f>IF(AT48="","-",AT48)</f>
        <v/>
      </c>
      <c r="W48" s="41" t="n"/>
      <c r="X48" s="55">
        <f>AU48</f>
        <v/>
      </c>
      <c r="Y48" s="41" t="n"/>
      <c r="Z48" s="66">
        <f>AV48</f>
        <v/>
      </c>
      <c r="AA48" s="41" t="n"/>
      <c r="AB48" s="41" t="n"/>
      <c r="AC48" s="53">
        <f>AW48</f>
        <v/>
      </c>
      <c r="AD48" s="41" t="n"/>
      <c r="AE48" s="41" t="n"/>
      <c r="AF48" s="15" t="n"/>
      <c r="AI48" s="67" t="n">
        <v>30</v>
      </c>
      <c r="AJ48" s="67" t="n">
        <v>31.5</v>
      </c>
      <c r="AK48" s="68">
        <f>AJ48-AI48</f>
        <v/>
      </c>
      <c r="AL48" s="68">
        <f>(AI48+AJ48)/2</f>
        <v/>
      </c>
      <c r="AM48" s="67" t="inlineStr">
        <is>
          <t>Sand</t>
        </is>
      </c>
      <c r="AN48" s="67" t="n">
        <v>40</v>
      </c>
      <c r="AO48" s="68">
        <f>IF(AL48&gt;$AA$19,$AA$21,$AA$20)</f>
        <v/>
      </c>
      <c r="AP48" s="68">
        <f>AP47+AO48*AK48</f>
        <v/>
      </c>
      <c r="AQ48" s="68">
        <f>AP48-AO48*AK48/2-10*MAX(AL48-$AA$19,0)</f>
        <v/>
      </c>
      <c r="AR48" s="67" t="n"/>
      <c r="AS48" s="67" t="n"/>
      <c r="AT48" s="68">
        <f>IF(AR48="","",AR48-AS48)</f>
        <v/>
      </c>
      <c r="AU48" s="67" t="n">
        <v>0.65</v>
      </c>
      <c r="AV48" s="68">
        <f>IF(AM48="Sand",0,Input!$AA$31*AN48)</f>
        <v/>
      </c>
      <c r="AW48" s="68">
        <f>IF(AM48="Sand",27.1+0.3*MIN(Input!$AA$32*AN48,60)-0.00054*MIN(Input!$AA$32*AN48,60)^2,MIN(MAX(DEGREES(ASIN(0.8-0.094*LN(MAX(IF(AT48="",10,AT48),5)))),20),30))</f>
        <v/>
      </c>
      <c r="AX48" s="68">
        <f>IF(AM48="Sand",Input!$AA$33*Input!$AA$32*AN48,Input!$AA$34*AV48)</f>
        <v/>
      </c>
      <c r="AY48" s="68">
        <f>IF(AM48="Sand",Input!$AA$35,0.5)</f>
        <v/>
      </c>
      <c r="AZ48" s="68">
        <f>Input!$AA$15/2/AL48</f>
        <v/>
      </c>
      <c r="BA48" s="68">
        <f>Input!$AA$16/2/AL48</f>
        <v/>
      </c>
      <c r="BB48" s="68">
        <f>1/(4*PI())*(2*AZ48*BA48*SQRT(AZ48^2+BA48^2+1)/(AZ48^2+BA48^2+1+AZ48^2*BA48^2)*(AZ48^2+BA48^2+2)/(AZ48^2+BA48^2+1)+ATAN2(AZ48^2+BA48^2+1-AZ48^2*BA48^2,2*AZ48*BA48*SQRT(AZ48^2+BA48^2+1)))</f>
        <v/>
      </c>
      <c r="BC48" s="68">
        <f>4*Input!$AA$14*BB48</f>
        <v/>
      </c>
      <c r="BD48" s="68">
        <f>((Input!$AA$16/Input!$AA$15)*LN((1+SQRT((Input!$AA$16/Input!$AA$15)^2+1))*SQRT((Input!$AA$16/Input!$AA$15)^2+(AJ48/(Input!$AA$15/2))^2)/((Input!$AA$16/Input!$AA$15)*(1+SQRT((Input!$AA$16/Input!$AA$15)^2+(AJ48/(Input!$AA$15/2))^2+1))))+LN(((Input!$AA$16/Input!$AA$15)+SQRT((Input!$AA$16/Input!$AA$15)^2+1))*SQRT(1+(AJ48/(Input!$AA$15/2))^2)/((Input!$AA$16/Input!$AA$15)+SQRT((Input!$AA$16/Input!$AA$15)^2+(AJ48/(Input!$AA$15/2))^2+1))))/PI()</f>
        <v/>
      </c>
      <c r="BE48" s="68">
        <f>(AJ48/(Input!$AA$15/2))/(2*PI())*ATAN((Input!$AA$16/Input!$AA$15)/((AJ48/(Input!$AA$15/2))*SQRT((Input!$AA$16/Input!$AA$15)^2+(AJ48/(Input!$AA$15/2))^2+1)))</f>
        <v/>
      </c>
      <c r="BF48" s="68">
        <f>MAX(0,AJ48-MAX(AI48,$AA$22))/AK48*IF(BC48&gt;=Input!$AA$21*AQ48,1,0)</f>
        <v/>
      </c>
      <c r="BG48" s="68">
        <f>4*Input!$AA$14*(Input!$AA$15/2)*(1-AY48^2)/AX48*((BD48-BD47)+(1-2*AY48)/(1-AY48)*(BE48-BE47))*1000*BF48</f>
        <v/>
      </c>
      <c r="BH48" s="68">
        <f>IF(AM48="Sand",0,0.009*(AR48-10))</f>
        <v/>
      </c>
      <c r="BI48" s="68">
        <f>BH48*Input!$AA$36</f>
        <v/>
      </c>
      <c r="BJ48" s="68">
        <f>IF(AM48="Sand",0,MAX(AV48/Input!$AA$37,AQ48))</f>
        <v/>
      </c>
      <c r="BK48" s="68">
        <f>IF(AM48="Sand",0,1000*AK48/(1+AU48)*IF(AQ48+BC48&lt;=BJ48,BI48*LOG10((AQ48+BC48)/AQ48),BI48*LOG10(BJ48/AQ48)+BH48*LOG10((AQ48+BC48)/BJ48)))*BF48</f>
        <v/>
      </c>
      <c r="BL48" s="68">
        <f>IF(AM48="Sand",0,10^(INDEX(Input!$Q$48:$Q$54,MIN(MATCH(MIN(MAX(AR48,30),120),Input!$C$48:$C$54,1),6))+(MIN(MAX(AR48,30),120)-INDEX(Input!$C$48:$C$54,MIN(MATCH(MIN(MAX(AR48,30),120),Input!$C$48:$C$54,1),6)))/(INDEX(Input!$C$48:$C$54,MIN(MATCH(MIN(MAX(AR48,30),120),Input!$C$48:$C$54,1),6)+1)-INDEX(Input!$C$48:$C$54,MIN(MATCH(MIN(MAX(AR48,30),120),Input!$C$48:$C$54,1),6)))*(INDEX(Input!$Q$48:$Q$54,MIN(MATCH(MIN(MAX(AR48,30),120),Input!$C$48:$C$54,1),6)+1)-INDEX(Input!$Q$48:$Q$54,MIN(MATCH(MIN(MAX(AR48,30),120),Input!$C$48:$C$54,1),6)))))</f>
        <v/>
      </c>
      <c r="BM48" s="68">
        <f>IF(OR(AM48="Sand",BF48=0),0,Input!$AA$38*(AK48/2)^2/(BL48*1E-4*31536000))</f>
        <v/>
      </c>
      <c r="BN48" s="68">
        <f>MAX(0,MIN(AJ48,Input!$AA$20)-AI48)</f>
        <v/>
      </c>
      <c r="BO48" s="68">
        <f>MAX(0,MIN(AJ48,Input!$AA$20)-MAX(AI48,$AA$22))</f>
        <v/>
      </c>
      <c r="BP48" s="68">
        <f>MAX(0,MIN(AJ48,$AA$225)-AI48)</f>
        <v/>
      </c>
      <c r="BQ48" s="68" t="inlineStr">
        <is>
          <t>data copied from BH-02</t>
        </is>
      </c>
    </row>
    <row r="49">
      <c r="B49" s="9" t="n"/>
      <c r="C49" s="57" t="n">
        <v>22</v>
      </c>
      <c r="D49" s="41" t="n"/>
      <c r="E49" s="55">
        <f>AI49</f>
        <v/>
      </c>
      <c r="F49" s="41" t="n"/>
      <c r="G49" s="41" t="n"/>
      <c r="H49" s="55">
        <f>AJ49</f>
        <v/>
      </c>
      <c r="I49" s="41" t="n"/>
      <c r="J49" s="41" t="n"/>
      <c r="K49" s="52">
        <f>AM49</f>
        <v/>
      </c>
      <c r="L49" s="41" t="n"/>
      <c r="M49" s="41" t="n"/>
      <c r="N49" s="57">
        <f>AN49</f>
        <v/>
      </c>
      <c r="O49" s="41" t="n"/>
      <c r="P49" s="41" t="n"/>
      <c r="Q49" s="53">
        <f>AO49</f>
        <v/>
      </c>
      <c r="R49" s="41" t="n"/>
      <c r="S49" s="41" t="n"/>
      <c r="T49" s="57">
        <f>IF(AR49="","-",AR49)</f>
        <v/>
      </c>
      <c r="U49" s="41" t="n"/>
      <c r="V49" s="57">
        <f>IF(AT49="","-",AT49)</f>
        <v/>
      </c>
      <c r="W49" s="41" t="n"/>
      <c r="X49" s="55">
        <f>AU49</f>
        <v/>
      </c>
      <c r="Y49" s="41" t="n"/>
      <c r="Z49" s="66">
        <f>AV49</f>
        <v/>
      </c>
      <c r="AA49" s="41" t="n"/>
      <c r="AB49" s="41" t="n"/>
      <c r="AC49" s="53">
        <f>AW49</f>
        <v/>
      </c>
      <c r="AD49" s="41" t="n"/>
      <c r="AE49" s="41" t="n"/>
      <c r="AF49" s="15" t="n"/>
      <c r="AI49" s="67" t="n">
        <v>31.5</v>
      </c>
      <c r="AJ49" s="67" t="n">
        <v>33</v>
      </c>
      <c r="AK49" s="68">
        <f>AJ49-AI49</f>
        <v/>
      </c>
      <c r="AL49" s="68">
        <f>(AI49+AJ49)/2</f>
        <v/>
      </c>
      <c r="AM49" s="67" t="inlineStr">
        <is>
          <t>Sand</t>
        </is>
      </c>
      <c r="AN49" s="67" t="n">
        <v>43</v>
      </c>
      <c r="AO49" s="68">
        <f>IF(AL49&gt;$AA$19,$AA$21,$AA$20)</f>
        <v/>
      </c>
      <c r="AP49" s="68">
        <f>AP48+AO49*AK49</f>
        <v/>
      </c>
      <c r="AQ49" s="68">
        <f>AP49-AO49*AK49/2-10*MAX(AL49-$AA$19,0)</f>
        <v/>
      </c>
      <c r="AR49" s="67" t="n"/>
      <c r="AS49" s="67" t="n"/>
      <c r="AT49" s="68">
        <f>IF(AR49="","",AR49-AS49)</f>
        <v/>
      </c>
      <c r="AU49" s="67" t="n">
        <v>0.65</v>
      </c>
      <c r="AV49" s="68">
        <f>IF(AM49="Sand",0,Input!$AA$31*AN49)</f>
        <v/>
      </c>
      <c r="AW49" s="68">
        <f>IF(AM49="Sand",27.1+0.3*MIN(Input!$AA$32*AN49,60)-0.00054*MIN(Input!$AA$32*AN49,60)^2,MIN(MAX(DEGREES(ASIN(0.8-0.094*LN(MAX(IF(AT49="",10,AT49),5)))),20),30))</f>
        <v/>
      </c>
      <c r="AX49" s="68">
        <f>IF(AM49="Sand",Input!$AA$33*Input!$AA$32*AN49,Input!$AA$34*AV49)</f>
        <v/>
      </c>
      <c r="AY49" s="68">
        <f>IF(AM49="Sand",Input!$AA$35,0.5)</f>
        <v/>
      </c>
      <c r="AZ49" s="68">
        <f>Input!$AA$15/2/AL49</f>
        <v/>
      </c>
      <c r="BA49" s="68">
        <f>Input!$AA$16/2/AL49</f>
        <v/>
      </c>
      <c r="BB49" s="68">
        <f>1/(4*PI())*(2*AZ49*BA49*SQRT(AZ49^2+BA49^2+1)/(AZ49^2+BA49^2+1+AZ49^2*BA49^2)*(AZ49^2+BA49^2+2)/(AZ49^2+BA49^2+1)+ATAN2(AZ49^2+BA49^2+1-AZ49^2*BA49^2,2*AZ49*BA49*SQRT(AZ49^2+BA49^2+1)))</f>
        <v/>
      </c>
      <c r="BC49" s="68">
        <f>4*Input!$AA$14*BB49</f>
        <v/>
      </c>
      <c r="BD49" s="68">
        <f>((Input!$AA$16/Input!$AA$15)*LN((1+SQRT((Input!$AA$16/Input!$AA$15)^2+1))*SQRT((Input!$AA$16/Input!$AA$15)^2+(AJ49/(Input!$AA$15/2))^2)/((Input!$AA$16/Input!$AA$15)*(1+SQRT((Input!$AA$16/Input!$AA$15)^2+(AJ49/(Input!$AA$15/2))^2+1))))+LN(((Input!$AA$16/Input!$AA$15)+SQRT((Input!$AA$16/Input!$AA$15)^2+1))*SQRT(1+(AJ49/(Input!$AA$15/2))^2)/((Input!$AA$16/Input!$AA$15)+SQRT((Input!$AA$16/Input!$AA$15)^2+(AJ49/(Input!$AA$15/2))^2+1))))/PI()</f>
        <v/>
      </c>
      <c r="BE49" s="68">
        <f>(AJ49/(Input!$AA$15/2))/(2*PI())*ATAN((Input!$AA$16/Input!$AA$15)/((AJ49/(Input!$AA$15/2))*SQRT((Input!$AA$16/Input!$AA$15)^2+(AJ49/(Input!$AA$15/2))^2+1)))</f>
        <v/>
      </c>
      <c r="BF49" s="68">
        <f>MAX(0,AJ49-MAX(AI49,$AA$22))/AK49*IF(BC49&gt;=Input!$AA$21*AQ49,1,0)</f>
        <v/>
      </c>
      <c r="BG49" s="68">
        <f>4*Input!$AA$14*(Input!$AA$15/2)*(1-AY49^2)/AX49*((BD49-BD48)+(1-2*AY49)/(1-AY49)*(BE49-BE48))*1000*BF49</f>
        <v/>
      </c>
      <c r="BH49" s="68">
        <f>IF(AM49="Sand",0,0.009*(AR49-10))</f>
        <v/>
      </c>
      <c r="BI49" s="68">
        <f>BH49*Input!$AA$36</f>
        <v/>
      </c>
      <c r="BJ49" s="68">
        <f>IF(AM49="Sand",0,MAX(AV49/Input!$AA$37,AQ49))</f>
        <v/>
      </c>
      <c r="BK49" s="68">
        <f>IF(AM49="Sand",0,1000*AK49/(1+AU49)*IF(AQ49+BC49&lt;=BJ49,BI49*LOG10((AQ49+BC49)/AQ49),BI49*LOG10(BJ49/AQ49)+BH49*LOG10((AQ49+BC49)/BJ49)))*BF49</f>
        <v/>
      </c>
      <c r="BL49" s="68">
        <f>IF(AM49="Sand",0,10^(INDEX(Input!$Q$48:$Q$54,MIN(MATCH(MIN(MAX(AR49,30),120),Input!$C$48:$C$54,1),6))+(MIN(MAX(AR49,30),120)-INDEX(Input!$C$48:$C$54,MIN(MATCH(MIN(MAX(AR49,30),120),Input!$C$48:$C$54,1),6)))/(INDEX(Input!$C$48:$C$54,MIN(MATCH(MIN(MAX(AR49,30),120),Input!$C$48:$C$54,1),6)+1)-INDEX(Input!$C$48:$C$54,MIN(MATCH(MIN(MAX(AR49,30),120),Input!$C$48:$C$54,1),6)))*(INDEX(Input!$Q$48:$Q$54,MIN(MATCH(MIN(MAX(AR49,30),120),Input!$C$48:$C$54,1),6)+1)-INDEX(Input!$Q$48:$Q$54,MIN(MATCH(MIN(MAX(AR49,30),120),Input!$C$48:$C$54,1),6)))))</f>
        <v/>
      </c>
      <c r="BM49" s="68">
        <f>IF(OR(AM49="Sand",BF49=0),0,Input!$AA$38*(AK49/2)^2/(BL49*1E-4*31536000))</f>
        <v/>
      </c>
      <c r="BN49" s="68">
        <f>MAX(0,MIN(AJ49,Input!$AA$20)-AI49)</f>
        <v/>
      </c>
      <c r="BO49" s="68">
        <f>MAX(0,MIN(AJ49,Input!$AA$20)-MAX(AI49,$AA$22))</f>
        <v/>
      </c>
      <c r="BP49" s="68">
        <f>MAX(0,MIN(AJ49,$AA$225)-AI49)</f>
        <v/>
      </c>
      <c r="BQ49" s="68" t="inlineStr">
        <is>
          <t>data copied from BH-02</t>
        </is>
      </c>
    </row>
    <row r="50">
      <c r="B50" s="9" t="n"/>
      <c r="C50" s="57" t="n">
        <v>23</v>
      </c>
      <c r="D50" s="41" t="n"/>
      <c r="E50" s="55">
        <f>AI50</f>
        <v/>
      </c>
      <c r="F50" s="41" t="n"/>
      <c r="G50" s="41" t="n"/>
      <c r="H50" s="55">
        <f>AJ50</f>
        <v/>
      </c>
      <c r="I50" s="41" t="n"/>
      <c r="J50" s="41" t="n"/>
      <c r="K50" s="52">
        <f>AM50</f>
        <v/>
      </c>
      <c r="L50" s="41" t="n"/>
      <c r="M50" s="41" t="n"/>
      <c r="N50" s="57">
        <f>AN50</f>
        <v/>
      </c>
      <c r="O50" s="41" t="n"/>
      <c r="P50" s="41" t="n"/>
      <c r="Q50" s="53">
        <f>AO50</f>
        <v/>
      </c>
      <c r="R50" s="41" t="n"/>
      <c r="S50" s="41" t="n"/>
      <c r="T50" s="57">
        <f>IF(AR50="","-",AR50)</f>
        <v/>
      </c>
      <c r="U50" s="41" t="n"/>
      <c r="V50" s="57">
        <f>IF(AT50="","-",AT50)</f>
        <v/>
      </c>
      <c r="W50" s="41" t="n"/>
      <c r="X50" s="55">
        <f>AU50</f>
        <v/>
      </c>
      <c r="Y50" s="41" t="n"/>
      <c r="Z50" s="66">
        <f>AV50</f>
        <v/>
      </c>
      <c r="AA50" s="41" t="n"/>
      <c r="AB50" s="41" t="n"/>
      <c r="AC50" s="53">
        <f>AW50</f>
        <v/>
      </c>
      <c r="AD50" s="41" t="n"/>
      <c r="AE50" s="41" t="n"/>
      <c r="AF50" s="15" t="n"/>
      <c r="AI50" s="67" t="n">
        <v>33</v>
      </c>
      <c r="AJ50" s="67" t="n">
        <v>34.5</v>
      </c>
      <c r="AK50" s="68">
        <f>AJ50-AI50</f>
        <v/>
      </c>
      <c r="AL50" s="68">
        <f>(AI50+AJ50)/2</f>
        <v/>
      </c>
      <c r="AM50" s="67" t="inlineStr">
        <is>
          <t>Sand</t>
        </is>
      </c>
      <c r="AN50" s="67" t="n">
        <v>26</v>
      </c>
      <c r="AO50" s="68">
        <f>IF(AL50&gt;$AA$19,$AA$21,$AA$20)</f>
        <v/>
      </c>
      <c r="AP50" s="68">
        <f>AP49+AO50*AK50</f>
        <v/>
      </c>
      <c r="AQ50" s="68">
        <f>AP50-AO50*AK50/2-10*MAX(AL50-$AA$19,0)</f>
        <v/>
      </c>
      <c r="AR50" s="67" t="n"/>
      <c r="AS50" s="67" t="n"/>
      <c r="AT50" s="68">
        <f>IF(AR50="","",AR50-AS50)</f>
        <v/>
      </c>
      <c r="AU50" s="67" t="n">
        <v>0.65</v>
      </c>
      <c r="AV50" s="68">
        <f>IF(AM50="Sand",0,Input!$AA$31*AN50)</f>
        <v/>
      </c>
      <c r="AW50" s="68">
        <f>IF(AM50="Sand",27.1+0.3*MIN(Input!$AA$32*AN50,60)-0.00054*MIN(Input!$AA$32*AN50,60)^2,MIN(MAX(DEGREES(ASIN(0.8-0.094*LN(MAX(IF(AT50="",10,AT50),5)))),20),30))</f>
        <v/>
      </c>
      <c r="AX50" s="68">
        <f>IF(AM50="Sand",Input!$AA$33*Input!$AA$32*AN50,Input!$AA$34*AV50)</f>
        <v/>
      </c>
      <c r="AY50" s="68">
        <f>IF(AM50="Sand",Input!$AA$35,0.5)</f>
        <v/>
      </c>
      <c r="AZ50" s="68">
        <f>Input!$AA$15/2/AL50</f>
        <v/>
      </c>
      <c r="BA50" s="68">
        <f>Input!$AA$16/2/AL50</f>
        <v/>
      </c>
      <c r="BB50" s="68">
        <f>1/(4*PI())*(2*AZ50*BA50*SQRT(AZ50^2+BA50^2+1)/(AZ50^2+BA50^2+1+AZ50^2*BA50^2)*(AZ50^2+BA50^2+2)/(AZ50^2+BA50^2+1)+ATAN2(AZ50^2+BA50^2+1-AZ50^2*BA50^2,2*AZ50*BA50*SQRT(AZ50^2+BA50^2+1)))</f>
        <v/>
      </c>
      <c r="BC50" s="68">
        <f>4*Input!$AA$14*BB50</f>
        <v/>
      </c>
      <c r="BD50" s="68">
        <f>((Input!$AA$16/Input!$AA$15)*LN((1+SQRT((Input!$AA$16/Input!$AA$15)^2+1))*SQRT((Input!$AA$16/Input!$AA$15)^2+(AJ50/(Input!$AA$15/2))^2)/((Input!$AA$16/Input!$AA$15)*(1+SQRT((Input!$AA$16/Input!$AA$15)^2+(AJ50/(Input!$AA$15/2))^2+1))))+LN(((Input!$AA$16/Input!$AA$15)+SQRT((Input!$AA$16/Input!$AA$15)^2+1))*SQRT(1+(AJ50/(Input!$AA$15/2))^2)/((Input!$AA$16/Input!$AA$15)+SQRT((Input!$AA$16/Input!$AA$15)^2+(AJ50/(Input!$AA$15/2))^2+1))))/PI()</f>
        <v/>
      </c>
      <c r="BE50" s="68">
        <f>(AJ50/(Input!$AA$15/2))/(2*PI())*ATAN((Input!$AA$16/Input!$AA$15)/((AJ50/(Input!$AA$15/2))*SQRT((Input!$AA$16/Input!$AA$15)^2+(AJ50/(Input!$AA$15/2))^2+1)))</f>
        <v/>
      </c>
      <c r="BF50" s="68">
        <f>MAX(0,AJ50-MAX(AI50,$AA$22))/AK50*IF(BC50&gt;=Input!$AA$21*AQ50,1,0)</f>
        <v/>
      </c>
      <c r="BG50" s="68">
        <f>4*Input!$AA$14*(Input!$AA$15/2)*(1-AY50^2)/AX50*((BD50-BD49)+(1-2*AY50)/(1-AY50)*(BE50-BE49))*1000*BF50</f>
        <v/>
      </c>
      <c r="BH50" s="68">
        <f>IF(AM50="Sand",0,0.009*(AR50-10))</f>
        <v/>
      </c>
      <c r="BI50" s="68">
        <f>BH50*Input!$AA$36</f>
        <v/>
      </c>
      <c r="BJ50" s="68">
        <f>IF(AM50="Sand",0,MAX(AV50/Input!$AA$37,AQ50))</f>
        <v/>
      </c>
      <c r="BK50" s="68">
        <f>IF(AM50="Sand",0,1000*AK50/(1+AU50)*IF(AQ50+BC50&lt;=BJ50,BI50*LOG10((AQ50+BC50)/AQ50),BI50*LOG10(BJ50/AQ50)+BH50*LOG10((AQ50+BC50)/BJ50)))*BF50</f>
        <v/>
      </c>
      <c r="BL50" s="68">
        <f>IF(AM50="Sand",0,10^(INDEX(Input!$Q$48:$Q$54,MIN(MATCH(MIN(MAX(AR50,30),120),Input!$C$48:$C$54,1),6))+(MIN(MAX(AR50,30),120)-INDEX(Input!$C$48:$C$54,MIN(MATCH(MIN(MAX(AR50,30),120),Input!$C$48:$C$54,1),6)))/(INDEX(Input!$C$48:$C$54,MIN(MATCH(MIN(MAX(AR50,30),120),Input!$C$48:$C$54,1),6)+1)-INDEX(Input!$C$48:$C$54,MIN(MATCH(MIN(MAX(AR50,30),120),Input!$C$48:$C$54,1),6)))*(INDEX(Input!$Q$48:$Q$54,MIN(MATCH(MIN(MAX(AR50,30),120),Input!$C$48:$C$54,1),6)+1)-INDEX(Input!$Q$48:$Q$54,MIN(MATCH(MIN(MAX(AR50,30),120),Input!$C$48:$C$54,1),6)))))</f>
        <v/>
      </c>
      <c r="BM50" s="68">
        <f>IF(OR(AM50="Sand",BF50=0),0,Input!$AA$38*(AK50/2)^2/(BL50*1E-4*31536000))</f>
        <v/>
      </c>
      <c r="BN50" s="68">
        <f>MAX(0,MIN(AJ50,Input!$AA$20)-AI50)</f>
        <v/>
      </c>
      <c r="BO50" s="68">
        <f>MAX(0,MIN(AJ50,Input!$AA$20)-MAX(AI50,$AA$22))</f>
        <v/>
      </c>
      <c r="BP50" s="68">
        <f>MAX(0,MIN(AJ50,$AA$225)-AI50)</f>
        <v/>
      </c>
      <c r="BQ50" s="68" t="inlineStr">
        <is>
          <t>data copied from BH-02</t>
        </is>
      </c>
    </row>
    <row r="51">
      <c r="B51" s="9" t="n"/>
      <c r="C51" s="57" t="n">
        <v>24</v>
      </c>
      <c r="D51" s="41" t="n"/>
      <c r="E51" s="55">
        <f>AI51</f>
        <v/>
      </c>
      <c r="F51" s="41" t="n"/>
      <c r="G51" s="41" t="n"/>
      <c r="H51" s="55">
        <f>AJ51</f>
        <v/>
      </c>
      <c r="I51" s="41" t="n"/>
      <c r="J51" s="41" t="n"/>
      <c r="K51" s="52">
        <f>AM51</f>
        <v/>
      </c>
      <c r="L51" s="41" t="n"/>
      <c r="M51" s="41" t="n"/>
      <c r="N51" s="57">
        <f>AN51</f>
        <v/>
      </c>
      <c r="O51" s="41" t="n"/>
      <c r="P51" s="41" t="n"/>
      <c r="Q51" s="53">
        <f>AO51</f>
        <v/>
      </c>
      <c r="R51" s="41" t="n"/>
      <c r="S51" s="41" t="n"/>
      <c r="T51" s="57">
        <f>IF(AR51="","-",AR51)</f>
        <v/>
      </c>
      <c r="U51" s="41" t="n"/>
      <c r="V51" s="57">
        <f>IF(AT51="","-",AT51)</f>
        <v/>
      </c>
      <c r="W51" s="41" t="n"/>
      <c r="X51" s="55">
        <f>AU51</f>
        <v/>
      </c>
      <c r="Y51" s="41" t="n"/>
      <c r="Z51" s="66">
        <f>AV51</f>
        <v/>
      </c>
      <c r="AA51" s="41" t="n"/>
      <c r="AB51" s="41" t="n"/>
      <c r="AC51" s="53">
        <f>AW51</f>
        <v/>
      </c>
      <c r="AD51" s="41" t="n"/>
      <c r="AE51" s="41" t="n"/>
      <c r="AF51" s="15" t="n"/>
      <c r="AI51" s="67" t="n">
        <v>34.5</v>
      </c>
      <c r="AJ51" s="67" t="n">
        <v>36</v>
      </c>
      <c r="AK51" s="68">
        <f>AJ51-AI51</f>
        <v/>
      </c>
      <c r="AL51" s="68">
        <f>(AI51+AJ51)/2</f>
        <v/>
      </c>
      <c r="AM51" s="67" t="inlineStr">
        <is>
          <t>Sand</t>
        </is>
      </c>
      <c r="AN51" s="67" t="n">
        <v>53</v>
      </c>
      <c r="AO51" s="68">
        <f>IF(AL51&gt;$AA$19,$AA$21,$AA$20)</f>
        <v/>
      </c>
      <c r="AP51" s="68">
        <f>AP50+AO51*AK51</f>
        <v/>
      </c>
      <c r="AQ51" s="68">
        <f>AP51-AO51*AK51/2-10*MAX(AL51-$AA$19,0)</f>
        <v/>
      </c>
      <c r="AR51" s="67" t="n"/>
      <c r="AS51" s="67" t="n"/>
      <c r="AT51" s="68">
        <f>IF(AR51="","",AR51-AS51)</f>
        <v/>
      </c>
      <c r="AU51" s="67" t="n">
        <v>0.65</v>
      </c>
      <c r="AV51" s="68">
        <f>IF(AM51="Sand",0,Input!$AA$31*AN51)</f>
        <v/>
      </c>
      <c r="AW51" s="68">
        <f>IF(AM51="Sand",27.1+0.3*MIN(Input!$AA$32*AN51,60)-0.00054*MIN(Input!$AA$32*AN51,60)^2,MIN(MAX(DEGREES(ASIN(0.8-0.094*LN(MAX(IF(AT51="",10,AT51),5)))),20),30))</f>
        <v/>
      </c>
      <c r="AX51" s="68">
        <f>IF(AM51="Sand",Input!$AA$33*Input!$AA$32*AN51,Input!$AA$34*AV51)</f>
        <v/>
      </c>
      <c r="AY51" s="68">
        <f>IF(AM51="Sand",Input!$AA$35,0.5)</f>
        <v/>
      </c>
      <c r="AZ51" s="68">
        <f>Input!$AA$15/2/AL51</f>
        <v/>
      </c>
      <c r="BA51" s="68">
        <f>Input!$AA$16/2/AL51</f>
        <v/>
      </c>
      <c r="BB51" s="68">
        <f>1/(4*PI())*(2*AZ51*BA51*SQRT(AZ51^2+BA51^2+1)/(AZ51^2+BA51^2+1+AZ51^2*BA51^2)*(AZ51^2+BA51^2+2)/(AZ51^2+BA51^2+1)+ATAN2(AZ51^2+BA51^2+1-AZ51^2*BA51^2,2*AZ51*BA51*SQRT(AZ51^2+BA51^2+1)))</f>
        <v/>
      </c>
      <c r="BC51" s="68">
        <f>4*Input!$AA$14*BB51</f>
        <v/>
      </c>
      <c r="BD51" s="68">
        <f>((Input!$AA$16/Input!$AA$15)*LN((1+SQRT((Input!$AA$16/Input!$AA$15)^2+1))*SQRT((Input!$AA$16/Input!$AA$15)^2+(AJ51/(Input!$AA$15/2))^2)/((Input!$AA$16/Input!$AA$15)*(1+SQRT((Input!$AA$16/Input!$AA$15)^2+(AJ51/(Input!$AA$15/2))^2+1))))+LN(((Input!$AA$16/Input!$AA$15)+SQRT((Input!$AA$16/Input!$AA$15)^2+1))*SQRT(1+(AJ51/(Input!$AA$15/2))^2)/((Input!$AA$16/Input!$AA$15)+SQRT((Input!$AA$16/Input!$AA$15)^2+(AJ51/(Input!$AA$15/2))^2+1))))/PI()</f>
        <v/>
      </c>
      <c r="BE51" s="68">
        <f>(AJ51/(Input!$AA$15/2))/(2*PI())*ATAN((Input!$AA$16/Input!$AA$15)/((AJ51/(Input!$AA$15/2))*SQRT((Input!$AA$16/Input!$AA$15)^2+(AJ51/(Input!$AA$15/2))^2+1)))</f>
        <v/>
      </c>
      <c r="BF51" s="68">
        <f>MAX(0,AJ51-MAX(AI51,$AA$22))/AK51*IF(BC51&gt;=Input!$AA$21*AQ51,1,0)</f>
        <v/>
      </c>
      <c r="BG51" s="68">
        <f>4*Input!$AA$14*(Input!$AA$15/2)*(1-AY51^2)/AX51*((BD51-BD50)+(1-2*AY51)/(1-AY51)*(BE51-BE50))*1000*BF51</f>
        <v/>
      </c>
      <c r="BH51" s="68">
        <f>IF(AM51="Sand",0,0.009*(AR51-10))</f>
        <v/>
      </c>
      <c r="BI51" s="68">
        <f>BH51*Input!$AA$36</f>
        <v/>
      </c>
      <c r="BJ51" s="68">
        <f>IF(AM51="Sand",0,MAX(AV51/Input!$AA$37,AQ51))</f>
        <v/>
      </c>
      <c r="BK51" s="68">
        <f>IF(AM51="Sand",0,1000*AK51/(1+AU51)*IF(AQ51+BC51&lt;=BJ51,BI51*LOG10((AQ51+BC51)/AQ51),BI51*LOG10(BJ51/AQ51)+BH51*LOG10((AQ51+BC51)/BJ51)))*BF51</f>
        <v/>
      </c>
      <c r="BL51" s="68">
        <f>IF(AM51="Sand",0,10^(INDEX(Input!$Q$48:$Q$54,MIN(MATCH(MIN(MAX(AR51,30),120),Input!$C$48:$C$54,1),6))+(MIN(MAX(AR51,30),120)-INDEX(Input!$C$48:$C$54,MIN(MATCH(MIN(MAX(AR51,30),120),Input!$C$48:$C$54,1),6)))/(INDEX(Input!$C$48:$C$54,MIN(MATCH(MIN(MAX(AR51,30),120),Input!$C$48:$C$54,1),6)+1)-INDEX(Input!$C$48:$C$54,MIN(MATCH(MIN(MAX(AR51,30),120),Input!$C$48:$C$54,1),6)))*(INDEX(Input!$Q$48:$Q$54,MIN(MATCH(MIN(MAX(AR51,30),120),Input!$C$48:$C$54,1),6)+1)-INDEX(Input!$Q$48:$Q$54,MIN(MATCH(MIN(MAX(AR51,30),120),Input!$C$48:$C$54,1),6)))))</f>
        <v/>
      </c>
      <c r="BM51" s="68">
        <f>IF(OR(AM51="Sand",BF51=0),0,Input!$AA$38*(AK51/2)^2/(BL51*1E-4*31536000))</f>
        <v/>
      </c>
      <c r="BN51" s="68">
        <f>MAX(0,MIN(AJ51,Input!$AA$20)-AI51)</f>
        <v/>
      </c>
      <c r="BO51" s="68">
        <f>MAX(0,MIN(AJ51,Input!$AA$20)-MAX(AI51,$AA$22))</f>
        <v/>
      </c>
      <c r="BP51" s="68">
        <f>MAX(0,MIN(AJ51,$AA$225)-AI51)</f>
        <v/>
      </c>
      <c r="BQ51" s="68" t="inlineStr">
        <is>
          <t>data copied from BH-02</t>
        </is>
      </c>
    </row>
    <row r="52">
      <c r="B52" s="9" t="n"/>
      <c r="C52" s="57" t="n">
        <v>25</v>
      </c>
      <c r="D52" s="41" t="n"/>
      <c r="E52" s="55">
        <f>AI52</f>
        <v/>
      </c>
      <c r="F52" s="41" t="n"/>
      <c r="G52" s="41" t="n"/>
      <c r="H52" s="55">
        <f>AJ52</f>
        <v/>
      </c>
      <c r="I52" s="41" t="n"/>
      <c r="J52" s="41" t="n"/>
      <c r="K52" s="52">
        <f>AM52</f>
        <v/>
      </c>
      <c r="L52" s="41" t="n"/>
      <c r="M52" s="41" t="n"/>
      <c r="N52" s="57">
        <f>AN52</f>
        <v/>
      </c>
      <c r="O52" s="41" t="n"/>
      <c r="P52" s="41" t="n"/>
      <c r="Q52" s="53">
        <f>AO52</f>
        <v/>
      </c>
      <c r="R52" s="41" t="n"/>
      <c r="S52" s="41" t="n"/>
      <c r="T52" s="57">
        <f>IF(AR52="","-",AR52)</f>
        <v/>
      </c>
      <c r="U52" s="41" t="n"/>
      <c r="V52" s="57">
        <f>IF(AT52="","-",AT52)</f>
        <v/>
      </c>
      <c r="W52" s="41" t="n"/>
      <c r="X52" s="55">
        <f>AU52</f>
        <v/>
      </c>
      <c r="Y52" s="41" t="n"/>
      <c r="Z52" s="66">
        <f>AV52</f>
        <v/>
      </c>
      <c r="AA52" s="41" t="n"/>
      <c r="AB52" s="41" t="n"/>
      <c r="AC52" s="53">
        <f>AW52</f>
        <v/>
      </c>
      <c r="AD52" s="41" t="n"/>
      <c r="AE52" s="41" t="n"/>
      <c r="AF52" s="15" t="n"/>
      <c r="AI52" s="67" t="n">
        <v>36</v>
      </c>
      <c r="AJ52" s="67" t="n">
        <v>37.5</v>
      </c>
      <c r="AK52" s="68">
        <f>AJ52-AI52</f>
        <v/>
      </c>
      <c r="AL52" s="68">
        <f>(AI52+AJ52)/2</f>
        <v/>
      </c>
      <c r="AM52" s="67" t="inlineStr">
        <is>
          <t>Sand</t>
        </is>
      </c>
      <c r="AN52" s="67" t="n">
        <v>54</v>
      </c>
      <c r="AO52" s="68">
        <f>IF(AL52&gt;$AA$19,$AA$21,$AA$20)</f>
        <v/>
      </c>
      <c r="AP52" s="68">
        <f>AP51+AO52*AK52</f>
        <v/>
      </c>
      <c r="AQ52" s="68">
        <f>AP52-AO52*AK52/2-10*MAX(AL52-$AA$19,0)</f>
        <v/>
      </c>
      <c r="AR52" s="67" t="n"/>
      <c r="AS52" s="67" t="n"/>
      <c r="AT52" s="68">
        <f>IF(AR52="","",AR52-AS52)</f>
        <v/>
      </c>
      <c r="AU52" s="67" t="n">
        <v>0.65</v>
      </c>
      <c r="AV52" s="68">
        <f>IF(AM52="Sand",0,Input!$AA$31*AN52)</f>
        <v/>
      </c>
      <c r="AW52" s="68">
        <f>IF(AM52="Sand",27.1+0.3*MIN(Input!$AA$32*AN52,60)-0.00054*MIN(Input!$AA$32*AN52,60)^2,MIN(MAX(DEGREES(ASIN(0.8-0.094*LN(MAX(IF(AT52="",10,AT52),5)))),20),30))</f>
        <v/>
      </c>
      <c r="AX52" s="68">
        <f>IF(AM52="Sand",Input!$AA$33*Input!$AA$32*AN52,Input!$AA$34*AV52)</f>
        <v/>
      </c>
      <c r="AY52" s="68">
        <f>IF(AM52="Sand",Input!$AA$35,0.5)</f>
        <v/>
      </c>
      <c r="AZ52" s="68">
        <f>Input!$AA$15/2/AL52</f>
        <v/>
      </c>
      <c r="BA52" s="68">
        <f>Input!$AA$16/2/AL52</f>
        <v/>
      </c>
      <c r="BB52" s="68">
        <f>1/(4*PI())*(2*AZ52*BA52*SQRT(AZ52^2+BA52^2+1)/(AZ52^2+BA52^2+1+AZ52^2*BA52^2)*(AZ52^2+BA52^2+2)/(AZ52^2+BA52^2+1)+ATAN2(AZ52^2+BA52^2+1-AZ52^2*BA52^2,2*AZ52*BA52*SQRT(AZ52^2+BA52^2+1)))</f>
        <v/>
      </c>
      <c r="BC52" s="68">
        <f>4*Input!$AA$14*BB52</f>
        <v/>
      </c>
      <c r="BD52" s="68">
        <f>((Input!$AA$16/Input!$AA$15)*LN((1+SQRT((Input!$AA$16/Input!$AA$15)^2+1))*SQRT((Input!$AA$16/Input!$AA$15)^2+(AJ52/(Input!$AA$15/2))^2)/((Input!$AA$16/Input!$AA$15)*(1+SQRT((Input!$AA$16/Input!$AA$15)^2+(AJ52/(Input!$AA$15/2))^2+1))))+LN(((Input!$AA$16/Input!$AA$15)+SQRT((Input!$AA$16/Input!$AA$15)^2+1))*SQRT(1+(AJ52/(Input!$AA$15/2))^2)/((Input!$AA$16/Input!$AA$15)+SQRT((Input!$AA$16/Input!$AA$15)^2+(AJ52/(Input!$AA$15/2))^2+1))))/PI()</f>
        <v/>
      </c>
      <c r="BE52" s="68">
        <f>(AJ52/(Input!$AA$15/2))/(2*PI())*ATAN((Input!$AA$16/Input!$AA$15)/((AJ52/(Input!$AA$15/2))*SQRT((Input!$AA$16/Input!$AA$15)^2+(AJ52/(Input!$AA$15/2))^2+1)))</f>
        <v/>
      </c>
      <c r="BF52" s="68">
        <f>MAX(0,AJ52-MAX(AI52,$AA$22))/AK52*IF(BC52&gt;=Input!$AA$21*AQ52,1,0)</f>
        <v/>
      </c>
      <c r="BG52" s="68">
        <f>4*Input!$AA$14*(Input!$AA$15/2)*(1-AY52^2)/AX52*((BD52-BD51)+(1-2*AY52)/(1-AY52)*(BE52-BE51))*1000*BF52</f>
        <v/>
      </c>
      <c r="BH52" s="68">
        <f>IF(AM52="Sand",0,0.009*(AR52-10))</f>
        <v/>
      </c>
      <c r="BI52" s="68">
        <f>BH52*Input!$AA$36</f>
        <v/>
      </c>
      <c r="BJ52" s="68">
        <f>IF(AM52="Sand",0,MAX(AV52/Input!$AA$37,AQ52))</f>
        <v/>
      </c>
      <c r="BK52" s="68">
        <f>IF(AM52="Sand",0,1000*AK52/(1+AU52)*IF(AQ52+BC52&lt;=BJ52,BI52*LOG10((AQ52+BC52)/AQ52),BI52*LOG10(BJ52/AQ52)+BH52*LOG10((AQ52+BC52)/BJ52)))*BF52</f>
        <v/>
      </c>
      <c r="BL52" s="68">
        <f>IF(AM52="Sand",0,10^(INDEX(Input!$Q$48:$Q$54,MIN(MATCH(MIN(MAX(AR52,30),120),Input!$C$48:$C$54,1),6))+(MIN(MAX(AR52,30),120)-INDEX(Input!$C$48:$C$54,MIN(MATCH(MIN(MAX(AR52,30),120),Input!$C$48:$C$54,1),6)))/(INDEX(Input!$C$48:$C$54,MIN(MATCH(MIN(MAX(AR52,30),120),Input!$C$48:$C$54,1),6)+1)-INDEX(Input!$C$48:$C$54,MIN(MATCH(MIN(MAX(AR52,30),120),Input!$C$48:$C$54,1),6)))*(INDEX(Input!$Q$48:$Q$54,MIN(MATCH(MIN(MAX(AR52,30),120),Input!$C$48:$C$54,1),6)+1)-INDEX(Input!$Q$48:$Q$54,MIN(MATCH(MIN(MAX(AR52,30),120),Input!$C$48:$C$54,1),6)))))</f>
        <v/>
      </c>
      <c r="BM52" s="68">
        <f>IF(OR(AM52="Sand",BF52=0),0,Input!$AA$38*(AK52/2)^2/(BL52*1E-4*31536000))</f>
        <v/>
      </c>
      <c r="BN52" s="68">
        <f>MAX(0,MIN(AJ52,Input!$AA$20)-AI52)</f>
        <v/>
      </c>
      <c r="BO52" s="68">
        <f>MAX(0,MIN(AJ52,Input!$AA$20)-MAX(AI52,$AA$22))</f>
        <v/>
      </c>
      <c r="BP52" s="68">
        <f>MAX(0,MIN(AJ52,$AA$225)-AI52)</f>
        <v/>
      </c>
      <c r="BQ52" s="68" t="inlineStr">
        <is>
          <t>data copied from BH-02</t>
        </is>
      </c>
    </row>
    <row r="53">
      <c r="B53" s="9" t="n"/>
      <c r="C53" s="57" t="n">
        <v>26</v>
      </c>
      <c r="D53" s="41" t="n"/>
      <c r="E53" s="55">
        <f>AI53</f>
        <v/>
      </c>
      <c r="F53" s="41" t="n"/>
      <c r="G53" s="41" t="n"/>
      <c r="H53" s="55">
        <f>AJ53</f>
        <v/>
      </c>
      <c r="I53" s="41" t="n"/>
      <c r="J53" s="41" t="n"/>
      <c r="K53" s="52">
        <f>AM53</f>
        <v/>
      </c>
      <c r="L53" s="41" t="n"/>
      <c r="M53" s="41" t="n"/>
      <c r="N53" s="57">
        <f>AN53</f>
        <v/>
      </c>
      <c r="O53" s="41" t="n"/>
      <c r="P53" s="41" t="n"/>
      <c r="Q53" s="53">
        <f>AO53</f>
        <v/>
      </c>
      <c r="R53" s="41" t="n"/>
      <c r="S53" s="41" t="n"/>
      <c r="T53" s="57">
        <f>IF(AR53="","-",AR53)</f>
        <v/>
      </c>
      <c r="U53" s="41" t="n"/>
      <c r="V53" s="57">
        <f>IF(AT53="","-",AT53)</f>
        <v/>
      </c>
      <c r="W53" s="41" t="n"/>
      <c r="X53" s="55">
        <f>AU53</f>
        <v/>
      </c>
      <c r="Y53" s="41" t="n"/>
      <c r="Z53" s="66">
        <f>AV53</f>
        <v/>
      </c>
      <c r="AA53" s="41" t="n"/>
      <c r="AB53" s="41" t="n"/>
      <c r="AC53" s="53">
        <f>AW53</f>
        <v/>
      </c>
      <c r="AD53" s="41" t="n"/>
      <c r="AE53" s="41" t="n"/>
      <c r="AF53" s="15" t="n"/>
      <c r="AI53" s="67" t="n">
        <v>37.5</v>
      </c>
      <c r="AJ53" s="67" t="n">
        <v>39</v>
      </c>
      <c r="AK53" s="68">
        <f>AJ53-AI53</f>
        <v/>
      </c>
      <c r="AL53" s="68">
        <f>(AI53+AJ53)/2</f>
        <v/>
      </c>
      <c r="AM53" s="67" t="inlineStr">
        <is>
          <t>Sand</t>
        </is>
      </c>
      <c r="AN53" s="67" t="n">
        <v>50</v>
      </c>
      <c r="AO53" s="68">
        <f>IF(AL53&gt;$AA$19,$AA$21,$AA$20)</f>
        <v/>
      </c>
      <c r="AP53" s="68">
        <f>AP52+AO53*AK53</f>
        <v/>
      </c>
      <c r="AQ53" s="68">
        <f>AP53-AO53*AK53/2-10*MAX(AL53-$AA$19,0)</f>
        <v/>
      </c>
      <c r="AR53" s="67" t="n"/>
      <c r="AS53" s="67" t="n"/>
      <c r="AT53" s="68">
        <f>IF(AR53="","",AR53-AS53)</f>
        <v/>
      </c>
      <c r="AU53" s="67" t="n">
        <v>0.746</v>
      </c>
      <c r="AV53" s="68">
        <f>IF(AM53="Sand",0,Input!$AA$31*AN53)</f>
        <v/>
      </c>
      <c r="AW53" s="68">
        <f>IF(AM53="Sand",27.1+0.3*MIN(Input!$AA$32*AN53,60)-0.00054*MIN(Input!$AA$32*AN53,60)^2,MIN(MAX(DEGREES(ASIN(0.8-0.094*LN(MAX(IF(AT53="",10,AT53),5)))),20),30))</f>
        <v/>
      </c>
      <c r="AX53" s="68">
        <f>IF(AM53="Sand",Input!$AA$33*Input!$AA$32*AN53,Input!$AA$34*AV53)</f>
        <v/>
      </c>
      <c r="AY53" s="68">
        <f>IF(AM53="Sand",Input!$AA$35,0.5)</f>
        <v/>
      </c>
      <c r="AZ53" s="68">
        <f>Input!$AA$15/2/AL53</f>
        <v/>
      </c>
      <c r="BA53" s="68">
        <f>Input!$AA$16/2/AL53</f>
        <v/>
      </c>
      <c r="BB53" s="68">
        <f>1/(4*PI())*(2*AZ53*BA53*SQRT(AZ53^2+BA53^2+1)/(AZ53^2+BA53^2+1+AZ53^2*BA53^2)*(AZ53^2+BA53^2+2)/(AZ53^2+BA53^2+1)+ATAN2(AZ53^2+BA53^2+1-AZ53^2*BA53^2,2*AZ53*BA53*SQRT(AZ53^2+BA53^2+1)))</f>
        <v/>
      </c>
      <c r="BC53" s="68">
        <f>4*Input!$AA$14*BB53</f>
        <v/>
      </c>
      <c r="BD53" s="68">
        <f>((Input!$AA$16/Input!$AA$15)*LN((1+SQRT((Input!$AA$16/Input!$AA$15)^2+1))*SQRT((Input!$AA$16/Input!$AA$15)^2+(AJ53/(Input!$AA$15/2))^2)/((Input!$AA$16/Input!$AA$15)*(1+SQRT((Input!$AA$16/Input!$AA$15)^2+(AJ53/(Input!$AA$15/2))^2+1))))+LN(((Input!$AA$16/Input!$AA$15)+SQRT((Input!$AA$16/Input!$AA$15)^2+1))*SQRT(1+(AJ53/(Input!$AA$15/2))^2)/((Input!$AA$16/Input!$AA$15)+SQRT((Input!$AA$16/Input!$AA$15)^2+(AJ53/(Input!$AA$15/2))^2+1))))/PI()</f>
        <v/>
      </c>
      <c r="BE53" s="68">
        <f>(AJ53/(Input!$AA$15/2))/(2*PI())*ATAN((Input!$AA$16/Input!$AA$15)/((AJ53/(Input!$AA$15/2))*SQRT((Input!$AA$16/Input!$AA$15)^2+(AJ53/(Input!$AA$15/2))^2+1)))</f>
        <v/>
      </c>
      <c r="BF53" s="68">
        <f>MAX(0,AJ53-MAX(AI53,$AA$22))/AK53*IF(BC53&gt;=Input!$AA$21*AQ53,1,0)</f>
        <v/>
      </c>
      <c r="BG53" s="68">
        <f>4*Input!$AA$14*(Input!$AA$15/2)*(1-AY53^2)/AX53*((BD53-BD52)+(1-2*AY53)/(1-AY53)*(BE53-BE52))*1000*BF53</f>
        <v/>
      </c>
      <c r="BH53" s="68">
        <f>IF(AM53="Sand",0,0.009*(AR53-10))</f>
        <v/>
      </c>
      <c r="BI53" s="68">
        <f>BH53*Input!$AA$36</f>
        <v/>
      </c>
      <c r="BJ53" s="68">
        <f>IF(AM53="Sand",0,MAX(AV53/Input!$AA$37,AQ53))</f>
        <v/>
      </c>
      <c r="BK53" s="68">
        <f>IF(AM53="Sand",0,1000*AK53/(1+AU53)*IF(AQ53+BC53&lt;=BJ53,BI53*LOG10((AQ53+BC53)/AQ53),BI53*LOG10(BJ53/AQ53)+BH53*LOG10((AQ53+BC53)/BJ53)))*BF53</f>
        <v/>
      </c>
      <c r="BL53" s="68">
        <f>IF(AM53="Sand",0,10^(INDEX(Input!$Q$48:$Q$54,MIN(MATCH(MIN(MAX(AR53,30),120),Input!$C$48:$C$54,1),6))+(MIN(MAX(AR53,30),120)-INDEX(Input!$C$48:$C$54,MIN(MATCH(MIN(MAX(AR53,30),120),Input!$C$48:$C$54,1),6)))/(INDEX(Input!$C$48:$C$54,MIN(MATCH(MIN(MAX(AR53,30),120),Input!$C$48:$C$54,1),6)+1)-INDEX(Input!$C$48:$C$54,MIN(MATCH(MIN(MAX(AR53,30),120),Input!$C$48:$C$54,1),6)))*(INDEX(Input!$Q$48:$Q$54,MIN(MATCH(MIN(MAX(AR53,30),120),Input!$C$48:$C$54,1),6)+1)-INDEX(Input!$Q$48:$Q$54,MIN(MATCH(MIN(MAX(AR53,30),120),Input!$C$48:$C$54,1),6)))))</f>
        <v/>
      </c>
      <c r="BM53" s="68">
        <f>IF(OR(AM53="Sand",BF53=0),0,Input!$AA$38*(AK53/2)^2/(BL53*1E-4*31536000))</f>
        <v/>
      </c>
      <c r="BN53" s="68">
        <f>MAX(0,MIN(AJ53,Input!$AA$20)-AI53)</f>
        <v/>
      </c>
      <c r="BO53" s="68">
        <f>MAX(0,MIN(AJ53,Input!$AA$20)-MAX(AI53,$AA$22))</f>
        <v/>
      </c>
      <c r="BP53" s="68">
        <f>MAX(0,MIN(AJ53,$AA$225)-AI53)</f>
        <v/>
      </c>
      <c r="BQ53" s="68" t="inlineStr">
        <is>
          <t>data copied from BH-02</t>
        </is>
      </c>
    </row>
    <row r="54">
      <c r="B54" s="9" t="n"/>
      <c r="C54" s="57" t="n">
        <v>27</v>
      </c>
      <c r="D54" s="41" t="n"/>
      <c r="E54" s="55">
        <f>AI54</f>
        <v/>
      </c>
      <c r="F54" s="41" t="n"/>
      <c r="G54" s="41" t="n"/>
      <c r="H54" s="55">
        <f>AJ54</f>
        <v/>
      </c>
      <c r="I54" s="41" t="n"/>
      <c r="J54" s="41" t="n"/>
      <c r="K54" s="52">
        <f>AM54</f>
        <v/>
      </c>
      <c r="L54" s="41" t="n"/>
      <c r="M54" s="41" t="n"/>
      <c r="N54" s="57">
        <f>AN54</f>
        <v/>
      </c>
      <c r="O54" s="41" t="n"/>
      <c r="P54" s="41" t="n"/>
      <c r="Q54" s="53">
        <f>AO54</f>
        <v/>
      </c>
      <c r="R54" s="41" t="n"/>
      <c r="S54" s="41" t="n"/>
      <c r="T54" s="57">
        <f>IF(AR54="","-",AR54)</f>
        <v/>
      </c>
      <c r="U54" s="41" t="n"/>
      <c r="V54" s="57">
        <f>IF(AT54="","-",AT54)</f>
        <v/>
      </c>
      <c r="W54" s="41" t="n"/>
      <c r="X54" s="55">
        <f>AU54</f>
        <v/>
      </c>
      <c r="Y54" s="41" t="n"/>
      <c r="Z54" s="66">
        <f>AV54</f>
        <v/>
      </c>
      <c r="AA54" s="41" t="n"/>
      <c r="AB54" s="41" t="n"/>
      <c r="AC54" s="53">
        <f>AW54</f>
        <v/>
      </c>
      <c r="AD54" s="41" t="n"/>
      <c r="AE54" s="41" t="n"/>
      <c r="AF54" s="15" t="n"/>
      <c r="AI54" s="67" t="n">
        <v>39</v>
      </c>
      <c r="AJ54" s="67" t="n">
        <v>40.5</v>
      </c>
      <c r="AK54" s="68">
        <f>AJ54-AI54</f>
        <v/>
      </c>
      <c r="AL54" s="68">
        <f>(AI54+AJ54)/2</f>
        <v/>
      </c>
      <c r="AM54" s="67" t="inlineStr">
        <is>
          <t>Sand</t>
        </is>
      </c>
      <c r="AN54" s="67" t="n">
        <v>50</v>
      </c>
      <c r="AO54" s="68">
        <f>IF(AL54&gt;$AA$19,$AA$21,$AA$20)</f>
        <v/>
      </c>
      <c r="AP54" s="68">
        <f>AP53+AO54*AK54</f>
        <v/>
      </c>
      <c r="AQ54" s="68">
        <f>AP54-AO54*AK54/2-10*MAX(AL54-$AA$19,0)</f>
        <v/>
      </c>
      <c r="AR54" s="67" t="n"/>
      <c r="AS54" s="67" t="n"/>
      <c r="AT54" s="68">
        <f>IF(AR54="","",AR54-AS54)</f>
        <v/>
      </c>
      <c r="AU54" s="67" t="n">
        <v>0.65</v>
      </c>
      <c r="AV54" s="68">
        <f>IF(AM54="Sand",0,Input!$AA$31*AN54)</f>
        <v/>
      </c>
      <c r="AW54" s="68">
        <f>IF(AM54="Sand",27.1+0.3*MIN(Input!$AA$32*AN54,60)-0.00054*MIN(Input!$AA$32*AN54,60)^2,MIN(MAX(DEGREES(ASIN(0.8-0.094*LN(MAX(IF(AT54="",10,AT54),5)))),20),30))</f>
        <v/>
      </c>
      <c r="AX54" s="68">
        <f>IF(AM54="Sand",Input!$AA$33*Input!$AA$32*AN54,Input!$AA$34*AV54)</f>
        <v/>
      </c>
      <c r="AY54" s="68">
        <f>IF(AM54="Sand",Input!$AA$35,0.5)</f>
        <v/>
      </c>
      <c r="AZ54" s="68">
        <f>Input!$AA$15/2/AL54</f>
        <v/>
      </c>
      <c r="BA54" s="68">
        <f>Input!$AA$16/2/AL54</f>
        <v/>
      </c>
      <c r="BB54" s="68">
        <f>1/(4*PI())*(2*AZ54*BA54*SQRT(AZ54^2+BA54^2+1)/(AZ54^2+BA54^2+1+AZ54^2*BA54^2)*(AZ54^2+BA54^2+2)/(AZ54^2+BA54^2+1)+ATAN2(AZ54^2+BA54^2+1-AZ54^2*BA54^2,2*AZ54*BA54*SQRT(AZ54^2+BA54^2+1)))</f>
        <v/>
      </c>
      <c r="BC54" s="68">
        <f>4*Input!$AA$14*BB54</f>
        <v/>
      </c>
      <c r="BD54" s="68">
        <f>((Input!$AA$16/Input!$AA$15)*LN((1+SQRT((Input!$AA$16/Input!$AA$15)^2+1))*SQRT((Input!$AA$16/Input!$AA$15)^2+(AJ54/(Input!$AA$15/2))^2)/((Input!$AA$16/Input!$AA$15)*(1+SQRT((Input!$AA$16/Input!$AA$15)^2+(AJ54/(Input!$AA$15/2))^2+1))))+LN(((Input!$AA$16/Input!$AA$15)+SQRT((Input!$AA$16/Input!$AA$15)^2+1))*SQRT(1+(AJ54/(Input!$AA$15/2))^2)/((Input!$AA$16/Input!$AA$15)+SQRT((Input!$AA$16/Input!$AA$15)^2+(AJ54/(Input!$AA$15/2))^2+1))))/PI()</f>
        <v/>
      </c>
      <c r="BE54" s="68">
        <f>(AJ54/(Input!$AA$15/2))/(2*PI())*ATAN((Input!$AA$16/Input!$AA$15)/((AJ54/(Input!$AA$15/2))*SQRT((Input!$AA$16/Input!$AA$15)^2+(AJ54/(Input!$AA$15/2))^2+1)))</f>
        <v/>
      </c>
      <c r="BF54" s="68">
        <f>MAX(0,AJ54-MAX(AI54,$AA$22))/AK54*IF(BC54&gt;=Input!$AA$21*AQ54,1,0)</f>
        <v/>
      </c>
      <c r="BG54" s="68">
        <f>4*Input!$AA$14*(Input!$AA$15/2)*(1-AY54^2)/AX54*((BD54-BD53)+(1-2*AY54)/(1-AY54)*(BE54-BE53))*1000*BF54</f>
        <v/>
      </c>
      <c r="BH54" s="68">
        <f>IF(AM54="Sand",0,0.009*(AR54-10))</f>
        <v/>
      </c>
      <c r="BI54" s="68">
        <f>BH54*Input!$AA$36</f>
        <v/>
      </c>
      <c r="BJ54" s="68">
        <f>IF(AM54="Sand",0,MAX(AV54/Input!$AA$37,AQ54))</f>
        <v/>
      </c>
      <c r="BK54" s="68">
        <f>IF(AM54="Sand",0,1000*AK54/(1+AU54)*IF(AQ54+BC54&lt;=BJ54,BI54*LOG10((AQ54+BC54)/AQ54),BI54*LOG10(BJ54/AQ54)+BH54*LOG10((AQ54+BC54)/BJ54)))*BF54</f>
        <v/>
      </c>
      <c r="BL54" s="68">
        <f>IF(AM54="Sand",0,10^(INDEX(Input!$Q$48:$Q$54,MIN(MATCH(MIN(MAX(AR54,30),120),Input!$C$48:$C$54,1),6))+(MIN(MAX(AR54,30),120)-INDEX(Input!$C$48:$C$54,MIN(MATCH(MIN(MAX(AR54,30),120),Input!$C$48:$C$54,1),6)))/(INDEX(Input!$C$48:$C$54,MIN(MATCH(MIN(MAX(AR54,30),120),Input!$C$48:$C$54,1),6)+1)-INDEX(Input!$C$48:$C$54,MIN(MATCH(MIN(MAX(AR54,30),120),Input!$C$48:$C$54,1),6)))*(INDEX(Input!$Q$48:$Q$54,MIN(MATCH(MIN(MAX(AR54,30),120),Input!$C$48:$C$54,1),6)+1)-INDEX(Input!$Q$48:$Q$54,MIN(MATCH(MIN(MAX(AR54,30),120),Input!$C$48:$C$54,1),6)))))</f>
        <v/>
      </c>
      <c r="BM54" s="68">
        <f>IF(OR(AM54="Sand",BF54=0),0,Input!$AA$38*(AK54/2)^2/(BL54*1E-4*31536000))</f>
        <v/>
      </c>
      <c r="BN54" s="68">
        <f>MAX(0,MIN(AJ54,Input!$AA$20)-AI54)</f>
        <v/>
      </c>
      <c r="BO54" s="68">
        <f>MAX(0,MIN(AJ54,Input!$AA$20)-MAX(AI54,$AA$22))</f>
        <v/>
      </c>
      <c r="BP54" s="68">
        <f>MAX(0,MIN(AJ54,$AA$225)-AI54)</f>
        <v/>
      </c>
      <c r="BQ54" s="68" t="inlineStr">
        <is>
          <t>data copied from BH-02</t>
        </is>
      </c>
    </row>
    <row r="55">
      <c r="B55" s="9" t="n"/>
      <c r="C55" s="57" t="n">
        <v>28</v>
      </c>
      <c r="D55" s="41" t="n"/>
      <c r="E55" s="55">
        <f>AI55</f>
        <v/>
      </c>
      <c r="F55" s="41" t="n"/>
      <c r="G55" s="41" t="n"/>
      <c r="H55" s="55">
        <f>AJ55</f>
        <v/>
      </c>
      <c r="I55" s="41" t="n"/>
      <c r="J55" s="41" t="n"/>
      <c r="K55" s="52">
        <f>AM55</f>
        <v/>
      </c>
      <c r="L55" s="41" t="n"/>
      <c r="M55" s="41" t="n"/>
      <c r="N55" s="57">
        <f>AN55</f>
        <v/>
      </c>
      <c r="O55" s="41" t="n"/>
      <c r="P55" s="41" t="n"/>
      <c r="Q55" s="53">
        <f>AO55</f>
        <v/>
      </c>
      <c r="R55" s="41" t="n"/>
      <c r="S55" s="41" t="n"/>
      <c r="T55" s="57">
        <f>IF(AR55="","-",AR55)</f>
        <v/>
      </c>
      <c r="U55" s="41" t="n"/>
      <c r="V55" s="57">
        <f>IF(AT55="","-",AT55)</f>
        <v/>
      </c>
      <c r="W55" s="41" t="n"/>
      <c r="X55" s="55">
        <f>AU55</f>
        <v/>
      </c>
      <c r="Y55" s="41" t="n"/>
      <c r="Z55" s="66">
        <f>AV55</f>
        <v/>
      </c>
      <c r="AA55" s="41" t="n"/>
      <c r="AB55" s="41" t="n"/>
      <c r="AC55" s="53">
        <f>AW55</f>
        <v/>
      </c>
      <c r="AD55" s="41" t="n"/>
      <c r="AE55" s="41" t="n"/>
      <c r="AF55" s="15" t="n"/>
      <c r="AI55" s="67" t="n">
        <v>40.5</v>
      </c>
      <c r="AJ55" s="67" t="n">
        <v>42</v>
      </c>
      <c r="AK55" s="68">
        <f>AJ55-AI55</f>
        <v/>
      </c>
      <c r="AL55" s="68">
        <f>(AI55+AJ55)/2</f>
        <v/>
      </c>
      <c r="AM55" s="67" t="inlineStr">
        <is>
          <t>Sand</t>
        </is>
      </c>
      <c r="AN55" s="67" t="n">
        <v>37</v>
      </c>
      <c r="AO55" s="68">
        <f>IF(AL55&gt;$AA$19,$AA$21,$AA$20)</f>
        <v/>
      </c>
      <c r="AP55" s="68">
        <f>AP54+AO55*AK55</f>
        <v/>
      </c>
      <c r="AQ55" s="68">
        <f>AP55-AO55*AK55/2-10*MAX(AL55-$AA$19,0)</f>
        <v/>
      </c>
      <c r="AR55" s="67" t="n"/>
      <c r="AS55" s="67" t="n"/>
      <c r="AT55" s="68">
        <f>IF(AR55="","",AR55-AS55)</f>
        <v/>
      </c>
      <c r="AU55" s="67" t="n">
        <v>0.793</v>
      </c>
      <c r="AV55" s="68">
        <f>IF(AM55="Sand",0,Input!$AA$31*AN55)</f>
        <v/>
      </c>
      <c r="AW55" s="68">
        <f>IF(AM55="Sand",27.1+0.3*MIN(Input!$AA$32*AN55,60)-0.00054*MIN(Input!$AA$32*AN55,60)^2,MIN(MAX(DEGREES(ASIN(0.8-0.094*LN(MAX(IF(AT55="",10,AT55),5)))),20),30))</f>
        <v/>
      </c>
      <c r="AX55" s="68">
        <f>IF(AM55="Sand",Input!$AA$33*Input!$AA$32*AN55,Input!$AA$34*AV55)</f>
        <v/>
      </c>
      <c r="AY55" s="68">
        <f>IF(AM55="Sand",Input!$AA$35,0.5)</f>
        <v/>
      </c>
      <c r="AZ55" s="68">
        <f>Input!$AA$15/2/AL55</f>
        <v/>
      </c>
      <c r="BA55" s="68">
        <f>Input!$AA$16/2/AL55</f>
        <v/>
      </c>
      <c r="BB55" s="68">
        <f>1/(4*PI())*(2*AZ55*BA55*SQRT(AZ55^2+BA55^2+1)/(AZ55^2+BA55^2+1+AZ55^2*BA55^2)*(AZ55^2+BA55^2+2)/(AZ55^2+BA55^2+1)+ATAN2(AZ55^2+BA55^2+1-AZ55^2*BA55^2,2*AZ55*BA55*SQRT(AZ55^2+BA55^2+1)))</f>
        <v/>
      </c>
      <c r="BC55" s="68">
        <f>4*Input!$AA$14*BB55</f>
        <v/>
      </c>
      <c r="BD55" s="68">
        <f>((Input!$AA$16/Input!$AA$15)*LN((1+SQRT((Input!$AA$16/Input!$AA$15)^2+1))*SQRT((Input!$AA$16/Input!$AA$15)^2+(AJ55/(Input!$AA$15/2))^2)/((Input!$AA$16/Input!$AA$15)*(1+SQRT((Input!$AA$16/Input!$AA$15)^2+(AJ55/(Input!$AA$15/2))^2+1))))+LN(((Input!$AA$16/Input!$AA$15)+SQRT((Input!$AA$16/Input!$AA$15)^2+1))*SQRT(1+(AJ55/(Input!$AA$15/2))^2)/((Input!$AA$16/Input!$AA$15)+SQRT((Input!$AA$16/Input!$AA$15)^2+(AJ55/(Input!$AA$15/2))^2+1))))/PI()</f>
        <v/>
      </c>
      <c r="BE55" s="68">
        <f>(AJ55/(Input!$AA$15/2))/(2*PI())*ATAN((Input!$AA$16/Input!$AA$15)/((AJ55/(Input!$AA$15/2))*SQRT((Input!$AA$16/Input!$AA$15)^2+(AJ55/(Input!$AA$15/2))^2+1)))</f>
        <v/>
      </c>
      <c r="BF55" s="68">
        <f>MAX(0,AJ55-MAX(AI55,$AA$22))/AK55*IF(BC55&gt;=Input!$AA$21*AQ55,1,0)</f>
        <v/>
      </c>
      <c r="BG55" s="68">
        <f>4*Input!$AA$14*(Input!$AA$15/2)*(1-AY55^2)/AX55*((BD55-BD54)+(1-2*AY55)/(1-AY55)*(BE55-BE54))*1000*BF55</f>
        <v/>
      </c>
      <c r="BH55" s="68">
        <f>IF(AM55="Sand",0,0.009*(AR55-10))</f>
        <v/>
      </c>
      <c r="BI55" s="68">
        <f>BH55*Input!$AA$36</f>
        <v/>
      </c>
      <c r="BJ55" s="68">
        <f>IF(AM55="Sand",0,MAX(AV55/Input!$AA$37,AQ55))</f>
        <v/>
      </c>
      <c r="BK55" s="68">
        <f>IF(AM55="Sand",0,1000*AK55/(1+AU55)*IF(AQ55+BC55&lt;=BJ55,BI55*LOG10((AQ55+BC55)/AQ55),BI55*LOG10(BJ55/AQ55)+BH55*LOG10((AQ55+BC55)/BJ55)))*BF55</f>
        <v/>
      </c>
      <c r="BL55" s="68">
        <f>IF(AM55="Sand",0,10^(INDEX(Input!$Q$48:$Q$54,MIN(MATCH(MIN(MAX(AR55,30),120),Input!$C$48:$C$54,1),6))+(MIN(MAX(AR55,30),120)-INDEX(Input!$C$48:$C$54,MIN(MATCH(MIN(MAX(AR55,30),120),Input!$C$48:$C$54,1),6)))/(INDEX(Input!$C$48:$C$54,MIN(MATCH(MIN(MAX(AR55,30),120),Input!$C$48:$C$54,1),6)+1)-INDEX(Input!$C$48:$C$54,MIN(MATCH(MIN(MAX(AR55,30),120),Input!$C$48:$C$54,1),6)))*(INDEX(Input!$Q$48:$Q$54,MIN(MATCH(MIN(MAX(AR55,30),120),Input!$C$48:$C$54,1),6)+1)-INDEX(Input!$Q$48:$Q$54,MIN(MATCH(MIN(MAX(AR55,30),120),Input!$C$48:$C$54,1),6)))))</f>
        <v/>
      </c>
      <c r="BM55" s="68">
        <f>IF(OR(AM55="Sand",BF55=0),0,Input!$AA$38*(AK55/2)^2/(BL55*1E-4*31536000))</f>
        <v/>
      </c>
      <c r="BN55" s="68">
        <f>MAX(0,MIN(AJ55,Input!$AA$20)-AI55)</f>
        <v/>
      </c>
      <c r="BO55" s="68">
        <f>MAX(0,MIN(AJ55,Input!$AA$20)-MAX(AI55,$AA$22))</f>
        <v/>
      </c>
      <c r="BP55" s="68">
        <f>MAX(0,MIN(AJ55,$AA$225)-AI55)</f>
        <v/>
      </c>
      <c r="BQ55" s="68" t="inlineStr">
        <is>
          <t>data copied from BH-02</t>
        </is>
      </c>
    </row>
    <row r="56">
      <c r="B56" s="9" t="n"/>
      <c r="C56" s="57" t="n">
        <v>29</v>
      </c>
      <c r="D56" s="41" t="n"/>
      <c r="E56" s="55">
        <f>AI56</f>
        <v/>
      </c>
      <c r="F56" s="41" t="n"/>
      <c r="G56" s="41" t="n"/>
      <c r="H56" s="55">
        <f>AJ56</f>
        <v/>
      </c>
      <c r="I56" s="41" t="n"/>
      <c r="J56" s="41" t="n"/>
      <c r="K56" s="52">
        <f>AM56</f>
        <v/>
      </c>
      <c r="L56" s="41" t="n"/>
      <c r="M56" s="41" t="n"/>
      <c r="N56" s="57">
        <f>AN56</f>
        <v/>
      </c>
      <c r="O56" s="41" t="n"/>
      <c r="P56" s="41" t="n"/>
      <c r="Q56" s="53">
        <f>AO56</f>
        <v/>
      </c>
      <c r="R56" s="41" t="n"/>
      <c r="S56" s="41" t="n"/>
      <c r="T56" s="57">
        <f>IF(AR56="","-",AR56)</f>
        <v/>
      </c>
      <c r="U56" s="41" t="n"/>
      <c r="V56" s="57">
        <f>IF(AT56="","-",AT56)</f>
        <v/>
      </c>
      <c r="W56" s="41" t="n"/>
      <c r="X56" s="55">
        <f>AU56</f>
        <v/>
      </c>
      <c r="Y56" s="41" t="n"/>
      <c r="Z56" s="66">
        <f>AV56</f>
        <v/>
      </c>
      <c r="AA56" s="41" t="n"/>
      <c r="AB56" s="41" t="n"/>
      <c r="AC56" s="53">
        <f>AW56</f>
        <v/>
      </c>
      <c r="AD56" s="41" t="n"/>
      <c r="AE56" s="41" t="n"/>
      <c r="AF56" s="15" t="n"/>
      <c r="AI56" s="67" t="n">
        <v>42</v>
      </c>
      <c r="AJ56" s="67" t="n">
        <v>43.5</v>
      </c>
      <c r="AK56" s="68">
        <f>AJ56-AI56</f>
        <v/>
      </c>
      <c r="AL56" s="68">
        <f>(AI56+AJ56)/2</f>
        <v/>
      </c>
      <c r="AM56" s="67" t="inlineStr">
        <is>
          <t>Sand</t>
        </is>
      </c>
      <c r="AN56" s="67" t="n">
        <v>50</v>
      </c>
      <c r="AO56" s="68">
        <f>IF(AL56&gt;$AA$19,$AA$21,$AA$20)</f>
        <v/>
      </c>
      <c r="AP56" s="68">
        <f>AP55+AO56*AK56</f>
        <v/>
      </c>
      <c r="AQ56" s="68">
        <f>AP56-AO56*AK56/2-10*MAX(AL56-$AA$19,0)</f>
        <v/>
      </c>
      <c r="AR56" s="67" t="n"/>
      <c r="AS56" s="67" t="n"/>
      <c r="AT56" s="68">
        <f>IF(AR56="","",AR56-AS56)</f>
        <v/>
      </c>
      <c r="AU56" s="67" t="n">
        <v>0.65</v>
      </c>
      <c r="AV56" s="68">
        <f>IF(AM56="Sand",0,Input!$AA$31*AN56)</f>
        <v/>
      </c>
      <c r="AW56" s="68">
        <f>IF(AM56="Sand",27.1+0.3*MIN(Input!$AA$32*AN56,60)-0.00054*MIN(Input!$AA$32*AN56,60)^2,MIN(MAX(DEGREES(ASIN(0.8-0.094*LN(MAX(IF(AT56="",10,AT56),5)))),20),30))</f>
        <v/>
      </c>
      <c r="AX56" s="68">
        <f>IF(AM56="Sand",Input!$AA$33*Input!$AA$32*AN56,Input!$AA$34*AV56)</f>
        <v/>
      </c>
      <c r="AY56" s="68">
        <f>IF(AM56="Sand",Input!$AA$35,0.5)</f>
        <v/>
      </c>
      <c r="AZ56" s="68">
        <f>Input!$AA$15/2/AL56</f>
        <v/>
      </c>
      <c r="BA56" s="68">
        <f>Input!$AA$16/2/AL56</f>
        <v/>
      </c>
      <c r="BB56" s="68">
        <f>1/(4*PI())*(2*AZ56*BA56*SQRT(AZ56^2+BA56^2+1)/(AZ56^2+BA56^2+1+AZ56^2*BA56^2)*(AZ56^2+BA56^2+2)/(AZ56^2+BA56^2+1)+ATAN2(AZ56^2+BA56^2+1-AZ56^2*BA56^2,2*AZ56*BA56*SQRT(AZ56^2+BA56^2+1)))</f>
        <v/>
      </c>
      <c r="BC56" s="68">
        <f>4*Input!$AA$14*BB56</f>
        <v/>
      </c>
      <c r="BD56" s="68">
        <f>((Input!$AA$16/Input!$AA$15)*LN((1+SQRT((Input!$AA$16/Input!$AA$15)^2+1))*SQRT((Input!$AA$16/Input!$AA$15)^2+(AJ56/(Input!$AA$15/2))^2)/((Input!$AA$16/Input!$AA$15)*(1+SQRT((Input!$AA$16/Input!$AA$15)^2+(AJ56/(Input!$AA$15/2))^2+1))))+LN(((Input!$AA$16/Input!$AA$15)+SQRT((Input!$AA$16/Input!$AA$15)^2+1))*SQRT(1+(AJ56/(Input!$AA$15/2))^2)/((Input!$AA$16/Input!$AA$15)+SQRT((Input!$AA$16/Input!$AA$15)^2+(AJ56/(Input!$AA$15/2))^2+1))))/PI()</f>
        <v/>
      </c>
      <c r="BE56" s="68">
        <f>(AJ56/(Input!$AA$15/2))/(2*PI())*ATAN((Input!$AA$16/Input!$AA$15)/((AJ56/(Input!$AA$15/2))*SQRT((Input!$AA$16/Input!$AA$15)^2+(AJ56/(Input!$AA$15/2))^2+1)))</f>
        <v/>
      </c>
      <c r="BF56" s="68">
        <f>MAX(0,AJ56-MAX(AI56,$AA$22))/AK56*IF(BC56&gt;=Input!$AA$21*AQ56,1,0)</f>
        <v/>
      </c>
      <c r="BG56" s="68">
        <f>4*Input!$AA$14*(Input!$AA$15/2)*(1-AY56^2)/AX56*((BD56-BD55)+(1-2*AY56)/(1-AY56)*(BE56-BE55))*1000*BF56</f>
        <v/>
      </c>
      <c r="BH56" s="68">
        <f>IF(AM56="Sand",0,0.009*(AR56-10))</f>
        <v/>
      </c>
      <c r="BI56" s="68">
        <f>BH56*Input!$AA$36</f>
        <v/>
      </c>
      <c r="BJ56" s="68">
        <f>IF(AM56="Sand",0,MAX(AV56/Input!$AA$37,AQ56))</f>
        <v/>
      </c>
      <c r="BK56" s="68">
        <f>IF(AM56="Sand",0,1000*AK56/(1+AU56)*IF(AQ56+BC56&lt;=BJ56,BI56*LOG10((AQ56+BC56)/AQ56),BI56*LOG10(BJ56/AQ56)+BH56*LOG10((AQ56+BC56)/BJ56)))*BF56</f>
        <v/>
      </c>
      <c r="BL56" s="68">
        <f>IF(AM56="Sand",0,10^(INDEX(Input!$Q$48:$Q$54,MIN(MATCH(MIN(MAX(AR56,30),120),Input!$C$48:$C$54,1),6))+(MIN(MAX(AR56,30),120)-INDEX(Input!$C$48:$C$54,MIN(MATCH(MIN(MAX(AR56,30),120),Input!$C$48:$C$54,1),6)))/(INDEX(Input!$C$48:$C$54,MIN(MATCH(MIN(MAX(AR56,30),120),Input!$C$48:$C$54,1),6)+1)-INDEX(Input!$C$48:$C$54,MIN(MATCH(MIN(MAX(AR56,30),120),Input!$C$48:$C$54,1),6)))*(INDEX(Input!$Q$48:$Q$54,MIN(MATCH(MIN(MAX(AR56,30),120),Input!$C$48:$C$54,1),6)+1)-INDEX(Input!$Q$48:$Q$54,MIN(MATCH(MIN(MAX(AR56,30),120),Input!$C$48:$C$54,1),6)))))</f>
        <v/>
      </c>
      <c r="BM56" s="68">
        <f>IF(OR(AM56="Sand",BF56=0),0,Input!$AA$38*(AK56/2)^2/(BL56*1E-4*31536000))</f>
        <v/>
      </c>
      <c r="BN56" s="68">
        <f>MAX(0,MIN(AJ56,Input!$AA$20)-AI56)</f>
        <v/>
      </c>
      <c r="BO56" s="68">
        <f>MAX(0,MIN(AJ56,Input!$AA$20)-MAX(AI56,$AA$22))</f>
        <v/>
      </c>
      <c r="BP56" s="68">
        <f>MAX(0,MIN(AJ56,$AA$225)-AI56)</f>
        <v/>
      </c>
      <c r="BQ56" s="68" t="inlineStr">
        <is>
          <t>data copied from BH-02</t>
        </is>
      </c>
    </row>
    <row r="57">
      <c r="B57" s="9" t="n"/>
      <c r="C57" s="57" t="n">
        <v>30</v>
      </c>
      <c r="D57" s="41" t="n"/>
      <c r="E57" s="55">
        <f>AI57</f>
        <v/>
      </c>
      <c r="F57" s="41" t="n"/>
      <c r="G57" s="41" t="n"/>
      <c r="H57" s="55">
        <f>AJ57</f>
        <v/>
      </c>
      <c r="I57" s="41" t="n"/>
      <c r="J57" s="41" t="n"/>
      <c r="K57" s="52">
        <f>AM57</f>
        <v/>
      </c>
      <c r="L57" s="41" t="n"/>
      <c r="M57" s="41" t="n"/>
      <c r="N57" s="57">
        <f>AN57</f>
        <v/>
      </c>
      <c r="O57" s="41" t="n"/>
      <c r="P57" s="41" t="n"/>
      <c r="Q57" s="53">
        <f>AO57</f>
        <v/>
      </c>
      <c r="R57" s="41" t="n"/>
      <c r="S57" s="41" t="n"/>
      <c r="T57" s="57">
        <f>IF(AR57="","-",AR57)</f>
        <v/>
      </c>
      <c r="U57" s="41" t="n"/>
      <c r="V57" s="57">
        <f>IF(AT57="","-",AT57)</f>
        <v/>
      </c>
      <c r="W57" s="41" t="n"/>
      <c r="X57" s="55">
        <f>AU57</f>
        <v/>
      </c>
      <c r="Y57" s="41" t="n"/>
      <c r="Z57" s="66">
        <f>AV57</f>
        <v/>
      </c>
      <c r="AA57" s="41" t="n"/>
      <c r="AB57" s="41" t="n"/>
      <c r="AC57" s="53">
        <f>AW57</f>
        <v/>
      </c>
      <c r="AD57" s="41" t="n"/>
      <c r="AE57" s="41" t="n"/>
      <c r="AF57" s="15" t="n"/>
      <c r="AI57" s="67" t="n">
        <v>43.5</v>
      </c>
      <c r="AJ57" s="67" t="n">
        <v>45</v>
      </c>
      <c r="AK57" s="68">
        <f>AJ57-AI57</f>
        <v/>
      </c>
      <c r="AL57" s="68">
        <f>(AI57+AJ57)/2</f>
        <v/>
      </c>
      <c r="AM57" s="67" t="inlineStr">
        <is>
          <t>Sand</t>
        </is>
      </c>
      <c r="AN57" s="67" t="n">
        <v>50</v>
      </c>
      <c r="AO57" s="68">
        <f>IF(AL57&gt;$AA$19,$AA$21,$AA$20)</f>
        <v/>
      </c>
      <c r="AP57" s="68">
        <f>AP56+AO57*AK57</f>
        <v/>
      </c>
      <c r="AQ57" s="68">
        <f>AP57-AO57*AK57/2-10*MAX(AL57-$AA$19,0)</f>
        <v/>
      </c>
      <c r="AR57" s="67" t="n"/>
      <c r="AS57" s="67" t="n"/>
      <c r="AT57" s="68">
        <f>IF(AR57="","",AR57-AS57)</f>
        <v/>
      </c>
      <c r="AU57" s="67" t="n">
        <v>0.67</v>
      </c>
      <c r="AV57" s="68">
        <f>IF(AM57="Sand",0,Input!$AA$31*AN57)</f>
        <v/>
      </c>
      <c r="AW57" s="68">
        <f>IF(AM57="Sand",27.1+0.3*MIN(Input!$AA$32*AN57,60)-0.00054*MIN(Input!$AA$32*AN57,60)^2,MIN(MAX(DEGREES(ASIN(0.8-0.094*LN(MAX(IF(AT57="",10,AT57),5)))),20),30))</f>
        <v/>
      </c>
      <c r="AX57" s="68">
        <f>IF(AM57="Sand",Input!$AA$33*Input!$AA$32*AN57,Input!$AA$34*AV57)</f>
        <v/>
      </c>
      <c r="AY57" s="68">
        <f>IF(AM57="Sand",Input!$AA$35,0.5)</f>
        <v/>
      </c>
      <c r="AZ57" s="68">
        <f>Input!$AA$15/2/AL57</f>
        <v/>
      </c>
      <c r="BA57" s="68">
        <f>Input!$AA$16/2/AL57</f>
        <v/>
      </c>
      <c r="BB57" s="68">
        <f>1/(4*PI())*(2*AZ57*BA57*SQRT(AZ57^2+BA57^2+1)/(AZ57^2+BA57^2+1+AZ57^2*BA57^2)*(AZ57^2+BA57^2+2)/(AZ57^2+BA57^2+1)+ATAN2(AZ57^2+BA57^2+1-AZ57^2*BA57^2,2*AZ57*BA57*SQRT(AZ57^2+BA57^2+1)))</f>
        <v/>
      </c>
      <c r="BC57" s="68">
        <f>4*Input!$AA$14*BB57</f>
        <v/>
      </c>
      <c r="BD57" s="68">
        <f>((Input!$AA$16/Input!$AA$15)*LN((1+SQRT((Input!$AA$16/Input!$AA$15)^2+1))*SQRT((Input!$AA$16/Input!$AA$15)^2+(AJ57/(Input!$AA$15/2))^2)/((Input!$AA$16/Input!$AA$15)*(1+SQRT((Input!$AA$16/Input!$AA$15)^2+(AJ57/(Input!$AA$15/2))^2+1))))+LN(((Input!$AA$16/Input!$AA$15)+SQRT((Input!$AA$16/Input!$AA$15)^2+1))*SQRT(1+(AJ57/(Input!$AA$15/2))^2)/((Input!$AA$16/Input!$AA$15)+SQRT((Input!$AA$16/Input!$AA$15)^2+(AJ57/(Input!$AA$15/2))^2+1))))/PI()</f>
        <v/>
      </c>
      <c r="BE57" s="68">
        <f>(AJ57/(Input!$AA$15/2))/(2*PI())*ATAN((Input!$AA$16/Input!$AA$15)/((AJ57/(Input!$AA$15/2))*SQRT((Input!$AA$16/Input!$AA$15)^2+(AJ57/(Input!$AA$15/2))^2+1)))</f>
        <v/>
      </c>
      <c r="BF57" s="68">
        <f>MAX(0,AJ57-MAX(AI57,$AA$22))/AK57*IF(BC57&gt;=Input!$AA$21*AQ57,1,0)</f>
        <v/>
      </c>
      <c r="BG57" s="68">
        <f>4*Input!$AA$14*(Input!$AA$15/2)*(1-AY57^2)/AX57*((BD57-BD56)+(1-2*AY57)/(1-AY57)*(BE57-BE56))*1000*BF57</f>
        <v/>
      </c>
      <c r="BH57" s="68">
        <f>IF(AM57="Sand",0,0.009*(AR57-10))</f>
        <v/>
      </c>
      <c r="BI57" s="68">
        <f>BH57*Input!$AA$36</f>
        <v/>
      </c>
      <c r="BJ57" s="68">
        <f>IF(AM57="Sand",0,MAX(AV57/Input!$AA$37,AQ57))</f>
        <v/>
      </c>
      <c r="BK57" s="68">
        <f>IF(AM57="Sand",0,1000*AK57/(1+AU57)*IF(AQ57+BC57&lt;=BJ57,BI57*LOG10((AQ57+BC57)/AQ57),BI57*LOG10(BJ57/AQ57)+BH57*LOG10((AQ57+BC57)/BJ57)))*BF57</f>
        <v/>
      </c>
      <c r="BL57" s="68">
        <f>IF(AM57="Sand",0,10^(INDEX(Input!$Q$48:$Q$54,MIN(MATCH(MIN(MAX(AR57,30),120),Input!$C$48:$C$54,1),6))+(MIN(MAX(AR57,30),120)-INDEX(Input!$C$48:$C$54,MIN(MATCH(MIN(MAX(AR57,30),120),Input!$C$48:$C$54,1),6)))/(INDEX(Input!$C$48:$C$54,MIN(MATCH(MIN(MAX(AR57,30),120),Input!$C$48:$C$54,1),6)+1)-INDEX(Input!$C$48:$C$54,MIN(MATCH(MIN(MAX(AR57,30),120),Input!$C$48:$C$54,1),6)))*(INDEX(Input!$Q$48:$Q$54,MIN(MATCH(MIN(MAX(AR57,30),120),Input!$C$48:$C$54,1),6)+1)-INDEX(Input!$Q$48:$Q$54,MIN(MATCH(MIN(MAX(AR57,30),120),Input!$C$48:$C$54,1),6)))))</f>
        <v/>
      </c>
      <c r="BM57" s="68">
        <f>IF(OR(AM57="Sand",BF57=0),0,Input!$AA$38*(AK57/2)^2/(BL57*1E-4*31536000))</f>
        <v/>
      </c>
      <c r="BN57" s="68">
        <f>MAX(0,MIN(AJ57,Input!$AA$20)-AI57)</f>
        <v/>
      </c>
      <c r="BO57" s="68">
        <f>MAX(0,MIN(AJ57,Input!$AA$20)-MAX(AI57,$AA$22))</f>
        <v/>
      </c>
      <c r="BP57" s="68">
        <f>MAX(0,MIN(AJ57,$AA$225)-AI57)</f>
        <v/>
      </c>
      <c r="BQ57" s="68" t="inlineStr">
        <is>
          <t>data copied from BH-02</t>
        </is>
      </c>
    </row>
    <row r="58">
      <c r="B58" s="9" t="n"/>
      <c r="C58" s="57" t="n">
        <v>31</v>
      </c>
      <c r="D58" s="41" t="n"/>
      <c r="E58" s="55">
        <f>AI58</f>
        <v/>
      </c>
      <c r="F58" s="41" t="n"/>
      <c r="G58" s="41" t="n"/>
      <c r="H58" s="55">
        <f>AJ58</f>
        <v/>
      </c>
      <c r="I58" s="41" t="n"/>
      <c r="J58" s="41" t="n"/>
      <c r="K58" s="52">
        <f>AM58</f>
        <v/>
      </c>
      <c r="L58" s="41" t="n"/>
      <c r="M58" s="41" t="n"/>
      <c r="N58" s="57">
        <f>AN58</f>
        <v/>
      </c>
      <c r="O58" s="41" t="n"/>
      <c r="P58" s="41" t="n"/>
      <c r="Q58" s="53">
        <f>AO58</f>
        <v/>
      </c>
      <c r="R58" s="41" t="n"/>
      <c r="S58" s="41" t="n"/>
      <c r="T58" s="57">
        <f>IF(AR58="","-",AR58)</f>
        <v/>
      </c>
      <c r="U58" s="41" t="n"/>
      <c r="V58" s="57">
        <f>IF(AT58="","-",AT58)</f>
        <v/>
      </c>
      <c r="W58" s="41" t="n"/>
      <c r="X58" s="55">
        <f>AU58</f>
        <v/>
      </c>
      <c r="Y58" s="41" t="n"/>
      <c r="Z58" s="66">
        <f>AV58</f>
        <v/>
      </c>
      <c r="AA58" s="41" t="n"/>
      <c r="AB58" s="41" t="n"/>
      <c r="AC58" s="53">
        <f>AW58</f>
        <v/>
      </c>
      <c r="AD58" s="41" t="n"/>
      <c r="AE58" s="41" t="n"/>
      <c r="AF58" s="15" t="n"/>
      <c r="AI58" s="67" t="n">
        <v>45</v>
      </c>
      <c r="AJ58" s="67" t="n">
        <v>46.5</v>
      </c>
      <c r="AK58" s="68">
        <f>AJ58-AI58</f>
        <v/>
      </c>
      <c r="AL58" s="68">
        <f>(AI58+AJ58)/2</f>
        <v/>
      </c>
      <c r="AM58" s="67" t="inlineStr">
        <is>
          <t>Sand</t>
        </is>
      </c>
      <c r="AN58" s="67" t="n">
        <v>50</v>
      </c>
      <c r="AO58" s="68">
        <f>IF(AL58&gt;$AA$19,$AA$21,$AA$20)</f>
        <v/>
      </c>
      <c r="AP58" s="68">
        <f>AP57+AO58*AK58</f>
        <v/>
      </c>
      <c r="AQ58" s="68">
        <f>AP58-AO58*AK58/2-10*MAX(AL58-$AA$19,0)</f>
        <v/>
      </c>
      <c r="AR58" s="67" t="n"/>
      <c r="AS58" s="67" t="n"/>
      <c r="AT58" s="68">
        <f>IF(AR58="","",AR58-AS58)</f>
        <v/>
      </c>
      <c r="AU58" s="67" t="n">
        <v>0.65</v>
      </c>
      <c r="AV58" s="68">
        <f>IF(AM58="Sand",0,Input!$AA$31*AN58)</f>
        <v/>
      </c>
      <c r="AW58" s="68">
        <f>IF(AM58="Sand",27.1+0.3*MIN(Input!$AA$32*AN58,60)-0.00054*MIN(Input!$AA$32*AN58,60)^2,MIN(MAX(DEGREES(ASIN(0.8-0.094*LN(MAX(IF(AT58="",10,AT58),5)))),20),30))</f>
        <v/>
      </c>
      <c r="AX58" s="68">
        <f>IF(AM58="Sand",Input!$AA$33*Input!$AA$32*AN58,Input!$AA$34*AV58)</f>
        <v/>
      </c>
      <c r="AY58" s="68">
        <f>IF(AM58="Sand",Input!$AA$35,0.5)</f>
        <v/>
      </c>
      <c r="AZ58" s="68">
        <f>Input!$AA$15/2/AL58</f>
        <v/>
      </c>
      <c r="BA58" s="68">
        <f>Input!$AA$16/2/AL58</f>
        <v/>
      </c>
      <c r="BB58" s="68">
        <f>1/(4*PI())*(2*AZ58*BA58*SQRT(AZ58^2+BA58^2+1)/(AZ58^2+BA58^2+1+AZ58^2*BA58^2)*(AZ58^2+BA58^2+2)/(AZ58^2+BA58^2+1)+ATAN2(AZ58^2+BA58^2+1-AZ58^2*BA58^2,2*AZ58*BA58*SQRT(AZ58^2+BA58^2+1)))</f>
        <v/>
      </c>
      <c r="BC58" s="68">
        <f>4*Input!$AA$14*BB58</f>
        <v/>
      </c>
      <c r="BD58" s="68">
        <f>((Input!$AA$16/Input!$AA$15)*LN((1+SQRT((Input!$AA$16/Input!$AA$15)^2+1))*SQRT((Input!$AA$16/Input!$AA$15)^2+(AJ58/(Input!$AA$15/2))^2)/((Input!$AA$16/Input!$AA$15)*(1+SQRT((Input!$AA$16/Input!$AA$15)^2+(AJ58/(Input!$AA$15/2))^2+1))))+LN(((Input!$AA$16/Input!$AA$15)+SQRT((Input!$AA$16/Input!$AA$15)^2+1))*SQRT(1+(AJ58/(Input!$AA$15/2))^2)/((Input!$AA$16/Input!$AA$15)+SQRT((Input!$AA$16/Input!$AA$15)^2+(AJ58/(Input!$AA$15/2))^2+1))))/PI()</f>
        <v/>
      </c>
      <c r="BE58" s="68">
        <f>(AJ58/(Input!$AA$15/2))/(2*PI())*ATAN((Input!$AA$16/Input!$AA$15)/((AJ58/(Input!$AA$15/2))*SQRT((Input!$AA$16/Input!$AA$15)^2+(AJ58/(Input!$AA$15/2))^2+1)))</f>
        <v/>
      </c>
      <c r="BF58" s="68">
        <f>MAX(0,AJ58-MAX(AI58,$AA$22))/AK58*IF(BC58&gt;=Input!$AA$21*AQ58,1,0)</f>
        <v/>
      </c>
      <c r="BG58" s="68">
        <f>4*Input!$AA$14*(Input!$AA$15/2)*(1-AY58^2)/AX58*((BD58-BD57)+(1-2*AY58)/(1-AY58)*(BE58-BE57))*1000*BF58</f>
        <v/>
      </c>
      <c r="BH58" s="68">
        <f>IF(AM58="Sand",0,0.009*(AR58-10))</f>
        <v/>
      </c>
      <c r="BI58" s="68">
        <f>BH58*Input!$AA$36</f>
        <v/>
      </c>
      <c r="BJ58" s="68">
        <f>IF(AM58="Sand",0,MAX(AV58/Input!$AA$37,AQ58))</f>
        <v/>
      </c>
      <c r="BK58" s="68">
        <f>IF(AM58="Sand",0,1000*AK58/(1+AU58)*IF(AQ58+BC58&lt;=BJ58,BI58*LOG10((AQ58+BC58)/AQ58),BI58*LOG10(BJ58/AQ58)+BH58*LOG10((AQ58+BC58)/BJ58)))*BF58</f>
        <v/>
      </c>
      <c r="BL58" s="68">
        <f>IF(AM58="Sand",0,10^(INDEX(Input!$Q$48:$Q$54,MIN(MATCH(MIN(MAX(AR58,30),120),Input!$C$48:$C$54,1),6))+(MIN(MAX(AR58,30),120)-INDEX(Input!$C$48:$C$54,MIN(MATCH(MIN(MAX(AR58,30),120),Input!$C$48:$C$54,1),6)))/(INDEX(Input!$C$48:$C$54,MIN(MATCH(MIN(MAX(AR58,30),120),Input!$C$48:$C$54,1),6)+1)-INDEX(Input!$C$48:$C$54,MIN(MATCH(MIN(MAX(AR58,30),120),Input!$C$48:$C$54,1),6)))*(INDEX(Input!$Q$48:$Q$54,MIN(MATCH(MIN(MAX(AR58,30),120),Input!$C$48:$C$54,1),6)+1)-INDEX(Input!$Q$48:$Q$54,MIN(MATCH(MIN(MAX(AR58,30),120),Input!$C$48:$C$54,1),6)))))</f>
        <v/>
      </c>
      <c r="BM58" s="68">
        <f>IF(OR(AM58="Sand",BF58=0),0,Input!$AA$38*(AK58/2)^2/(BL58*1E-4*31536000))</f>
        <v/>
      </c>
      <c r="BN58" s="68">
        <f>MAX(0,MIN(AJ58,Input!$AA$20)-AI58)</f>
        <v/>
      </c>
      <c r="BO58" s="68">
        <f>MAX(0,MIN(AJ58,Input!$AA$20)-MAX(AI58,$AA$22))</f>
        <v/>
      </c>
      <c r="BP58" s="68">
        <f>MAX(0,MIN(AJ58,$AA$225)-AI58)</f>
        <v/>
      </c>
      <c r="BQ58" s="68" t="inlineStr">
        <is>
          <t>data copied from BH-02</t>
        </is>
      </c>
    </row>
    <row r="59">
      <c r="B59" s="9" t="n"/>
      <c r="C59" s="57" t="n">
        <v>32</v>
      </c>
      <c r="D59" s="41" t="n"/>
      <c r="E59" s="55">
        <f>AI59</f>
        <v/>
      </c>
      <c r="F59" s="41" t="n"/>
      <c r="G59" s="41" t="n"/>
      <c r="H59" s="55">
        <f>AJ59</f>
        <v/>
      </c>
      <c r="I59" s="41" t="n"/>
      <c r="J59" s="41" t="n"/>
      <c r="K59" s="52">
        <f>AM59</f>
        <v/>
      </c>
      <c r="L59" s="41" t="n"/>
      <c r="M59" s="41" t="n"/>
      <c r="N59" s="57">
        <f>AN59</f>
        <v/>
      </c>
      <c r="O59" s="41" t="n"/>
      <c r="P59" s="41" t="n"/>
      <c r="Q59" s="53">
        <f>AO59</f>
        <v/>
      </c>
      <c r="R59" s="41" t="n"/>
      <c r="S59" s="41" t="n"/>
      <c r="T59" s="57">
        <f>IF(AR59="","-",AR59)</f>
        <v/>
      </c>
      <c r="U59" s="41" t="n"/>
      <c r="V59" s="57">
        <f>IF(AT59="","-",AT59)</f>
        <v/>
      </c>
      <c r="W59" s="41" t="n"/>
      <c r="X59" s="55">
        <f>AU59</f>
        <v/>
      </c>
      <c r="Y59" s="41" t="n"/>
      <c r="Z59" s="66">
        <f>AV59</f>
        <v/>
      </c>
      <c r="AA59" s="41" t="n"/>
      <c r="AB59" s="41" t="n"/>
      <c r="AC59" s="53">
        <f>AW59</f>
        <v/>
      </c>
      <c r="AD59" s="41" t="n"/>
      <c r="AE59" s="41" t="n"/>
      <c r="AF59" s="15" t="n"/>
      <c r="AI59" s="67" t="n">
        <v>46.5</v>
      </c>
      <c r="AJ59" s="67" t="n">
        <v>48</v>
      </c>
      <c r="AK59" s="68">
        <f>AJ59-AI59</f>
        <v/>
      </c>
      <c r="AL59" s="68">
        <f>(AI59+AJ59)/2</f>
        <v/>
      </c>
      <c r="AM59" s="67" t="inlineStr">
        <is>
          <t>Sand</t>
        </is>
      </c>
      <c r="AN59" s="67" t="n">
        <v>50</v>
      </c>
      <c r="AO59" s="68">
        <f>IF(AL59&gt;$AA$19,$AA$21,$AA$20)</f>
        <v/>
      </c>
      <c r="AP59" s="68">
        <f>AP58+AO59*AK59</f>
        <v/>
      </c>
      <c r="AQ59" s="68">
        <f>AP59-AO59*AK59/2-10*MAX(AL59-$AA$19,0)</f>
        <v/>
      </c>
      <c r="AR59" s="67" t="n"/>
      <c r="AS59" s="67" t="n"/>
      <c r="AT59" s="68">
        <f>IF(AR59="","",AR59-AS59)</f>
        <v/>
      </c>
      <c r="AU59" s="67" t="n">
        <v>0.65</v>
      </c>
      <c r="AV59" s="68">
        <f>IF(AM59="Sand",0,Input!$AA$31*AN59)</f>
        <v/>
      </c>
      <c r="AW59" s="68">
        <f>IF(AM59="Sand",27.1+0.3*MIN(Input!$AA$32*AN59,60)-0.00054*MIN(Input!$AA$32*AN59,60)^2,MIN(MAX(DEGREES(ASIN(0.8-0.094*LN(MAX(IF(AT59="",10,AT59),5)))),20),30))</f>
        <v/>
      </c>
      <c r="AX59" s="68">
        <f>IF(AM59="Sand",Input!$AA$33*Input!$AA$32*AN59,Input!$AA$34*AV59)</f>
        <v/>
      </c>
      <c r="AY59" s="68">
        <f>IF(AM59="Sand",Input!$AA$35,0.5)</f>
        <v/>
      </c>
      <c r="AZ59" s="68">
        <f>Input!$AA$15/2/AL59</f>
        <v/>
      </c>
      <c r="BA59" s="68">
        <f>Input!$AA$16/2/AL59</f>
        <v/>
      </c>
      <c r="BB59" s="68">
        <f>1/(4*PI())*(2*AZ59*BA59*SQRT(AZ59^2+BA59^2+1)/(AZ59^2+BA59^2+1+AZ59^2*BA59^2)*(AZ59^2+BA59^2+2)/(AZ59^2+BA59^2+1)+ATAN2(AZ59^2+BA59^2+1-AZ59^2*BA59^2,2*AZ59*BA59*SQRT(AZ59^2+BA59^2+1)))</f>
        <v/>
      </c>
      <c r="BC59" s="68">
        <f>4*Input!$AA$14*BB59</f>
        <v/>
      </c>
      <c r="BD59" s="68">
        <f>((Input!$AA$16/Input!$AA$15)*LN((1+SQRT((Input!$AA$16/Input!$AA$15)^2+1))*SQRT((Input!$AA$16/Input!$AA$15)^2+(AJ59/(Input!$AA$15/2))^2)/((Input!$AA$16/Input!$AA$15)*(1+SQRT((Input!$AA$16/Input!$AA$15)^2+(AJ59/(Input!$AA$15/2))^2+1))))+LN(((Input!$AA$16/Input!$AA$15)+SQRT((Input!$AA$16/Input!$AA$15)^2+1))*SQRT(1+(AJ59/(Input!$AA$15/2))^2)/((Input!$AA$16/Input!$AA$15)+SQRT((Input!$AA$16/Input!$AA$15)^2+(AJ59/(Input!$AA$15/2))^2+1))))/PI()</f>
        <v/>
      </c>
      <c r="BE59" s="68">
        <f>(AJ59/(Input!$AA$15/2))/(2*PI())*ATAN((Input!$AA$16/Input!$AA$15)/((AJ59/(Input!$AA$15/2))*SQRT((Input!$AA$16/Input!$AA$15)^2+(AJ59/(Input!$AA$15/2))^2+1)))</f>
        <v/>
      </c>
      <c r="BF59" s="68">
        <f>MAX(0,AJ59-MAX(AI59,$AA$22))/AK59*IF(BC59&gt;=Input!$AA$21*AQ59,1,0)</f>
        <v/>
      </c>
      <c r="BG59" s="68">
        <f>4*Input!$AA$14*(Input!$AA$15/2)*(1-AY59^2)/AX59*((BD59-BD58)+(1-2*AY59)/(1-AY59)*(BE59-BE58))*1000*BF59</f>
        <v/>
      </c>
      <c r="BH59" s="68">
        <f>IF(AM59="Sand",0,0.009*(AR59-10))</f>
        <v/>
      </c>
      <c r="BI59" s="68">
        <f>BH59*Input!$AA$36</f>
        <v/>
      </c>
      <c r="BJ59" s="68">
        <f>IF(AM59="Sand",0,MAX(AV59/Input!$AA$37,AQ59))</f>
        <v/>
      </c>
      <c r="BK59" s="68">
        <f>IF(AM59="Sand",0,1000*AK59/(1+AU59)*IF(AQ59+BC59&lt;=BJ59,BI59*LOG10((AQ59+BC59)/AQ59),BI59*LOG10(BJ59/AQ59)+BH59*LOG10((AQ59+BC59)/BJ59)))*BF59</f>
        <v/>
      </c>
      <c r="BL59" s="68">
        <f>IF(AM59="Sand",0,10^(INDEX(Input!$Q$48:$Q$54,MIN(MATCH(MIN(MAX(AR59,30),120),Input!$C$48:$C$54,1),6))+(MIN(MAX(AR59,30),120)-INDEX(Input!$C$48:$C$54,MIN(MATCH(MIN(MAX(AR59,30),120),Input!$C$48:$C$54,1),6)))/(INDEX(Input!$C$48:$C$54,MIN(MATCH(MIN(MAX(AR59,30),120),Input!$C$48:$C$54,1),6)+1)-INDEX(Input!$C$48:$C$54,MIN(MATCH(MIN(MAX(AR59,30),120),Input!$C$48:$C$54,1),6)))*(INDEX(Input!$Q$48:$Q$54,MIN(MATCH(MIN(MAX(AR59,30),120),Input!$C$48:$C$54,1),6)+1)-INDEX(Input!$Q$48:$Q$54,MIN(MATCH(MIN(MAX(AR59,30),120),Input!$C$48:$C$54,1),6)))))</f>
        <v/>
      </c>
      <c r="BM59" s="68">
        <f>IF(OR(AM59="Sand",BF59=0),0,Input!$AA$38*(AK59/2)^2/(BL59*1E-4*31536000))</f>
        <v/>
      </c>
      <c r="BN59" s="68">
        <f>MAX(0,MIN(AJ59,Input!$AA$20)-AI59)</f>
        <v/>
      </c>
      <c r="BO59" s="68">
        <f>MAX(0,MIN(AJ59,Input!$AA$20)-MAX(AI59,$AA$22))</f>
        <v/>
      </c>
      <c r="BP59" s="68">
        <f>MAX(0,MIN(AJ59,$AA$225)-AI59)</f>
        <v/>
      </c>
      <c r="BQ59" s="68" t="inlineStr">
        <is>
          <t>data copied from BH-02</t>
        </is>
      </c>
    </row>
    <row r="60">
      <c r="B60" s="9" t="n"/>
      <c r="C60" s="57" t="n">
        <v>33</v>
      </c>
      <c r="D60" s="41" t="n"/>
      <c r="E60" s="55">
        <f>AI60</f>
        <v/>
      </c>
      <c r="F60" s="41" t="n"/>
      <c r="G60" s="41" t="n"/>
      <c r="H60" s="55">
        <f>AJ60</f>
        <v/>
      </c>
      <c r="I60" s="41" t="n"/>
      <c r="J60" s="41" t="n"/>
      <c r="K60" s="52">
        <f>AM60</f>
        <v/>
      </c>
      <c r="L60" s="41" t="n"/>
      <c r="M60" s="41" t="n"/>
      <c r="N60" s="57">
        <f>AN60</f>
        <v/>
      </c>
      <c r="O60" s="41" t="n"/>
      <c r="P60" s="41" t="n"/>
      <c r="Q60" s="53">
        <f>AO60</f>
        <v/>
      </c>
      <c r="R60" s="41" t="n"/>
      <c r="S60" s="41" t="n"/>
      <c r="T60" s="57">
        <f>IF(AR60="","-",AR60)</f>
        <v/>
      </c>
      <c r="U60" s="41" t="n"/>
      <c r="V60" s="57">
        <f>IF(AT60="","-",AT60)</f>
        <v/>
      </c>
      <c r="W60" s="41" t="n"/>
      <c r="X60" s="55">
        <f>AU60</f>
        <v/>
      </c>
      <c r="Y60" s="41" t="n"/>
      <c r="Z60" s="66">
        <f>AV60</f>
        <v/>
      </c>
      <c r="AA60" s="41" t="n"/>
      <c r="AB60" s="41" t="n"/>
      <c r="AC60" s="53">
        <f>AW60</f>
        <v/>
      </c>
      <c r="AD60" s="41" t="n"/>
      <c r="AE60" s="41" t="n"/>
      <c r="AF60" s="15" t="n"/>
      <c r="AI60" s="67" t="n">
        <v>48</v>
      </c>
      <c r="AJ60" s="67" t="n">
        <v>49.5</v>
      </c>
      <c r="AK60" s="68">
        <f>AJ60-AI60</f>
        <v/>
      </c>
      <c r="AL60" s="68">
        <f>(AI60+AJ60)/2</f>
        <v/>
      </c>
      <c r="AM60" s="67" t="inlineStr">
        <is>
          <t>Sand</t>
        </is>
      </c>
      <c r="AN60" s="67" t="n">
        <v>27</v>
      </c>
      <c r="AO60" s="68">
        <f>IF(AL60&gt;$AA$19,$AA$21,$AA$20)</f>
        <v/>
      </c>
      <c r="AP60" s="68">
        <f>AP59+AO60*AK60</f>
        <v/>
      </c>
      <c r="AQ60" s="68">
        <f>AP60-AO60*AK60/2-10*MAX(AL60-$AA$19,0)</f>
        <v/>
      </c>
      <c r="AR60" s="67" t="n"/>
      <c r="AS60" s="67" t="n"/>
      <c r="AT60" s="68">
        <f>IF(AR60="","",AR60-AS60)</f>
        <v/>
      </c>
      <c r="AU60" s="67" t="n">
        <v>0.65</v>
      </c>
      <c r="AV60" s="68">
        <f>IF(AM60="Sand",0,Input!$AA$31*AN60)</f>
        <v/>
      </c>
      <c r="AW60" s="68">
        <f>IF(AM60="Sand",27.1+0.3*MIN(Input!$AA$32*AN60,60)-0.00054*MIN(Input!$AA$32*AN60,60)^2,MIN(MAX(DEGREES(ASIN(0.8-0.094*LN(MAX(IF(AT60="",10,AT60),5)))),20),30))</f>
        <v/>
      </c>
      <c r="AX60" s="68">
        <f>IF(AM60="Sand",Input!$AA$33*Input!$AA$32*AN60,Input!$AA$34*AV60)</f>
        <v/>
      </c>
      <c r="AY60" s="68">
        <f>IF(AM60="Sand",Input!$AA$35,0.5)</f>
        <v/>
      </c>
      <c r="AZ60" s="68">
        <f>Input!$AA$15/2/AL60</f>
        <v/>
      </c>
      <c r="BA60" s="68">
        <f>Input!$AA$16/2/AL60</f>
        <v/>
      </c>
      <c r="BB60" s="68">
        <f>1/(4*PI())*(2*AZ60*BA60*SQRT(AZ60^2+BA60^2+1)/(AZ60^2+BA60^2+1+AZ60^2*BA60^2)*(AZ60^2+BA60^2+2)/(AZ60^2+BA60^2+1)+ATAN2(AZ60^2+BA60^2+1-AZ60^2*BA60^2,2*AZ60*BA60*SQRT(AZ60^2+BA60^2+1)))</f>
        <v/>
      </c>
      <c r="BC60" s="68">
        <f>4*Input!$AA$14*BB60</f>
        <v/>
      </c>
      <c r="BD60" s="68">
        <f>((Input!$AA$16/Input!$AA$15)*LN((1+SQRT((Input!$AA$16/Input!$AA$15)^2+1))*SQRT((Input!$AA$16/Input!$AA$15)^2+(AJ60/(Input!$AA$15/2))^2)/((Input!$AA$16/Input!$AA$15)*(1+SQRT((Input!$AA$16/Input!$AA$15)^2+(AJ60/(Input!$AA$15/2))^2+1))))+LN(((Input!$AA$16/Input!$AA$15)+SQRT((Input!$AA$16/Input!$AA$15)^2+1))*SQRT(1+(AJ60/(Input!$AA$15/2))^2)/((Input!$AA$16/Input!$AA$15)+SQRT((Input!$AA$16/Input!$AA$15)^2+(AJ60/(Input!$AA$15/2))^2+1))))/PI()</f>
        <v/>
      </c>
      <c r="BE60" s="68">
        <f>(AJ60/(Input!$AA$15/2))/(2*PI())*ATAN((Input!$AA$16/Input!$AA$15)/((AJ60/(Input!$AA$15/2))*SQRT((Input!$AA$16/Input!$AA$15)^2+(AJ60/(Input!$AA$15/2))^2+1)))</f>
        <v/>
      </c>
      <c r="BF60" s="68">
        <f>MAX(0,AJ60-MAX(AI60,$AA$22))/AK60*IF(BC60&gt;=Input!$AA$21*AQ60,1,0)</f>
        <v/>
      </c>
      <c r="BG60" s="68">
        <f>4*Input!$AA$14*(Input!$AA$15/2)*(1-AY60^2)/AX60*((BD60-BD59)+(1-2*AY60)/(1-AY60)*(BE60-BE59))*1000*BF60</f>
        <v/>
      </c>
      <c r="BH60" s="68">
        <f>IF(AM60="Sand",0,0.009*(AR60-10))</f>
        <v/>
      </c>
      <c r="BI60" s="68">
        <f>BH60*Input!$AA$36</f>
        <v/>
      </c>
      <c r="BJ60" s="68">
        <f>IF(AM60="Sand",0,MAX(AV60/Input!$AA$37,AQ60))</f>
        <v/>
      </c>
      <c r="BK60" s="68">
        <f>IF(AM60="Sand",0,1000*AK60/(1+AU60)*IF(AQ60+BC60&lt;=BJ60,BI60*LOG10((AQ60+BC60)/AQ60),BI60*LOG10(BJ60/AQ60)+BH60*LOG10((AQ60+BC60)/BJ60)))*BF60</f>
        <v/>
      </c>
      <c r="BL60" s="68">
        <f>IF(AM60="Sand",0,10^(INDEX(Input!$Q$48:$Q$54,MIN(MATCH(MIN(MAX(AR60,30),120),Input!$C$48:$C$54,1),6))+(MIN(MAX(AR60,30),120)-INDEX(Input!$C$48:$C$54,MIN(MATCH(MIN(MAX(AR60,30),120),Input!$C$48:$C$54,1),6)))/(INDEX(Input!$C$48:$C$54,MIN(MATCH(MIN(MAX(AR60,30),120),Input!$C$48:$C$54,1),6)+1)-INDEX(Input!$C$48:$C$54,MIN(MATCH(MIN(MAX(AR60,30),120),Input!$C$48:$C$54,1),6)))*(INDEX(Input!$Q$48:$Q$54,MIN(MATCH(MIN(MAX(AR60,30),120),Input!$C$48:$C$54,1),6)+1)-INDEX(Input!$Q$48:$Q$54,MIN(MATCH(MIN(MAX(AR60,30),120),Input!$C$48:$C$54,1),6)))))</f>
        <v/>
      </c>
      <c r="BM60" s="68">
        <f>IF(OR(AM60="Sand",BF60=0),0,Input!$AA$38*(AK60/2)^2/(BL60*1E-4*31536000))</f>
        <v/>
      </c>
      <c r="BN60" s="68">
        <f>MAX(0,MIN(AJ60,Input!$AA$20)-AI60)</f>
        <v/>
      </c>
      <c r="BO60" s="68">
        <f>MAX(0,MIN(AJ60,Input!$AA$20)-MAX(AI60,$AA$22))</f>
        <v/>
      </c>
      <c r="BP60" s="68">
        <f>MAX(0,MIN(AJ60,$AA$225)-AI60)</f>
        <v/>
      </c>
      <c r="BQ60" s="68" t="inlineStr">
        <is>
          <t>data copied from BH-02</t>
        </is>
      </c>
    </row>
    <row r="61">
      <c r="B61" s="9" t="n"/>
      <c r="C61" s="57" t="n">
        <v>34</v>
      </c>
      <c r="D61" s="41" t="n"/>
      <c r="E61" s="55">
        <f>AI61</f>
        <v/>
      </c>
      <c r="F61" s="41" t="n"/>
      <c r="G61" s="41" t="n"/>
      <c r="H61" s="55">
        <f>AJ61</f>
        <v/>
      </c>
      <c r="I61" s="41" t="n"/>
      <c r="J61" s="41" t="n"/>
      <c r="K61" s="52">
        <f>AM61</f>
        <v/>
      </c>
      <c r="L61" s="41" t="n"/>
      <c r="M61" s="41" t="n"/>
      <c r="N61" s="57">
        <f>AN61</f>
        <v/>
      </c>
      <c r="O61" s="41" t="n"/>
      <c r="P61" s="41" t="n"/>
      <c r="Q61" s="53">
        <f>AO61</f>
        <v/>
      </c>
      <c r="R61" s="41" t="n"/>
      <c r="S61" s="41" t="n"/>
      <c r="T61" s="57">
        <f>IF(AR61="","-",AR61)</f>
        <v/>
      </c>
      <c r="U61" s="41" t="n"/>
      <c r="V61" s="57">
        <f>IF(AT61="","-",AT61)</f>
        <v/>
      </c>
      <c r="W61" s="41" t="n"/>
      <c r="X61" s="55">
        <f>AU61</f>
        <v/>
      </c>
      <c r="Y61" s="41" t="n"/>
      <c r="Z61" s="66">
        <f>AV61</f>
        <v/>
      </c>
      <c r="AA61" s="41" t="n"/>
      <c r="AB61" s="41" t="n"/>
      <c r="AC61" s="53">
        <f>AW61</f>
        <v/>
      </c>
      <c r="AD61" s="41" t="n"/>
      <c r="AE61" s="41" t="n"/>
      <c r="AF61" s="15" t="n"/>
      <c r="AI61" s="67" t="n">
        <v>49.5</v>
      </c>
      <c r="AJ61" s="67" t="n">
        <v>51</v>
      </c>
      <c r="AK61" s="68">
        <f>AJ61-AI61</f>
        <v/>
      </c>
      <c r="AL61" s="68">
        <f>(AI61+AJ61)/2</f>
        <v/>
      </c>
      <c r="AM61" s="67" t="inlineStr">
        <is>
          <t>Sand</t>
        </is>
      </c>
      <c r="AN61" s="67" t="n">
        <v>25</v>
      </c>
      <c r="AO61" s="68">
        <f>IF(AL61&gt;$AA$19,$AA$21,$AA$20)</f>
        <v/>
      </c>
      <c r="AP61" s="68">
        <f>AP60+AO61*AK61</f>
        <v/>
      </c>
      <c r="AQ61" s="68">
        <f>AP61-AO61*AK61/2-10*MAX(AL61-$AA$19,0)</f>
        <v/>
      </c>
      <c r="AR61" s="67" t="n"/>
      <c r="AS61" s="67" t="n"/>
      <c r="AT61" s="68">
        <f>IF(AR61="","",AR61-AS61)</f>
        <v/>
      </c>
      <c r="AU61" s="67" t="n">
        <v>0.65</v>
      </c>
      <c r="AV61" s="68">
        <f>IF(AM61="Sand",0,Input!$AA$31*AN61)</f>
        <v/>
      </c>
      <c r="AW61" s="68">
        <f>IF(AM61="Sand",27.1+0.3*MIN(Input!$AA$32*AN61,60)-0.00054*MIN(Input!$AA$32*AN61,60)^2,MIN(MAX(DEGREES(ASIN(0.8-0.094*LN(MAX(IF(AT61="",10,AT61),5)))),20),30))</f>
        <v/>
      </c>
      <c r="AX61" s="68">
        <f>IF(AM61="Sand",Input!$AA$33*Input!$AA$32*AN61,Input!$AA$34*AV61)</f>
        <v/>
      </c>
      <c r="AY61" s="68">
        <f>IF(AM61="Sand",Input!$AA$35,0.5)</f>
        <v/>
      </c>
      <c r="AZ61" s="68">
        <f>Input!$AA$15/2/AL61</f>
        <v/>
      </c>
      <c r="BA61" s="68">
        <f>Input!$AA$16/2/AL61</f>
        <v/>
      </c>
      <c r="BB61" s="68">
        <f>1/(4*PI())*(2*AZ61*BA61*SQRT(AZ61^2+BA61^2+1)/(AZ61^2+BA61^2+1+AZ61^2*BA61^2)*(AZ61^2+BA61^2+2)/(AZ61^2+BA61^2+1)+ATAN2(AZ61^2+BA61^2+1-AZ61^2*BA61^2,2*AZ61*BA61*SQRT(AZ61^2+BA61^2+1)))</f>
        <v/>
      </c>
      <c r="BC61" s="68">
        <f>4*Input!$AA$14*BB61</f>
        <v/>
      </c>
      <c r="BD61" s="68">
        <f>((Input!$AA$16/Input!$AA$15)*LN((1+SQRT((Input!$AA$16/Input!$AA$15)^2+1))*SQRT((Input!$AA$16/Input!$AA$15)^2+(AJ61/(Input!$AA$15/2))^2)/((Input!$AA$16/Input!$AA$15)*(1+SQRT((Input!$AA$16/Input!$AA$15)^2+(AJ61/(Input!$AA$15/2))^2+1))))+LN(((Input!$AA$16/Input!$AA$15)+SQRT((Input!$AA$16/Input!$AA$15)^2+1))*SQRT(1+(AJ61/(Input!$AA$15/2))^2)/((Input!$AA$16/Input!$AA$15)+SQRT((Input!$AA$16/Input!$AA$15)^2+(AJ61/(Input!$AA$15/2))^2+1))))/PI()</f>
        <v/>
      </c>
      <c r="BE61" s="68">
        <f>(AJ61/(Input!$AA$15/2))/(2*PI())*ATAN((Input!$AA$16/Input!$AA$15)/((AJ61/(Input!$AA$15/2))*SQRT((Input!$AA$16/Input!$AA$15)^2+(AJ61/(Input!$AA$15/2))^2+1)))</f>
        <v/>
      </c>
      <c r="BF61" s="68">
        <f>MAX(0,AJ61-MAX(AI61,$AA$22))/AK61*IF(BC61&gt;=Input!$AA$21*AQ61,1,0)</f>
        <v/>
      </c>
      <c r="BG61" s="68">
        <f>4*Input!$AA$14*(Input!$AA$15/2)*(1-AY61^2)/AX61*((BD61-BD60)+(1-2*AY61)/(1-AY61)*(BE61-BE60))*1000*BF61</f>
        <v/>
      </c>
      <c r="BH61" s="68">
        <f>IF(AM61="Sand",0,0.009*(AR61-10))</f>
        <v/>
      </c>
      <c r="BI61" s="68">
        <f>BH61*Input!$AA$36</f>
        <v/>
      </c>
      <c r="BJ61" s="68">
        <f>IF(AM61="Sand",0,MAX(AV61/Input!$AA$37,AQ61))</f>
        <v/>
      </c>
      <c r="BK61" s="68">
        <f>IF(AM61="Sand",0,1000*AK61/(1+AU61)*IF(AQ61+BC61&lt;=BJ61,BI61*LOG10((AQ61+BC61)/AQ61),BI61*LOG10(BJ61/AQ61)+BH61*LOG10((AQ61+BC61)/BJ61)))*BF61</f>
        <v/>
      </c>
      <c r="BL61" s="68">
        <f>IF(AM61="Sand",0,10^(INDEX(Input!$Q$48:$Q$54,MIN(MATCH(MIN(MAX(AR61,30),120),Input!$C$48:$C$54,1),6))+(MIN(MAX(AR61,30),120)-INDEX(Input!$C$48:$C$54,MIN(MATCH(MIN(MAX(AR61,30),120),Input!$C$48:$C$54,1),6)))/(INDEX(Input!$C$48:$C$54,MIN(MATCH(MIN(MAX(AR61,30),120),Input!$C$48:$C$54,1),6)+1)-INDEX(Input!$C$48:$C$54,MIN(MATCH(MIN(MAX(AR61,30),120),Input!$C$48:$C$54,1),6)))*(INDEX(Input!$Q$48:$Q$54,MIN(MATCH(MIN(MAX(AR61,30),120),Input!$C$48:$C$54,1),6)+1)-INDEX(Input!$Q$48:$Q$54,MIN(MATCH(MIN(MAX(AR61,30),120),Input!$C$48:$C$54,1),6)))))</f>
        <v/>
      </c>
      <c r="BM61" s="68">
        <f>IF(OR(AM61="Sand",BF61=0),0,Input!$AA$38*(AK61/2)^2/(BL61*1E-4*31536000))</f>
        <v/>
      </c>
      <c r="BN61" s="68">
        <f>MAX(0,MIN(AJ61,Input!$AA$20)-AI61)</f>
        <v/>
      </c>
      <c r="BO61" s="68">
        <f>MAX(0,MIN(AJ61,Input!$AA$20)-MAX(AI61,$AA$22))</f>
        <v/>
      </c>
      <c r="BP61" s="68">
        <f>MAX(0,MIN(AJ61,$AA$225)-AI61)</f>
        <v/>
      </c>
      <c r="BQ61" s="68" t="inlineStr">
        <is>
          <t>data copied from BH-02</t>
        </is>
      </c>
    </row>
    <row r="62">
      <c r="B62" s="9" t="n"/>
      <c r="C62" s="57" t="n">
        <v>35</v>
      </c>
      <c r="D62" s="41" t="n"/>
      <c r="E62" s="55">
        <f>AI62</f>
        <v/>
      </c>
      <c r="F62" s="41" t="n"/>
      <c r="G62" s="41" t="n"/>
      <c r="H62" s="55">
        <f>AJ62</f>
        <v/>
      </c>
      <c r="I62" s="41" t="n"/>
      <c r="J62" s="41" t="n"/>
      <c r="K62" s="52">
        <f>AM62</f>
        <v/>
      </c>
      <c r="L62" s="41" t="n"/>
      <c r="M62" s="41" t="n"/>
      <c r="N62" s="57">
        <f>AN62</f>
        <v/>
      </c>
      <c r="O62" s="41" t="n"/>
      <c r="P62" s="41" t="n"/>
      <c r="Q62" s="53">
        <f>AO62</f>
        <v/>
      </c>
      <c r="R62" s="41" t="n"/>
      <c r="S62" s="41" t="n"/>
      <c r="T62" s="57">
        <f>IF(AR62="","-",AR62)</f>
        <v/>
      </c>
      <c r="U62" s="41" t="n"/>
      <c r="V62" s="57">
        <f>IF(AT62="","-",AT62)</f>
        <v/>
      </c>
      <c r="W62" s="41" t="n"/>
      <c r="X62" s="55">
        <f>AU62</f>
        <v/>
      </c>
      <c r="Y62" s="41" t="n"/>
      <c r="Z62" s="66">
        <f>AV62</f>
        <v/>
      </c>
      <c r="AA62" s="41" t="n"/>
      <c r="AB62" s="41" t="n"/>
      <c r="AC62" s="53">
        <f>AW62</f>
        <v/>
      </c>
      <c r="AD62" s="41" t="n"/>
      <c r="AE62" s="41" t="n"/>
      <c r="AF62" s="15" t="n"/>
      <c r="AI62" s="67" t="n">
        <v>51</v>
      </c>
      <c r="AJ62" s="67" t="n">
        <v>52.5</v>
      </c>
      <c r="AK62" s="68">
        <f>AJ62-AI62</f>
        <v/>
      </c>
      <c r="AL62" s="68">
        <f>(AI62+AJ62)/2</f>
        <v/>
      </c>
      <c r="AM62" s="67" t="inlineStr">
        <is>
          <t>Sand</t>
        </is>
      </c>
      <c r="AN62" s="67" t="n">
        <v>29</v>
      </c>
      <c r="AO62" s="68">
        <f>IF(AL62&gt;$AA$19,$AA$21,$AA$20)</f>
        <v/>
      </c>
      <c r="AP62" s="68">
        <f>AP61+AO62*AK62</f>
        <v/>
      </c>
      <c r="AQ62" s="68">
        <f>AP62-AO62*AK62/2-10*MAX(AL62-$AA$19,0)</f>
        <v/>
      </c>
      <c r="AR62" s="67" t="n"/>
      <c r="AS62" s="67" t="n"/>
      <c r="AT62" s="68">
        <f>IF(AR62="","",AR62-AS62)</f>
        <v/>
      </c>
      <c r="AU62" s="67" t="n">
        <v>0.65</v>
      </c>
      <c r="AV62" s="68">
        <f>IF(AM62="Sand",0,Input!$AA$31*AN62)</f>
        <v/>
      </c>
      <c r="AW62" s="68">
        <f>IF(AM62="Sand",27.1+0.3*MIN(Input!$AA$32*AN62,60)-0.00054*MIN(Input!$AA$32*AN62,60)^2,MIN(MAX(DEGREES(ASIN(0.8-0.094*LN(MAX(IF(AT62="",10,AT62),5)))),20),30))</f>
        <v/>
      </c>
      <c r="AX62" s="68">
        <f>IF(AM62="Sand",Input!$AA$33*Input!$AA$32*AN62,Input!$AA$34*AV62)</f>
        <v/>
      </c>
      <c r="AY62" s="68">
        <f>IF(AM62="Sand",Input!$AA$35,0.5)</f>
        <v/>
      </c>
      <c r="AZ62" s="68">
        <f>Input!$AA$15/2/AL62</f>
        <v/>
      </c>
      <c r="BA62" s="68">
        <f>Input!$AA$16/2/AL62</f>
        <v/>
      </c>
      <c r="BB62" s="68">
        <f>1/(4*PI())*(2*AZ62*BA62*SQRT(AZ62^2+BA62^2+1)/(AZ62^2+BA62^2+1+AZ62^2*BA62^2)*(AZ62^2+BA62^2+2)/(AZ62^2+BA62^2+1)+ATAN2(AZ62^2+BA62^2+1-AZ62^2*BA62^2,2*AZ62*BA62*SQRT(AZ62^2+BA62^2+1)))</f>
        <v/>
      </c>
      <c r="BC62" s="68">
        <f>4*Input!$AA$14*BB62</f>
        <v/>
      </c>
      <c r="BD62" s="68">
        <f>((Input!$AA$16/Input!$AA$15)*LN((1+SQRT((Input!$AA$16/Input!$AA$15)^2+1))*SQRT((Input!$AA$16/Input!$AA$15)^2+(AJ62/(Input!$AA$15/2))^2)/((Input!$AA$16/Input!$AA$15)*(1+SQRT((Input!$AA$16/Input!$AA$15)^2+(AJ62/(Input!$AA$15/2))^2+1))))+LN(((Input!$AA$16/Input!$AA$15)+SQRT((Input!$AA$16/Input!$AA$15)^2+1))*SQRT(1+(AJ62/(Input!$AA$15/2))^2)/((Input!$AA$16/Input!$AA$15)+SQRT((Input!$AA$16/Input!$AA$15)^2+(AJ62/(Input!$AA$15/2))^2+1))))/PI()</f>
        <v/>
      </c>
      <c r="BE62" s="68">
        <f>(AJ62/(Input!$AA$15/2))/(2*PI())*ATAN((Input!$AA$16/Input!$AA$15)/((AJ62/(Input!$AA$15/2))*SQRT((Input!$AA$16/Input!$AA$15)^2+(AJ62/(Input!$AA$15/2))^2+1)))</f>
        <v/>
      </c>
      <c r="BF62" s="68">
        <f>MAX(0,AJ62-MAX(AI62,$AA$22))/AK62*IF(BC62&gt;=Input!$AA$21*AQ62,1,0)</f>
        <v/>
      </c>
      <c r="BG62" s="68">
        <f>4*Input!$AA$14*(Input!$AA$15/2)*(1-AY62^2)/AX62*((BD62-BD61)+(1-2*AY62)/(1-AY62)*(BE62-BE61))*1000*BF62</f>
        <v/>
      </c>
      <c r="BH62" s="68">
        <f>IF(AM62="Sand",0,0.009*(AR62-10))</f>
        <v/>
      </c>
      <c r="BI62" s="68">
        <f>BH62*Input!$AA$36</f>
        <v/>
      </c>
      <c r="BJ62" s="68">
        <f>IF(AM62="Sand",0,MAX(AV62/Input!$AA$37,AQ62))</f>
        <v/>
      </c>
      <c r="BK62" s="68">
        <f>IF(AM62="Sand",0,1000*AK62/(1+AU62)*IF(AQ62+BC62&lt;=BJ62,BI62*LOG10((AQ62+BC62)/AQ62),BI62*LOG10(BJ62/AQ62)+BH62*LOG10((AQ62+BC62)/BJ62)))*BF62</f>
        <v/>
      </c>
      <c r="BL62" s="68">
        <f>IF(AM62="Sand",0,10^(INDEX(Input!$Q$48:$Q$54,MIN(MATCH(MIN(MAX(AR62,30),120),Input!$C$48:$C$54,1),6))+(MIN(MAX(AR62,30),120)-INDEX(Input!$C$48:$C$54,MIN(MATCH(MIN(MAX(AR62,30),120),Input!$C$48:$C$54,1),6)))/(INDEX(Input!$C$48:$C$54,MIN(MATCH(MIN(MAX(AR62,30),120),Input!$C$48:$C$54,1),6)+1)-INDEX(Input!$C$48:$C$54,MIN(MATCH(MIN(MAX(AR62,30),120),Input!$C$48:$C$54,1),6)))*(INDEX(Input!$Q$48:$Q$54,MIN(MATCH(MIN(MAX(AR62,30),120),Input!$C$48:$C$54,1),6)+1)-INDEX(Input!$Q$48:$Q$54,MIN(MATCH(MIN(MAX(AR62,30),120),Input!$C$48:$C$54,1),6)))))</f>
        <v/>
      </c>
      <c r="BM62" s="68">
        <f>IF(OR(AM62="Sand",BF62=0),0,Input!$AA$38*(AK62/2)^2/(BL62*1E-4*31536000))</f>
        <v/>
      </c>
      <c r="BN62" s="68">
        <f>MAX(0,MIN(AJ62,Input!$AA$20)-AI62)</f>
        <v/>
      </c>
      <c r="BO62" s="68">
        <f>MAX(0,MIN(AJ62,Input!$AA$20)-MAX(AI62,$AA$22))</f>
        <v/>
      </c>
      <c r="BP62" s="68">
        <f>MAX(0,MIN(AJ62,$AA$225)-AI62)</f>
        <v/>
      </c>
      <c r="BQ62" s="68" t="inlineStr">
        <is>
          <t>data copied from BH-02</t>
        </is>
      </c>
    </row>
    <row r="63">
      <c r="B63" s="9" t="n"/>
      <c r="C63" s="57" t="n">
        <v>36</v>
      </c>
      <c r="D63" s="41" t="n"/>
      <c r="E63" s="55">
        <f>AI63</f>
        <v/>
      </c>
      <c r="F63" s="41" t="n"/>
      <c r="G63" s="41" t="n"/>
      <c r="H63" s="55">
        <f>AJ63</f>
        <v/>
      </c>
      <c r="I63" s="41" t="n"/>
      <c r="J63" s="41" t="n"/>
      <c r="K63" s="52">
        <f>AM63</f>
        <v/>
      </c>
      <c r="L63" s="41" t="n"/>
      <c r="M63" s="41" t="n"/>
      <c r="N63" s="57">
        <f>AN63</f>
        <v/>
      </c>
      <c r="O63" s="41" t="n"/>
      <c r="P63" s="41" t="n"/>
      <c r="Q63" s="53">
        <f>AO63</f>
        <v/>
      </c>
      <c r="R63" s="41" t="n"/>
      <c r="S63" s="41" t="n"/>
      <c r="T63" s="57">
        <f>IF(AR63="","-",AR63)</f>
        <v/>
      </c>
      <c r="U63" s="41" t="n"/>
      <c r="V63" s="57">
        <f>IF(AT63="","-",AT63)</f>
        <v/>
      </c>
      <c r="W63" s="41" t="n"/>
      <c r="X63" s="55">
        <f>AU63</f>
        <v/>
      </c>
      <c r="Y63" s="41" t="n"/>
      <c r="Z63" s="66">
        <f>AV63</f>
        <v/>
      </c>
      <c r="AA63" s="41" t="n"/>
      <c r="AB63" s="41" t="n"/>
      <c r="AC63" s="53">
        <f>AW63</f>
        <v/>
      </c>
      <c r="AD63" s="41" t="n"/>
      <c r="AE63" s="41" t="n"/>
      <c r="AF63" s="15" t="n"/>
      <c r="AI63" s="67" t="n">
        <v>52.5</v>
      </c>
      <c r="AJ63" s="67" t="n">
        <v>54</v>
      </c>
      <c r="AK63" s="68">
        <f>AJ63-AI63</f>
        <v/>
      </c>
      <c r="AL63" s="68">
        <f>(AI63+AJ63)/2</f>
        <v/>
      </c>
      <c r="AM63" s="67" t="inlineStr">
        <is>
          <t>Sand</t>
        </is>
      </c>
      <c r="AN63" s="67" t="n">
        <v>35</v>
      </c>
      <c r="AO63" s="68">
        <f>IF(AL63&gt;$AA$19,$AA$21,$AA$20)</f>
        <v/>
      </c>
      <c r="AP63" s="68">
        <f>AP62+AO63*AK63</f>
        <v/>
      </c>
      <c r="AQ63" s="68">
        <f>AP63-AO63*AK63/2-10*MAX(AL63-$AA$19,0)</f>
        <v/>
      </c>
      <c r="AR63" s="67" t="n"/>
      <c r="AS63" s="67" t="n"/>
      <c r="AT63" s="68">
        <f>IF(AR63="","",AR63-AS63)</f>
        <v/>
      </c>
      <c r="AU63" s="67" t="n">
        <v>0.65</v>
      </c>
      <c r="AV63" s="68">
        <f>IF(AM63="Sand",0,Input!$AA$31*AN63)</f>
        <v/>
      </c>
      <c r="AW63" s="68">
        <f>IF(AM63="Sand",27.1+0.3*MIN(Input!$AA$32*AN63,60)-0.00054*MIN(Input!$AA$32*AN63,60)^2,MIN(MAX(DEGREES(ASIN(0.8-0.094*LN(MAX(IF(AT63="",10,AT63),5)))),20),30))</f>
        <v/>
      </c>
      <c r="AX63" s="68">
        <f>IF(AM63="Sand",Input!$AA$33*Input!$AA$32*AN63,Input!$AA$34*AV63)</f>
        <v/>
      </c>
      <c r="AY63" s="68">
        <f>IF(AM63="Sand",Input!$AA$35,0.5)</f>
        <v/>
      </c>
      <c r="AZ63" s="68">
        <f>Input!$AA$15/2/AL63</f>
        <v/>
      </c>
      <c r="BA63" s="68">
        <f>Input!$AA$16/2/AL63</f>
        <v/>
      </c>
      <c r="BB63" s="68">
        <f>1/(4*PI())*(2*AZ63*BA63*SQRT(AZ63^2+BA63^2+1)/(AZ63^2+BA63^2+1+AZ63^2*BA63^2)*(AZ63^2+BA63^2+2)/(AZ63^2+BA63^2+1)+ATAN2(AZ63^2+BA63^2+1-AZ63^2*BA63^2,2*AZ63*BA63*SQRT(AZ63^2+BA63^2+1)))</f>
        <v/>
      </c>
      <c r="BC63" s="68">
        <f>4*Input!$AA$14*BB63</f>
        <v/>
      </c>
      <c r="BD63" s="68">
        <f>((Input!$AA$16/Input!$AA$15)*LN((1+SQRT((Input!$AA$16/Input!$AA$15)^2+1))*SQRT((Input!$AA$16/Input!$AA$15)^2+(AJ63/(Input!$AA$15/2))^2)/((Input!$AA$16/Input!$AA$15)*(1+SQRT((Input!$AA$16/Input!$AA$15)^2+(AJ63/(Input!$AA$15/2))^2+1))))+LN(((Input!$AA$16/Input!$AA$15)+SQRT((Input!$AA$16/Input!$AA$15)^2+1))*SQRT(1+(AJ63/(Input!$AA$15/2))^2)/((Input!$AA$16/Input!$AA$15)+SQRT((Input!$AA$16/Input!$AA$15)^2+(AJ63/(Input!$AA$15/2))^2+1))))/PI()</f>
        <v/>
      </c>
      <c r="BE63" s="68">
        <f>(AJ63/(Input!$AA$15/2))/(2*PI())*ATAN((Input!$AA$16/Input!$AA$15)/((AJ63/(Input!$AA$15/2))*SQRT((Input!$AA$16/Input!$AA$15)^2+(AJ63/(Input!$AA$15/2))^2+1)))</f>
        <v/>
      </c>
      <c r="BF63" s="68">
        <f>MAX(0,AJ63-MAX(AI63,$AA$22))/AK63*IF(BC63&gt;=Input!$AA$21*AQ63,1,0)</f>
        <v/>
      </c>
      <c r="BG63" s="68">
        <f>4*Input!$AA$14*(Input!$AA$15/2)*(1-AY63^2)/AX63*((BD63-BD62)+(1-2*AY63)/(1-AY63)*(BE63-BE62))*1000*BF63</f>
        <v/>
      </c>
      <c r="BH63" s="68">
        <f>IF(AM63="Sand",0,0.009*(AR63-10))</f>
        <v/>
      </c>
      <c r="BI63" s="68">
        <f>BH63*Input!$AA$36</f>
        <v/>
      </c>
      <c r="BJ63" s="68">
        <f>IF(AM63="Sand",0,MAX(AV63/Input!$AA$37,AQ63))</f>
        <v/>
      </c>
      <c r="BK63" s="68">
        <f>IF(AM63="Sand",0,1000*AK63/(1+AU63)*IF(AQ63+BC63&lt;=BJ63,BI63*LOG10((AQ63+BC63)/AQ63),BI63*LOG10(BJ63/AQ63)+BH63*LOG10((AQ63+BC63)/BJ63)))*BF63</f>
        <v/>
      </c>
      <c r="BL63" s="68">
        <f>IF(AM63="Sand",0,10^(INDEX(Input!$Q$48:$Q$54,MIN(MATCH(MIN(MAX(AR63,30),120),Input!$C$48:$C$54,1),6))+(MIN(MAX(AR63,30),120)-INDEX(Input!$C$48:$C$54,MIN(MATCH(MIN(MAX(AR63,30),120),Input!$C$48:$C$54,1),6)))/(INDEX(Input!$C$48:$C$54,MIN(MATCH(MIN(MAX(AR63,30),120),Input!$C$48:$C$54,1),6)+1)-INDEX(Input!$C$48:$C$54,MIN(MATCH(MIN(MAX(AR63,30),120),Input!$C$48:$C$54,1),6)))*(INDEX(Input!$Q$48:$Q$54,MIN(MATCH(MIN(MAX(AR63,30),120),Input!$C$48:$C$54,1),6)+1)-INDEX(Input!$Q$48:$Q$54,MIN(MATCH(MIN(MAX(AR63,30),120),Input!$C$48:$C$54,1),6)))))</f>
        <v/>
      </c>
      <c r="BM63" s="68">
        <f>IF(OR(AM63="Sand",BF63=0),0,Input!$AA$38*(AK63/2)^2/(BL63*1E-4*31536000))</f>
        <v/>
      </c>
      <c r="BN63" s="68">
        <f>MAX(0,MIN(AJ63,Input!$AA$20)-AI63)</f>
        <v/>
      </c>
      <c r="BO63" s="68">
        <f>MAX(0,MIN(AJ63,Input!$AA$20)-MAX(AI63,$AA$22))</f>
        <v/>
      </c>
      <c r="BP63" s="68">
        <f>MAX(0,MIN(AJ63,$AA$225)-AI63)</f>
        <v/>
      </c>
      <c r="BQ63" s="68" t="inlineStr">
        <is>
          <t>data copied from BH-02</t>
        </is>
      </c>
    </row>
    <row r="64">
      <c r="B64" s="9" t="n"/>
      <c r="C64" s="57" t="n">
        <v>37</v>
      </c>
      <c r="D64" s="41" t="n"/>
      <c r="E64" s="55">
        <f>AI64</f>
        <v/>
      </c>
      <c r="F64" s="41" t="n"/>
      <c r="G64" s="41" t="n"/>
      <c r="H64" s="55">
        <f>AJ64</f>
        <v/>
      </c>
      <c r="I64" s="41" t="n"/>
      <c r="J64" s="41" t="n"/>
      <c r="K64" s="52">
        <f>AM64</f>
        <v/>
      </c>
      <c r="L64" s="41" t="n"/>
      <c r="M64" s="41" t="n"/>
      <c r="N64" s="57">
        <f>AN64</f>
        <v/>
      </c>
      <c r="O64" s="41" t="n"/>
      <c r="P64" s="41" t="n"/>
      <c r="Q64" s="53">
        <f>AO64</f>
        <v/>
      </c>
      <c r="R64" s="41" t="n"/>
      <c r="S64" s="41" t="n"/>
      <c r="T64" s="57">
        <f>IF(AR64="","-",AR64)</f>
        <v/>
      </c>
      <c r="U64" s="41" t="n"/>
      <c r="V64" s="57">
        <f>IF(AT64="","-",AT64)</f>
        <v/>
      </c>
      <c r="W64" s="41" t="n"/>
      <c r="X64" s="55">
        <f>AU64</f>
        <v/>
      </c>
      <c r="Y64" s="41" t="n"/>
      <c r="Z64" s="66">
        <f>AV64</f>
        <v/>
      </c>
      <c r="AA64" s="41" t="n"/>
      <c r="AB64" s="41" t="n"/>
      <c r="AC64" s="53">
        <f>AW64</f>
        <v/>
      </c>
      <c r="AD64" s="41" t="n"/>
      <c r="AE64" s="41" t="n"/>
      <c r="AF64" s="15" t="n"/>
      <c r="AI64" s="67" t="n">
        <v>54</v>
      </c>
      <c r="AJ64" s="67" t="n">
        <v>55.5</v>
      </c>
      <c r="AK64" s="68">
        <f>AJ64-AI64</f>
        <v/>
      </c>
      <c r="AL64" s="68">
        <f>(AI64+AJ64)/2</f>
        <v/>
      </c>
      <c r="AM64" s="67" t="inlineStr">
        <is>
          <t>Sand</t>
        </is>
      </c>
      <c r="AN64" s="67" t="n">
        <v>50</v>
      </c>
      <c r="AO64" s="68">
        <f>IF(AL64&gt;$AA$19,$AA$21,$AA$20)</f>
        <v/>
      </c>
      <c r="AP64" s="68">
        <f>AP63+AO64*AK64</f>
        <v/>
      </c>
      <c r="AQ64" s="68">
        <f>AP64-AO64*AK64/2-10*MAX(AL64-$AA$19,0)</f>
        <v/>
      </c>
      <c r="AR64" s="67" t="n"/>
      <c r="AS64" s="67" t="n"/>
      <c r="AT64" s="68">
        <f>IF(AR64="","",AR64-AS64)</f>
        <v/>
      </c>
      <c r="AU64" s="67" t="n">
        <v>0.65</v>
      </c>
      <c r="AV64" s="68">
        <f>IF(AM64="Sand",0,Input!$AA$31*AN64)</f>
        <v/>
      </c>
      <c r="AW64" s="68">
        <f>IF(AM64="Sand",27.1+0.3*MIN(Input!$AA$32*AN64,60)-0.00054*MIN(Input!$AA$32*AN64,60)^2,MIN(MAX(DEGREES(ASIN(0.8-0.094*LN(MAX(IF(AT64="",10,AT64),5)))),20),30))</f>
        <v/>
      </c>
      <c r="AX64" s="68">
        <f>IF(AM64="Sand",Input!$AA$33*Input!$AA$32*AN64,Input!$AA$34*AV64)</f>
        <v/>
      </c>
      <c r="AY64" s="68">
        <f>IF(AM64="Sand",Input!$AA$35,0.5)</f>
        <v/>
      </c>
      <c r="AZ64" s="68">
        <f>Input!$AA$15/2/AL64</f>
        <v/>
      </c>
      <c r="BA64" s="68">
        <f>Input!$AA$16/2/AL64</f>
        <v/>
      </c>
      <c r="BB64" s="68">
        <f>1/(4*PI())*(2*AZ64*BA64*SQRT(AZ64^2+BA64^2+1)/(AZ64^2+BA64^2+1+AZ64^2*BA64^2)*(AZ64^2+BA64^2+2)/(AZ64^2+BA64^2+1)+ATAN2(AZ64^2+BA64^2+1-AZ64^2*BA64^2,2*AZ64*BA64*SQRT(AZ64^2+BA64^2+1)))</f>
        <v/>
      </c>
      <c r="BC64" s="68">
        <f>4*Input!$AA$14*BB64</f>
        <v/>
      </c>
      <c r="BD64" s="68">
        <f>((Input!$AA$16/Input!$AA$15)*LN((1+SQRT((Input!$AA$16/Input!$AA$15)^2+1))*SQRT((Input!$AA$16/Input!$AA$15)^2+(AJ64/(Input!$AA$15/2))^2)/((Input!$AA$16/Input!$AA$15)*(1+SQRT((Input!$AA$16/Input!$AA$15)^2+(AJ64/(Input!$AA$15/2))^2+1))))+LN(((Input!$AA$16/Input!$AA$15)+SQRT((Input!$AA$16/Input!$AA$15)^2+1))*SQRT(1+(AJ64/(Input!$AA$15/2))^2)/((Input!$AA$16/Input!$AA$15)+SQRT((Input!$AA$16/Input!$AA$15)^2+(AJ64/(Input!$AA$15/2))^2+1))))/PI()</f>
        <v/>
      </c>
      <c r="BE64" s="68">
        <f>(AJ64/(Input!$AA$15/2))/(2*PI())*ATAN((Input!$AA$16/Input!$AA$15)/((AJ64/(Input!$AA$15/2))*SQRT((Input!$AA$16/Input!$AA$15)^2+(AJ64/(Input!$AA$15/2))^2+1)))</f>
        <v/>
      </c>
      <c r="BF64" s="68">
        <f>MAX(0,AJ64-MAX(AI64,$AA$22))/AK64*IF(BC64&gt;=Input!$AA$21*AQ64,1,0)</f>
        <v/>
      </c>
      <c r="BG64" s="68">
        <f>4*Input!$AA$14*(Input!$AA$15/2)*(1-AY64^2)/AX64*((BD64-BD63)+(1-2*AY64)/(1-AY64)*(BE64-BE63))*1000*BF64</f>
        <v/>
      </c>
      <c r="BH64" s="68">
        <f>IF(AM64="Sand",0,0.009*(AR64-10))</f>
        <v/>
      </c>
      <c r="BI64" s="68">
        <f>BH64*Input!$AA$36</f>
        <v/>
      </c>
      <c r="BJ64" s="68">
        <f>IF(AM64="Sand",0,MAX(AV64/Input!$AA$37,AQ64))</f>
        <v/>
      </c>
      <c r="BK64" s="68">
        <f>IF(AM64="Sand",0,1000*AK64/(1+AU64)*IF(AQ64+BC64&lt;=BJ64,BI64*LOG10((AQ64+BC64)/AQ64),BI64*LOG10(BJ64/AQ64)+BH64*LOG10((AQ64+BC64)/BJ64)))*BF64</f>
        <v/>
      </c>
      <c r="BL64" s="68">
        <f>IF(AM64="Sand",0,10^(INDEX(Input!$Q$48:$Q$54,MIN(MATCH(MIN(MAX(AR64,30),120),Input!$C$48:$C$54,1),6))+(MIN(MAX(AR64,30),120)-INDEX(Input!$C$48:$C$54,MIN(MATCH(MIN(MAX(AR64,30),120),Input!$C$48:$C$54,1),6)))/(INDEX(Input!$C$48:$C$54,MIN(MATCH(MIN(MAX(AR64,30),120),Input!$C$48:$C$54,1),6)+1)-INDEX(Input!$C$48:$C$54,MIN(MATCH(MIN(MAX(AR64,30),120),Input!$C$48:$C$54,1),6)))*(INDEX(Input!$Q$48:$Q$54,MIN(MATCH(MIN(MAX(AR64,30),120),Input!$C$48:$C$54,1),6)+1)-INDEX(Input!$Q$48:$Q$54,MIN(MATCH(MIN(MAX(AR64,30),120),Input!$C$48:$C$54,1),6)))))</f>
        <v/>
      </c>
      <c r="BM64" s="68">
        <f>IF(OR(AM64="Sand",BF64=0),0,Input!$AA$38*(AK64/2)^2/(BL64*1E-4*31536000))</f>
        <v/>
      </c>
      <c r="BN64" s="68">
        <f>MAX(0,MIN(AJ64,Input!$AA$20)-AI64)</f>
        <v/>
      </c>
      <c r="BO64" s="68">
        <f>MAX(0,MIN(AJ64,Input!$AA$20)-MAX(AI64,$AA$22))</f>
        <v/>
      </c>
      <c r="BP64" s="68">
        <f>MAX(0,MIN(AJ64,$AA$225)-AI64)</f>
        <v/>
      </c>
      <c r="BQ64" s="68" t="inlineStr">
        <is>
          <t>data copied from BH-02</t>
        </is>
      </c>
    </row>
    <row r="65">
      <c r="B65" s="9" t="n"/>
      <c r="C65" s="57" t="n">
        <v>38</v>
      </c>
      <c r="D65" s="41" t="n"/>
      <c r="E65" s="55">
        <f>AI65</f>
        <v/>
      </c>
      <c r="F65" s="41" t="n"/>
      <c r="G65" s="41" t="n"/>
      <c r="H65" s="55">
        <f>AJ65</f>
        <v/>
      </c>
      <c r="I65" s="41" t="n"/>
      <c r="J65" s="41" t="n"/>
      <c r="K65" s="52">
        <f>AM65</f>
        <v/>
      </c>
      <c r="L65" s="41" t="n"/>
      <c r="M65" s="41" t="n"/>
      <c r="N65" s="57">
        <f>AN65</f>
        <v/>
      </c>
      <c r="O65" s="41" t="n"/>
      <c r="P65" s="41" t="n"/>
      <c r="Q65" s="53">
        <f>AO65</f>
        <v/>
      </c>
      <c r="R65" s="41" t="n"/>
      <c r="S65" s="41" t="n"/>
      <c r="T65" s="57">
        <f>IF(AR65="","-",AR65)</f>
        <v/>
      </c>
      <c r="U65" s="41" t="n"/>
      <c r="V65" s="57">
        <f>IF(AT65="","-",AT65)</f>
        <v/>
      </c>
      <c r="W65" s="41" t="n"/>
      <c r="X65" s="55">
        <f>AU65</f>
        <v/>
      </c>
      <c r="Y65" s="41" t="n"/>
      <c r="Z65" s="66">
        <f>AV65</f>
        <v/>
      </c>
      <c r="AA65" s="41" t="n"/>
      <c r="AB65" s="41" t="n"/>
      <c r="AC65" s="53">
        <f>AW65</f>
        <v/>
      </c>
      <c r="AD65" s="41" t="n"/>
      <c r="AE65" s="41" t="n"/>
      <c r="AF65" s="15" t="n"/>
      <c r="AI65" s="67" t="n">
        <v>55.5</v>
      </c>
      <c r="AJ65" s="67" t="n">
        <v>57</v>
      </c>
      <c r="AK65" s="68">
        <f>AJ65-AI65</f>
        <v/>
      </c>
      <c r="AL65" s="68">
        <f>(AI65+AJ65)/2</f>
        <v/>
      </c>
      <c r="AM65" s="67" t="inlineStr">
        <is>
          <t>Sand</t>
        </is>
      </c>
      <c r="AN65" s="67" t="n">
        <v>50</v>
      </c>
      <c r="AO65" s="68">
        <f>IF(AL65&gt;$AA$19,$AA$21,$AA$20)</f>
        <v/>
      </c>
      <c r="AP65" s="68">
        <f>AP64+AO65*AK65</f>
        <v/>
      </c>
      <c r="AQ65" s="68">
        <f>AP65-AO65*AK65/2-10*MAX(AL65-$AA$19,0)</f>
        <v/>
      </c>
      <c r="AR65" s="67" t="n"/>
      <c r="AS65" s="67" t="n"/>
      <c r="AT65" s="68">
        <f>IF(AR65="","",AR65-AS65)</f>
        <v/>
      </c>
      <c r="AU65" s="67" t="n">
        <v>0.65</v>
      </c>
      <c r="AV65" s="68">
        <f>IF(AM65="Sand",0,Input!$AA$31*AN65)</f>
        <v/>
      </c>
      <c r="AW65" s="68">
        <f>IF(AM65="Sand",27.1+0.3*MIN(Input!$AA$32*AN65,60)-0.00054*MIN(Input!$AA$32*AN65,60)^2,MIN(MAX(DEGREES(ASIN(0.8-0.094*LN(MAX(IF(AT65="",10,AT65),5)))),20),30))</f>
        <v/>
      </c>
      <c r="AX65" s="68">
        <f>IF(AM65="Sand",Input!$AA$33*Input!$AA$32*AN65,Input!$AA$34*AV65)</f>
        <v/>
      </c>
      <c r="AY65" s="68">
        <f>IF(AM65="Sand",Input!$AA$35,0.5)</f>
        <v/>
      </c>
      <c r="AZ65" s="68">
        <f>Input!$AA$15/2/AL65</f>
        <v/>
      </c>
      <c r="BA65" s="68">
        <f>Input!$AA$16/2/AL65</f>
        <v/>
      </c>
      <c r="BB65" s="68">
        <f>1/(4*PI())*(2*AZ65*BA65*SQRT(AZ65^2+BA65^2+1)/(AZ65^2+BA65^2+1+AZ65^2*BA65^2)*(AZ65^2+BA65^2+2)/(AZ65^2+BA65^2+1)+ATAN2(AZ65^2+BA65^2+1-AZ65^2*BA65^2,2*AZ65*BA65*SQRT(AZ65^2+BA65^2+1)))</f>
        <v/>
      </c>
      <c r="BC65" s="68">
        <f>4*Input!$AA$14*BB65</f>
        <v/>
      </c>
      <c r="BD65" s="68">
        <f>((Input!$AA$16/Input!$AA$15)*LN((1+SQRT((Input!$AA$16/Input!$AA$15)^2+1))*SQRT((Input!$AA$16/Input!$AA$15)^2+(AJ65/(Input!$AA$15/2))^2)/((Input!$AA$16/Input!$AA$15)*(1+SQRT((Input!$AA$16/Input!$AA$15)^2+(AJ65/(Input!$AA$15/2))^2+1))))+LN(((Input!$AA$16/Input!$AA$15)+SQRT((Input!$AA$16/Input!$AA$15)^2+1))*SQRT(1+(AJ65/(Input!$AA$15/2))^2)/((Input!$AA$16/Input!$AA$15)+SQRT((Input!$AA$16/Input!$AA$15)^2+(AJ65/(Input!$AA$15/2))^2+1))))/PI()</f>
        <v/>
      </c>
      <c r="BE65" s="68">
        <f>(AJ65/(Input!$AA$15/2))/(2*PI())*ATAN((Input!$AA$16/Input!$AA$15)/((AJ65/(Input!$AA$15/2))*SQRT((Input!$AA$16/Input!$AA$15)^2+(AJ65/(Input!$AA$15/2))^2+1)))</f>
        <v/>
      </c>
      <c r="BF65" s="68">
        <f>MAX(0,AJ65-MAX(AI65,$AA$22))/AK65*IF(BC65&gt;=Input!$AA$21*AQ65,1,0)</f>
        <v/>
      </c>
      <c r="BG65" s="68">
        <f>4*Input!$AA$14*(Input!$AA$15/2)*(1-AY65^2)/AX65*((BD65-BD64)+(1-2*AY65)/(1-AY65)*(BE65-BE64))*1000*BF65</f>
        <v/>
      </c>
      <c r="BH65" s="68">
        <f>IF(AM65="Sand",0,0.009*(AR65-10))</f>
        <v/>
      </c>
      <c r="BI65" s="68">
        <f>BH65*Input!$AA$36</f>
        <v/>
      </c>
      <c r="BJ65" s="68">
        <f>IF(AM65="Sand",0,MAX(AV65/Input!$AA$37,AQ65))</f>
        <v/>
      </c>
      <c r="BK65" s="68">
        <f>IF(AM65="Sand",0,1000*AK65/(1+AU65)*IF(AQ65+BC65&lt;=BJ65,BI65*LOG10((AQ65+BC65)/AQ65),BI65*LOG10(BJ65/AQ65)+BH65*LOG10((AQ65+BC65)/BJ65)))*BF65</f>
        <v/>
      </c>
      <c r="BL65" s="68">
        <f>IF(AM65="Sand",0,10^(INDEX(Input!$Q$48:$Q$54,MIN(MATCH(MIN(MAX(AR65,30),120),Input!$C$48:$C$54,1),6))+(MIN(MAX(AR65,30),120)-INDEX(Input!$C$48:$C$54,MIN(MATCH(MIN(MAX(AR65,30),120),Input!$C$48:$C$54,1),6)))/(INDEX(Input!$C$48:$C$54,MIN(MATCH(MIN(MAX(AR65,30),120),Input!$C$48:$C$54,1),6)+1)-INDEX(Input!$C$48:$C$54,MIN(MATCH(MIN(MAX(AR65,30),120),Input!$C$48:$C$54,1),6)))*(INDEX(Input!$Q$48:$Q$54,MIN(MATCH(MIN(MAX(AR65,30),120),Input!$C$48:$C$54,1),6)+1)-INDEX(Input!$Q$48:$Q$54,MIN(MATCH(MIN(MAX(AR65,30),120),Input!$C$48:$C$54,1),6)))))</f>
        <v/>
      </c>
      <c r="BM65" s="68">
        <f>IF(OR(AM65="Sand",BF65=0),0,Input!$AA$38*(AK65/2)^2/(BL65*1E-4*31536000))</f>
        <v/>
      </c>
      <c r="BN65" s="68">
        <f>MAX(0,MIN(AJ65,Input!$AA$20)-AI65)</f>
        <v/>
      </c>
      <c r="BO65" s="68">
        <f>MAX(0,MIN(AJ65,Input!$AA$20)-MAX(AI65,$AA$22))</f>
        <v/>
      </c>
      <c r="BP65" s="68">
        <f>MAX(0,MIN(AJ65,$AA$225)-AI65)</f>
        <v/>
      </c>
      <c r="BQ65" s="68" t="inlineStr">
        <is>
          <t>data copied from BH-02</t>
        </is>
      </c>
    </row>
    <row r="66">
      <c r="B66" s="9" t="n"/>
      <c r="C66" s="57" t="n">
        <v>39</v>
      </c>
      <c r="D66" s="41" t="n"/>
      <c r="E66" s="55">
        <f>AI66</f>
        <v/>
      </c>
      <c r="F66" s="41" t="n"/>
      <c r="G66" s="41" t="n"/>
      <c r="H66" s="55">
        <f>AJ66</f>
        <v/>
      </c>
      <c r="I66" s="41" t="n"/>
      <c r="J66" s="41" t="n"/>
      <c r="K66" s="52">
        <f>AM66</f>
        <v/>
      </c>
      <c r="L66" s="41" t="n"/>
      <c r="M66" s="41" t="n"/>
      <c r="N66" s="57">
        <f>AN66</f>
        <v/>
      </c>
      <c r="O66" s="41" t="n"/>
      <c r="P66" s="41" t="n"/>
      <c r="Q66" s="53">
        <f>AO66</f>
        <v/>
      </c>
      <c r="R66" s="41" t="n"/>
      <c r="S66" s="41" t="n"/>
      <c r="T66" s="57">
        <f>IF(AR66="","-",AR66)</f>
        <v/>
      </c>
      <c r="U66" s="41" t="n"/>
      <c r="V66" s="57">
        <f>IF(AT66="","-",AT66)</f>
        <v/>
      </c>
      <c r="W66" s="41" t="n"/>
      <c r="X66" s="55">
        <f>AU66</f>
        <v/>
      </c>
      <c r="Y66" s="41" t="n"/>
      <c r="Z66" s="66">
        <f>AV66</f>
        <v/>
      </c>
      <c r="AA66" s="41" t="n"/>
      <c r="AB66" s="41" t="n"/>
      <c r="AC66" s="53">
        <f>AW66</f>
        <v/>
      </c>
      <c r="AD66" s="41" t="n"/>
      <c r="AE66" s="41" t="n"/>
      <c r="AF66" s="15" t="n"/>
      <c r="AI66" s="67" t="n">
        <v>57</v>
      </c>
      <c r="AJ66" s="67" t="n">
        <v>58.5</v>
      </c>
      <c r="AK66" s="68">
        <f>AJ66-AI66</f>
        <v/>
      </c>
      <c r="AL66" s="68">
        <f>(AI66+AJ66)/2</f>
        <v/>
      </c>
      <c r="AM66" s="67" t="inlineStr">
        <is>
          <t>Sand</t>
        </is>
      </c>
      <c r="AN66" s="67" t="n">
        <v>50</v>
      </c>
      <c r="AO66" s="68">
        <f>IF(AL66&gt;$AA$19,$AA$21,$AA$20)</f>
        <v/>
      </c>
      <c r="AP66" s="68">
        <f>AP65+AO66*AK66</f>
        <v/>
      </c>
      <c r="AQ66" s="68">
        <f>AP66-AO66*AK66/2-10*MAX(AL66-$AA$19,0)</f>
        <v/>
      </c>
      <c r="AR66" s="67" t="n"/>
      <c r="AS66" s="67" t="n"/>
      <c r="AT66" s="68">
        <f>IF(AR66="","",AR66-AS66)</f>
        <v/>
      </c>
      <c r="AU66" s="67" t="n">
        <v>0.65</v>
      </c>
      <c r="AV66" s="68">
        <f>IF(AM66="Sand",0,Input!$AA$31*AN66)</f>
        <v/>
      </c>
      <c r="AW66" s="68">
        <f>IF(AM66="Sand",27.1+0.3*MIN(Input!$AA$32*AN66,60)-0.00054*MIN(Input!$AA$32*AN66,60)^2,MIN(MAX(DEGREES(ASIN(0.8-0.094*LN(MAX(IF(AT66="",10,AT66),5)))),20),30))</f>
        <v/>
      </c>
      <c r="AX66" s="68">
        <f>IF(AM66="Sand",Input!$AA$33*Input!$AA$32*AN66,Input!$AA$34*AV66)</f>
        <v/>
      </c>
      <c r="AY66" s="68">
        <f>IF(AM66="Sand",Input!$AA$35,0.5)</f>
        <v/>
      </c>
      <c r="AZ66" s="68">
        <f>Input!$AA$15/2/AL66</f>
        <v/>
      </c>
      <c r="BA66" s="68">
        <f>Input!$AA$16/2/AL66</f>
        <v/>
      </c>
      <c r="BB66" s="68">
        <f>1/(4*PI())*(2*AZ66*BA66*SQRT(AZ66^2+BA66^2+1)/(AZ66^2+BA66^2+1+AZ66^2*BA66^2)*(AZ66^2+BA66^2+2)/(AZ66^2+BA66^2+1)+ATAN2(AZ66^2+BA66^2+1-AZ66^2*BA66^2,2*AZ66*BA66*SQRT(AZ66^2+BA66^2+1)))</f>
        <v/>
      </c>
      <c r="BC66" s="68">
        <f>4*Input!$AA$14*BB66</f>
        <v/>
      </c>
      <c r="BD66" s="68">
        <f>((Input!$AA$16/Input!$AA$15)*LN((1+SQRT((Input!$AA$16/Input!$AA$15)^2+1))*SQRT((Input!$AA$16/Input!$AA$15)^2+(AJ66/(Input!$AA$15/2))^2)/((Input!$AA$16/Input!$AA$15)*(1+SQRT((Input!$AA$16/Input!$AA$15)^2+(AJ66/(Input!$AA$15/2))^2+1))))+LN(((Input!$AA$16/Input!$AA$15)+SQRT((Input!$AA$16/Input!$AA$15)^2+1))*SQRT(1+(AJ66/(Input!$AA$15/2))^2)/((Input!$AA$16/Input!$AA$15)+SQRT((Input!$AA$16/Input!$AA$15)^2+(AJ66/(Input!$AA$15/2))^2+1))))/PI()</f>
        <v/>
      </c>
      <c r="BE66" s="68">
        <f>(AJ66/(Input!$AA$15/2))/(2*PI())*ATAN((Input!$AA$16/Input!$AA$15)/((AJ66/(Input!$AA$15/2))*SQRT((Input!$AA$16/Input!$AA$15)^2+(AJ66/(Input!$AA$15/2))^2+1)))</f>
        <v/>
      </c>
      <c r="BF66" s="68">
        <f>MAX(0,AJ66-MAX(AI66,$AA$22))/AK66*IF(BC66&gt;=Input!$AA$21*AQ66,1,0)</f>
        <v/>
      </c>
      <c r="BG66" s="68">
        <f>4*Input!$AA$14*(Input!$AA$15/2)*(1-AY66^2)/AX66*((BD66-BD65)+(1-2*AY66)/(1-AY66)*(BE66-BE65))*1000*BF66</f>
        <v/>
      </c>
      <c r="BH66" s="68">
        <f>IF(AM66="Sand",0,0.009*(AR66-10))</f>
        <v/>
      </c>
      <c r="BI66" s="68">
        <f>BH66*Input!$AA$36</f>
        <v/>
      </c>
      <c r="BJ66" s="68">
        <f>IF(AM66="Sand",0,MAX(AV66/Input!$AA$37,AQ66))</f>
        <v/>
      </c>
      <c r="BK66" s="68">
        <f>IF(AM66="Sand",0,1000*AK66/(1+AU66)*IF(AQ66+BC66&lt;=BJ66,BI66*LOG10((AQ66+BC66)/AQ66),BI66*LOG10(BJ66/AQ66)+BH66*LOG10((AQ66+BC66)/BJ66)))*BF66</f>
        <v/>
      </c>
      <c r="BL66" s="68">
        <f>IF(AM66="Sand",0,10^(INDEX(Input!$Q$48:$Q$54,MIN(MATCH(MIN(MAX(AR66,30),120),Input!$C$48:$C$54,1),6))+(MIN(MAX(AR66,30),120)-INDEX(Input!$C$48:$C$54,MIN(MATCH(MIN(MAX(AR66,30),120),Input!$C$48:$C$54,1),6)))/(INDEX(Input!$C$48:$C$54,MIN(MATCH(MIN(MAX(AR66,30),120),Input!$C$48:$C$54,1),6)+1)-INDEX(Input!$C$48:$C$54,MIN(MATCH(MIN(MAX(AR66,30),120),Input!$C$48:$C$54,1),6)))*(INDEX(Input!$Q$48:$Q$54,MIN(MATCH(MIN(MAX(AR66,30),120),Input!$C$48:$C$54,1),6)+1)-INDEX(Input!$Q$48:$Q$54,MIN(MATCH(MIN(MAX(AR66,30),120),Input!$C$48:$C$54,1),6)))))</f>
        <v/>
      </c>
      <c r="BM66" s="68">
        <f>IF(OR(AM66="Sand",BF66=0),0,Input!$AA$38*(AK66/2)^2/(BL66*1E-4*31536000))</f>
        <v/>
      </c>
      <c r="BN66" s="68">
        <f>MAX(0,MIN(AJ66,Input!$AA$20)-AI66)</f>
        <v/>
      </c>
      <c r="BO66" s="68">
        <f>MAX(0,MIN(AJ66,Input!$AA$20)-MAX(AI66,$AA$22))</f>
        <v/>
      </c>
      <c r="BP66" s="68">
        <f>MAX(0,MIN(AJ66,$AA$225)-AI66)</f>
        <v/>
      </c>
      <c r="BQ66" s="68" t="inlineStr">
        <is>
          <t>data copied from BH-02</t>
        </is>
      </c>
    </row>
    <row r="67">
      <c r="B67" s="9" t="n"/>
      <c r="C67" s="57" t="n">
        <v>40</v>
      </c>
      <c r="D67" s="41" t="n"/>
      <c r="E67" s="55">
        <f>AI67</f>
        <v/>
      </c>
      <c r="F67" s="41" t="n"/>
      <c r="G67" s="41" t="n"/>
      <c r="H67" s="55">
        <f>AJ67</f>
        <v/>
      </c>
      <c r="I67" s="41" t="n"/>
      <c r="J67" s="41" t="n"/>
      <c r="K67" s="52">
        <f>AM67</f>
        <v/>
      </c>
      <c r="L67" s="41" t="n"/>
      <c r="M67" s="41" t="n"/>
      <c r="N67" s="57">
        <f>AN67</f>
        <v/>
      </c>
      <c r="O67" s="41" t="n"/>
      <c r="P67" s="41" t="n"/>
      <c r="Q67" s="53">
        <f>AO67</f>
        <v/>
      </c>
      <c r="R67" s="41" t="n"/>
      <c r="S67" s="41" t="n"/>
      <c r="T67" s="57">
        <f>IF(AR67="","-",AR67)</f>
        <v/>
      </c>
      <c r="U67" s="41" t="n"/>
      <c r="V67" s="57">
        <f>IF(AT67="","-",AT67)</f>
        <v/>
      </c>
      <c r="W67" s="41" t="n"/>
      <c r="X67" s="55">
        <f>AU67</f>
        <v/>
      </c>
      <c r="Y67" s="41" t="n"/>
      <c r="Z67" s="66">
        <f>AV67</f>
        <v/>
      </c>
      <c r="AA67" s="41" t="n"/>
      <c r="AB67" s="41" t="n"/>
      <c r="AC67" s="53">
        <f>AW67</f>
        <v/>
      </c>
      <c r="AD67" s="41" t="n"/>
      <c r="AE67" s="41" t="n"/>
      <c r="AF67" s="15" t="n"/>
      <c r="AI67" s="67" t="n">
        <v>58.5</v>
      </c>
      <c r="AJ67" s="67" t="n">
        <v>59.5</v>
      </c>
      <c r="AK67" s="68">
        <f>AJ67-AI67</f>
        <v/>
      </c>
      <c r="AL67" s="68">
        <f>(AI67+AJ67)/2</f>
        <v/>
      </c>
      <c r="AM67" s="67" t="inlineStr">
        <is>
          <t>Sand</t>
        </is>
      </c>
      <c r="AN67" s="67" t="n">
        <v>29</v>
      </c>
      <c r="AO67" s="68">
        <f>IF(AL67&gt;$AA$19,$AA$21,$AA$20)</f>
        <v/>
      </c>
      <c r="AP67" s="68">
        <f>AP66+AO67*AK67</f>
        <v/>
      </c>
      <c r="AQ67" s="68">
        <f>AP67-AO67*AK67/2-10*MAX(AL67-$AA$19,0)</f>
        <v/>
      </c>
      <c r="AR67" s="67" t="n"/>
      <c r="AS67" s="67" t="n"/>
      <c r="AT67" s="68">
        <f>IF(AR67="","",AR67-AS67)</f>
        <v/>
      </c>
      <c r="AU67" s="67" t="n">
        <v>0.65</v>
      </c>
      <c r="AV67" s="68">
        <f>IF(AM67="Sand",0,Input!$AA$31*AN67)</f>
        <v/>
      </c>
      <c r="AW67" s="68">
        <f>IF(AM67="Sand",27.1+0.3*MIN(Input!$AA$32*AN67,60)-0.00054*MIN(Input!$AA$32*AN67,60)^2,MIN(MAX(DEGREES(ASIN(0.8-0.094*LN(MAX(IF(AT67="",10,AT67),5)))),20),30))</f>
        <v/>
      </c>
      <c r="AX67" s="68">
        <f>IF(AM67="Sand",Input!$AA$33*Input!$AA$32*AN67,Input!$AA$34*AV67)</f>
        <v/>
      </c>
      <c r="AY67" s="68">
        <f>IF(AM67="Sand",Input!$AA$35,0.5)</f>
        <v/>
      </c>
      <c r="AZ67" s="68">
        <f>Input!$AA$15/2/AL67</f>
        <v/>
      </c>
      <c r="BA67" s="68">
        <f>Input!$AA$16/2/AL67</f>
        <v/>
      </c>
      <c r="BB67" s="68">
        <f>1/(4*PI())*(2*AZ67*BA67*SQRT(AZ67^2+BA67^2+1)/(AZ67^2+BA67^2+1+AZ67^2*BA67^2)*(AZ67^2+BA67^2+2)/(AZ67^2+BA67^2+1)+ATAN2(AZ67^2+BA67^2+1-AZ67^2*BA67^2,2*AZ67*BA67*SQRT(AZ67^2+BA67^2+1)))</f>
        <v/>
      </c>
      <c r="BC67" s="68">
        <f>4*Input!$AA$14*BB67</f>
        <v/>
      </c>
      <c r="BD67" s="68">
        <f>((Input!$AA$16/Input!$AA$15)*LN((1+SQRT((Input!$AA$16/Input!$AA$15)^2+1))*SQRT((Input!$AA$16/Input!$AA$15)^2+(AJ67/(Input!$AA$15/2))^2)/((Input!$AA$16/Input!$AA$15)*(1+SQRT((Input!$AA$16/Input!$AA$15)^2+(AJ67/(Input!$AA$15/2))^2+1))))+LN(((Input!$AA$16/Input!$AA$15)+SQRT((Input!$AA$16/Input!$AA$15)^2+1))*SQRT(1+(AJ67/(Input!$AA$15/2))^2)/((Input!$AA$16/Input!$AA$15)+SQRT((Input!$AA$16/Input!$AA$15)^2+(AJ67/(Input!$AA$15/2))^2+1))))/PI()</f>
        <v/>
      </c>
      <c r="BE67" s="68">
        <f>(AJ67/(Input!$AA$15/2))/(2*PI())*ATAN((Input!$AA$16/Input!$AA$15)/((AJ67/(Input!$AA$15/2))*SQRT((Input!$AA$16/Input!$AA$15)^2+(AJ67/(Input!$AA$15/2))^2+1)))</f>
        <v/>
      </c>
      <c r="BF67" s="68">
        <f>MAX(0,AJ67-MAX(AI67,$AA$22))/AK67*IF(BC67&gt;=Input!$AA$21*AQ67,1,0)</f>
        <v/>
      </c>
      <c r="BG67" s="68">
        <f>4*Input!$AA$14*(Input!$AA$15/2)*(1-AY67^2)/AX67*((BD67-BD66)+(1-2*AY67)/(1-AY67)*(BE67-BE66))*1000*BF67</f>
        <v/>
      </c>
      <c r="BH67" s="68">
        <f>IF(AM67="Sand",0,0.009*(AR67-10))</f>
        <v/>
      </c>
      <c r="BI67" s="68">
        <f>BH67*Input!$AA$36</f>
        <v/>
      </c>
      <c r="BJ67" s="68">
        <f>IF(AM67="Sand",0,MAX(AV67/Input!$AA$37,AQ67))</f>
        <v/>
      </c>
      <c r="BK67" s="68">
        <f>IF(AM67="Sand",0,1000*AK67/(1+AU67)*IF(AQ67+BC67&lt;=BJ67,BI67*LOG10((AQ67+BC67)/AQ67),BI67*LOG10(BJ67/AQ67)+BH67*LOG10((AQ67+BC67)/BJ67)))*BF67</f>
        <v/>
      </c>
      <c r="BL67" s="68">
        <f>IF(AM67="Sand",0,10^(INDEX(Input!$Q$48:$Q$54,MIN(MATCH(MIN(MAX(AR67,30),120),Input!$C$48:$C$54,1),6))+(MIN(MAX(AR67,30),120)-INDEX(Input!$C$48:$C$54,MIN(MATCH(MIN(MAX(AR67,30),120),Input!$C$48:$C$54,1),6)))/(INDEX(Input!$C$48:$C$54,MIN(MATCH(MIN(MAX(AR67,30),120),Input!$C$48:$C$54,1),6)+1)-INDEX(Input!$C$48:$C$54,MIN(MATCH(MIN(MAX(AR67,30),120),Input!$C$48:$C$54,1),6)))*(INDEX(Input!$Q$48:$Q$54,MIN(MATCH(MIN(MAX(AR67,30),120),Input!$C$48:$C$54,1),6)+1)-INDEX(Input!$Q$48:$Q$54,MIN(MATCH(MIN(MAX(AR67,30),120),Input!$C$48:$C$54,1),6)))))</f>
        <v/>
      </c>
      <c r="BM67" s="68">
        <f>IF(OR(AM67="Sand",BF67=0),0,Input!$AA$38*(AK67/2)^2/(BL67*1E-4*31536000))</f>
        <v/>
      </c>
      <c r="BN67" s="68">
        <f>MAX(0,MIN(AJ67,Input!$AA$20)-AI67)</f>
        <v/>
      </c>
      <c r="BO67" s="68">
        <f>MAX(0,MIN(AJ67,Input!$AA$20)-MAX(AI67,$AA$22))</f>
        <v/>
      </c>
      <c r="BP67" s="68">
        <f>MAX(0,MIN(AJ67,$AA$225)-AI67)</f>
        <v/>
      </c>
      <c r="BQ67" s="68" t="inlineStr">
        <is>
          <t>data copied from BH-02</t>
        </is>
      </c>
    </row>
    <row r="68">
      <c r="B68" s="9" t="n"/>
      <c r="C68" s="69" t="n">
        <v>41</v>
      </c>
      <c r="D68" s="46" t="n"/>
      <c r="E68" s="70">
        <f>AI68</f>
        <v/>
      </c>
      <c r="F68" s="46" t="n"/>
      <c r="G68" s="46" t="n"/>
      <c r="H68" s="70">
        <f>AJ68</f>
        <v/>
      </c>
      <c r="I68" s="46" t="n"/>
      <c r="J68" s="46" t="n"/>
      <c r="K68" s="59">
        <f>AM68</f>
        <v/>
      </c>
      <c r="L68" s="46" t="n"/>
      <c r="M68" s="46" t="n"/>
      <c r="N68" s="69">
        <f>AN68</f>
        <v/>
      </c>
      <c r="O68" s="46" t="n"/>
      <c r="P68" s="46" t="n"/>
      <c r="Q68" s="60">
        <f>AO68</f>
        <v/>
      </c>
      <c r="R68" s="46" t="n"/>
      <c r="S68" s="46" t="n"/>
      <c r="T68" s="69">
        <f>IF(AR68="","-",AR68)</f>
        <v/>
      </c>
      <c r="U68" s="46" t="n"/>
      <c r="V68" s="69">
        <f>IF(AT68="","-",AT68)</f>
        <v/>
      </c>
      <c r="W68" s="46" t="n"/>
      <c r="X68" s="70">
        <f>AU68</f>
        <v/>
      </c>
      <c r="Y68" s="46" t="n"/>
      <c r="Z68" s="71">
        <f>AV68</f>
        <v/>
      </c>
      <c r="AA68" s="46" t="n"/>
      <c r="AB68" s="46" t="n"/>
      <c r="AC68" s="60">
        <f>AW68</f>
        <v/>
      </c>
      <c r="AD68" s="46" t="n"/>
      <c r="AE68" s="46" t="n"/>
      <c r="AF68" s="15" t="n"/>
      <c r="AI68" s="67" t="n">
        <v>59.5</v>
      </c>
      <c r="AJ68" s="67" t="n">
        <v>60</v>
      </c>
      <c r="AK68" s="68">
        <f>AJ68-AI68</f>
        <v/>
      </c>
      <c r="AL68" s="68">
        <f>(AI68+AJ68)/2</f>
        <v/>
      </c>
      <c r="AM68" s="67" t="inlineStr">
        <is>
          <t>Sand</t>
        </is>
      </c>
      <c r="AN68" s="67" t="n">
        <v>44</v>
      </c>
      <c r="AO68" s="68">
        <f>IF(AL68&gt;$AA$19,$AA$21,$AA$20)</f>
        <v/>
      </c>
      <c r="AP68" s="68">
        <f>AP67+AO68*AK68</f>
        <v/>
      </c>
      <c r="AQ68" s="68">
        <f>AP68-AO68*AK68/2-10*MAX(AL68-$AA$19,0)</f>
        <v/>
      </c>
      <c r="AR68" s="67" t="n"/>
      <c r="AS68" s="67" t="n"/>
      <c r="AT68" s="68">
        <f>IF(AR68="","",AR68-AS68)</f>
        <v/>
      </c>
      <c r="AU68" s="67" t="n">
        <v>0.65</v>
      </c>
      <c r="AV68" s="68">
        <f>IF(AM68="Sand",0,Input!$AA$31*AN68)</f>
        <v/>
      </c>
      <c r="AW68" s="68">
        <f>IF(AM68="Sand",27.1+0.3*MIN(Input!$AA$32*AN68,60)-0.00054*MIN(Input!$AA$32*AN68,60)^2,MIN(MAX(DEGREES(ASIN(0.8-0.094*LN(MAX(IF(AT68="",10,AT68),5)))),20),30))</f>
        <v/>
      </c>
      <c r="AX68" s="68">
        <f>IF(AM68="Sand",Input!$AA$33*Input!$AA$32*AN68,Input!$AA$34*AV68)</f>
        <v/>
      </c>
      <c r="AY68" s="68">
        <f>IF(AM68="Sand",Input!$AA$35,0.5)</f>
        <v/>
      </c>
      <c r="AZ68" s="68">
        <f>Input!$AA$15/2/AL68</f>
        <v/>
      </c>
      <c r="BA68" s="68">
        <f>Input!$AA$16/2/AL68</f>
        <v/>
      </c>
      <c r="BB68" s="68">
        <f>1/(4*PI())*(2*AZ68*BA68*SQRT(AZ68^2+BA68^2+1)/(AZ68^2+BA68^2+1+AZ68^2*BA68^2)*(AZ68^2+BA68^2+2)/(AZ68^2+BA68^2+1)+ATAN2(AZ68^2+BA68^2+1-AZ68^2*BA68^2,2*AZ68*BA68*SQRT(AZ68^2+BA68^2+1)))</f>
        <v/>
      </c>
      <c r="BC68" s="68">
        <f>4*Input!$AA$14*BB68</f>
        <v/>
      </c>
      <c r="BD68" s="68">
        <f>((Input!$AA$16/Input!$AA$15)*LN((1+SQRT((Input!$AA$16/Input!$AA$15)^2+1))*SQRT((Input!$AA$16/Input!$AA$15)^2+(AJ68/(Input!$AA$15/2))^2)/((Input!$AA$16/Input!$AA$15)*(1+SQRT((Input!$AA$16/Input!$AA$15)^2+(AJ68/(Input!$AA$15/2))^2+1))))+LN(((Input!$AA$16/Input!$AA$15)+SQRT((Input!$AA$16/Input!$AA$15)^2+1))*SQRT(1+(AJ68/(Input!$AA$15/2))^2)/((Input!$AA$16/Input!$AA$15)+SQRT((Input!$AA$16/Input!$AA$15)^2+(AJ68/(Input!$AA$15/2))^2+1))))/PI()</f>
        <v/>
      </c>
      <c r="BE68" s="68">
        <f>(AJ68/(Input!$AA$15/2))/(2*PI())*ATAN((Input!$AA$16/Input!$AA$15)/((AJ68/(Input!$AA$15/2))*SQRT((Input!$AA$16/Input!$AA$15)^2+(AJ68/(Input!$AA$15/2))^2+1)))</f>
        <v/>
      </c>
      <c r="BF68" s="68">
        <f>MAX(0,AJ68-MAX(AI68,$AA$22))/AK68*IF(BC68&gt;=Input!$AA$21*AQ68,1,0)</f>
        <v/>
      </c>
      <c r="BG68" s="68">
        <f>4*Input!$AA$14*(Input!$AA$15/2)*(1-AY68^2)/AX68*((BD68-BD67)+(1-2*AY68)/(1-AY68)*(BE68-BE67))*1000*BF68</f>
        <v/>
      </c>
      <c r="BH68" s="68">
        <f>IF(AM68="Sand",0,0.009*(AR68-10))</f>
        <v/>
      </c>
      <c r="BI68" s="68">
        <f>BH68*Input!$AA$36</f>
        <v/>
      </c>
      <c r="BJ68" s="68">
        <f>IF(AM68="Sand",0,MAX(AV68/Input!$AA$37,AQ68))</f>
        <v/>
      </c>
      <c r="BK68" s="68">
        <f>IF(AM68="Sand",0,1000*AK68/(1+AU68)*IF(AQ68+BC68&lt;=BJ68,BI68*LOG10((AQ68+BC68)/AQ68),BI68*LOG10(BJ68/AQ68)+BH68*LOG10((AQ68+BC68)/BJ68)))*BF68</f>
        <v/>
      </c>
      <c r="BL68" s="68">
        <f>IF(AM68="Sand",0,10^(INDEX(Input!$Q$48:$Q$54,MIN(MATCH(MIN(MAX(AR68,30),120),Input!$C$48:$C$54,1),6))+(MIN(MAX(AR68,30),120)-INDEX(Input!$C$48:$C$54,MIN(MATCH(MIN(MAX(AR68,30),120),Input!$C$48:$C$54,1),6)))/(INDEX(Input!$C$48:$C$54,MIN(MATCH(MIN(MAX(AR68,30),120),Input!$C$48:$C$54,1),6)+1)-INDEX(Input!$C$48:$C$54,MIN(MATCH(MIN(MAX(AR68,30),120),Input!$C$48:$C$54,1),6)))*(INDEX(Input!$Q$48:$Q$54,MIN(MATCH(MIN(MAX(AR68,30),120),Input!$C$48:$C$54,1),6)+1)-INDEX(Input!$Q$48:$Q$54,MIN(MATCH(MIN(MAX(AR68,30),120),Input!$C$48:$C$54,1),6)))))</f>
        <v/>
      </c>
      <c r="BM68" s="68">
        <f>IF(OR(AM68="Sand",BF68=0),0,Input!$AA$38*(AK68/2)^2/(BL68*1E-4*31536000))</f>
        <v/>
      </c>
      <c r="BN68" s="68">
        <f>MAX(0,MIN(AJ68,Input!$AA$20)-AI68)</f>
        <v/>
      </c>
      <c r="BO68" s="68">
        <f>MAX(0,MIN(AJ68,Input!$AA$20)-MAX(AI68,$AA$22))</f>
        <v/>
      </c>
      <c r="BP68" s="68">
        <f>MAX(0,MIN(AJ68,$AA$225)-AI68)</f>
        <v/>
      </c>
      <c r="BQ68" s="68" t="inlineStr">
        <is>
          <t>data copied from BH-02</t>
        </is>
      </c>
    </row>
    <row r="69">
      <c r="B69" s="9" t="n"/>
      <c r="C69" s="24" t="inlineStr">
        <is>
          <t>cu = k·N (silt/clay); φ' sand from Wolff (1989), silt/clay from PI; γ from laboratory average above/below GWL.</t>
        </is>
      </c>
      <c r="AF69" s="15" t="n"/>
    </row>
    <row r="70">
      <c r="B70" s="9" t="n"/>
      <c r="C70" s="24" t="inlineStr">
        <is>
          <t>Below 22.5 m the SPT data of BH-02 are used (BH-03 drilled to 22.5 m only).</t>
        </is>
      </c>
      <c r="AF70" s="15" t="n"/>
    </row>
    <row r="71">
      <c r="B71" s="9" t="n"/>
      <c r="AF71" s="15" t="n"/>
    </row>
    <row r="72">
      <c r="B72" s="9" t="n"/>
      <c r="AF72" s="15" t="n"/>
    </row>
    <row r="73">
      <c r="B73" s="47" t="n"/>
      <c r="C73" s="48" t="n"/>
      <c r="D73" s="48" t="n"/>
      <c r="E73" s="48" t="n"/>
      <c r="F73" s="48" t="n"/>
      <c r="G73" s="48" t="n"/>
      <c r="H73" s="48" t="n"/>
      <c r="I73" s="48" t="n"/>
      <c r="J73" s="48" t="n"/>
      <c r="K73" s="48" t="n"/>
      <c r="L73" s="48" t="n"/>
      <c r="M73" s="48" t="n"/>
      <c r="N73" s="48" t="n"/>
      <c r="O73" s="48" t="n"/>
      <c r="P73" s="48" t="n"/>
      <c r="Q73" s="48" t="n"/>
      <c r="R73" s="48" t="n"/>
      <c r="S73" s="48" t="n"/>
      <c r="T73" s="48" t="n"/>
      <c r="U73" s="48" t="n"/>
      <c r="V73" s="48" t="n"/>
      <c r="W73" s="48" t="n"/>
      <c r="X73" s="49" t="inlineStr">
        <is>
          <t>Sheet :</t>
        </is>
      </c>
      <c r="Y73" s="48" t="n"/>
      <c r="Z73" s="48" t="n"/>
      <c r="AA73" s="48" t="n"/>
      <c r="AB73" s="49" t="n">
        <v>1</v>
      </c>
      <c r="AC73" s="48" t="n"/>
      <c r="AD73" s="48" t="n"/>
      <c r="AE73" s="48" t="n"/>
      <c r="AF73" s="50" t="n"/>
    </row>
    <row r="74">
      <c r="B74" s="1" t="n"/>
      <c r="C74" s="2" t="inlineStr">
        <is>
          <t>PROJECT :</t>
        </is>
      </c>
      <c r="D74" s="3" t="n"/>
      <c r="E74" s="3" t="n"/>
      <c r="F74" s="3" t="n"/>
      <c r="G74" s="3" t="n"/>
      <c r="H74" s="4" t="inlineStr">
        <is>
          <t>GEOTHERMAL WELLPAD PSPE BORA PULU - SIGI, CENTRAL SULAWESI</t>
        </is>
      </c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5" t="inlineStr">
        <is>
          <t>Prepared by :</t>
        </is>
      </c>
      <c r="Y74" s="6" t="n"/>
      <c r="Z74" s="6" t="n"/>
      <c r="AA74" s="6" t="n"/>
      <c r="AB74" s="7" t="inlineStr">
        <is>
          <t>Date</t>
        </is>
      </c>
      <c r="AC74" s="6" t="n"/>
      <c r="AD74" s="6" t="n"/>
      <c r="AE74" s="6" t="n"/>
      <c r="AF74" s="8" t="n"/>
    </row>
    <row r="75">
      <c r="B75" s="9" t="n"/>
      <c r="C75" s="10" t="inlineStr">
        <is>
          <t>CLIENT :</t>
        </is>
      </c>
      <c r="H75" s="11" t="inlineStr">
        <is>
          <t>PT EDC PANAS BUMI INDONESIA</t>
        </is>
      </c>
      <c r="X75" s="12" t="inlineStr">
        <is>
          <t>DF</t>
        </is>
      </c>
      <c r="Y75" s="13" t="n"/>
      <c r="Z75" s="13" t="n"/>
      <c r="AA75" s="13" t="n"/>
      <c r="AB75" s="14" t="n">
        <v>46301</v>
      </c>
      <c r="AC75" s="13" t="n"/>
      <c r="AD75" s="13" t="n"/>
      <c r="AE75" s="13" t="n"/>
      <c r="AF75" s="15" t="n"/>
    </row>
    <row r="76">
      <c r="B76" s="9" t="n"/>
      <c r="C76" s="10" t="inlineStr">
        <is>
          <t>LOCATION :</t>
        </is>
      </c>
      <c r="H76" s="11" t="inlineStr">
        <is>
          <t>BH-03 (Log Yard)</t>
        </is>
      </c>
      <c r="X76" s="12" t="inlineStr">
        <is>
          <t>Verified by :</t>
        </is>
      </c>
      <c r="Y76" s="13" t="n"/>
      <c r="Z76" s="13" t="n"/>
      <c r="AA76" s="13" t="n"/>
      <c r="AB76" s="14" t="inlineStr">
        <is>
          <t>Date</t>
        </is>
      </c>
      <c r="AC76" s="13" t="n"/>
      <c r="AD76" s="13" t="n"/>
      <c r="AE76" s="13" t="n"/>
      <c r="AF76" s="15" t="n"/>
    </row>
    <row r="77">
      <c r="B77" s="16" t="n"/>
      <c r="C77" s="17" t="inlineStr">
        <is>
          <t>SHEET :</t>
        </is>
      </c>
      <c r="D77" s="18" t="n"/>
      <c r="E77" s="18" t="n"/>
      <c r="F77" s="18" t="n"/>
      <c r="G77" s="18" t="n"/>
      <c r="H77" s="19" t="inlineStr">
        <is>
          <t>BEARING CAPACITY AND SETTLEMENT OF SUBGRADE</t>
        </is>
      </c>
      <c r="I77" s="18" t="n"/>
      <c r="J77" s="18" t="n"/>
      <c r="K77" s="18" t="n"/>
      <c r="L77" s="18" t="n"/>
      <c r="M77" s="18" t="n"/>
      <c r="N77" s="18" t="n"/>
      <c r="O77" s="18" t="n"/>
      <c r="P77" s="18" t="n"/>
      <c r="Q77" s="18" t="n"/>
      <c r="R77" s="18" t="n"/>
      <c r="S77" s="18" t="n"/>
      <c r="T77" s="18" t="n"/>
      <c r="U77" s="18" t="n"/>
      <c r="V77" s="18" t="n"/>
      <c r="W77" s="18" t="n"/>
      <c r="X77" s="20" t="inlineStr">
        <is>
          <t>BC</t>
        </is>
      </c>
      <c r="Y77" s="21" t="n"/>
      <c r="Z77" s="21" t="n"/>
      <c r="AA77" s="21" t="n"/>
      <c r="AB77" s="22" t="n">
        <v>46301</v>
      </c>
      <c r="AC77" s="21" t="n"/>
      <c r="AD77" s="21" t="n"/>
      <c r="AE77" s="21" t="n"/>
      <c r="AF77" s="23" t="n"/>
    </row>
    <row r="78">
      <c r="B78" s="9" t="n"/>
      <c r="AF78" s="15" t="n"/>
    </row>
    <row r="79">
      <c r="B79" s="9" t="n"/>
      <c r="C79" s="11" t="inlineStr">
        <is>
          <t>3. BEARING CAPACITY OF SUBGRADE</t>
        </is>
      </c>
      <c r="AF79" s="15" t="n"/>
    </row>
    <row r="80">
      <c r="B80" s="9" t="n"/>
      <c r="C80" s="25" t="inlineStr">
        <is>
          <t>The bearing capacity is evaluated with the general bearing capacity equation (Terzaghi 1943, Vesic 1975; SNI 8460:2017).</t>
        </is>
      </c>
      <c r="AF80" s="15" t="n"/>
    </row>
    <row r="81">
      <c r="B81" s="9" t="n"/>
      <c r="C81" s="25" t="inlineStr">
        <is>
          <t>Undrained (short-term) condition governs where silt/clay exists within 0 - Hb: qu = cu·Nc·sc.</t>
        </is>
      </c>
      <c r="AF81" s="15" t="n"/>
    </row>
    <row r="82">
      <c r="B82" s="9" t="n"/>
      <c r="C82" s="25" t="inlineStr">
        <is>
          <t>Drained (long-term) condition for granular soil: qu = 0.5·γ'·B·Nγ·sγ·rγ (c' = 0, load at ground surface, q = 0).</t>
        </is>
      </c>
      <c r="AF82" s="15" t="n"/>
    </row>
    <row r="83">
      <c r="B83" s="9" t="n"/>
      <c r="C83" s="25" t="inlineStr">
        <is>
          <t>The governing ultimate capacity is the smaller of the two; qall = qu / SF.</t>
        </is>
      </c>
      <c r="AF83" s="15" t="n"/>
    </row>
    <row r="84">
      <c r="B84" s="9" t="n"/>
      <c r="AF84" s="15" t="n"/>
    </row>
    <row r="85">
      <c r="B85" s="9" t="n"/>
      <c r="C85" s="11" t="inlineStr">
        <is>
          <t>3.1. Without ground improvement</t>
        </is>
      </c>
      <c r="AF85" s="15" t="n"/>
    </row>
    <row r="86">
      <c r="B86" s="9" t="n"/>
      <c r="C86" s="25" t="inlineStr">
        <is>
          <t>Thickness of silt/clay within 0 - Hb</t>
        </is>
      </c>
      <c r="O86" s="26" t="inlineStr">
        <is>
          <t>Σh (fine soil)</t>
        </is>
      </c>
      <c r="X86" s="27" t="inlineStr">
        <is>
          <t>Σh =</t>
        </is>
      </c>
      <c r="Y86" s="13" t="n"/>
      <c r="Z86" s="13" t="n"/>
      <c r="AA86" s="61">
        <f>SUMPRODUCT(--(AM28:AM68&lt;&gt;"Sand"),BN28:BN68)</f>
        <v/>
      </c>
      <c r="AB86" s="13" t="n"/>
      <c r="AC86" s="13" t="n"/>
      <c r="AD86" s="25" t="inlineStr">
        <is>
          <t>m</t>
        </is>
      </c>
      <c r="AF86" s="15" t="n"/>
    </row>
    <row r="87">
      <c r="B87" s="9" t="n"/>
      <c r="C87" s="25" t="inlineStr">
        <is>
          <t>Average undrained shear strength</t>
        </is>
      </c>
      <c r="O87" s="26" t="inlineStr">
        <is>
          <t>weighted by thickness</t>
        </is>
      </c>
      <c r="X87" s="27" t="inlineStr">
        <is>
          <t>cu =</t>
        </is>
      </c>
      <c r="Y87" s="13" t="n"/>
      <c r="Z87" s="13" t="n"/>
      <c r="AA87" s="62">
        <f>IF($AA$86=0,0,SUMPRODUCT(--(AM28:AM68&lt;&gt;"Sand"),BN28:BN68,AV28:AV68)/$AA$86)</f>
        <v/>
      </c>
      <c r="AB87" s="13" t="n"/>
      <c r="AC87" s="13" t="n"/>
      <c r="AD87" s="25" t="inlineStr">
        <is>
          <t>kPa</t>
        </is>
      </c>
      <c r="AF87" s="15" t="n"/>
    </row>
    <row r="88">
      <c r="B88" s="9" t="n"/>
      <c r="C88" s="25" t="inlineStr">
        <is>
          <t>Average effective friction angle</t>
        </is>
      </c>
      <c r="O88" s="26" t="inlineStr">
        <is>
          <t>incl. replacement fill</t>
        </is>
      </c>
      <c r="X88" s="27" t="inlineStr">
        <is>
          <t>φ' =</t>
        </is>
      </c>
      <c r="Y88" s="13" t="n"/>
      <c r="Z88" s="13" t="n"/>
      <c r="AA88" s="62">
        <f>(SUMPRODUCT(BN28:BN68,AW28:AW68)+MIN(0,Input!$AA$20)*Input!$AA$26)/Input!$AA$20</f>
        <v/>
      </c>
      <c r="AB88" s="13" t="n"/>
      <c r="AC88" s="13" t="n"/>
      <c r="AD88" s="25" t="inlineStr">
        <is>
          <t>°</t>
        </is>
      </c>
      <c r="AF88" s="15" t="n"/>
    </row>
    <row r="89">
      <c r="B89" s="9" t="n"/>
      <c r="C89" s="25" t="inlineStr">
        <is>
          <t>Average effective unit weight</t>
        </is>
      </c>
      <c r="O89" s="26" t="inlineStr">
        <is>
          <t>0 - Hb</t>
        </is>
      </c>
      <c r="X89" s="27" t="inlineStr">
        <is>
          <t>γ' =</t>
        </is>
      </c>
      <c r="Y89" s="13" t="n"/>
      <c r="Z89" s="13" t="n"/>
      <c r="AA89" s="62">
        <f>(SUMPRODUCT(BN28:BN68,AO28:AO68)+MIN(0,Input!$AA$20)*Input!$AA$25)/Input!$AA$20-10*MAX(0,Input!$AA$20-$AA$19)/Input!$AA$20</f>
        <v/>
      </c>
      <c r="AB89" s="13" t="n"/>
      <c r="AC89" s="13" t="n"/>
      <c r="AD89" s="25" t="inlineStr">
        <is>
          <t>kN/m³</t>
        </is>
      </c>
      <c r="AF89" s="15" t="n"/>
    </row>
    <row r="90">
      <c r="B90" s="9" t="n"/>
      <c r="C90" s="25" t="inlineStr">
        <is>
          <t>Shape factor (undrained), Nc = 5.14</t>
        </is>
      </c>
      <c r="O90" s="26" t="inlineStr">
        <is>
          <t>sc = 1 + 0.2 B/L</t>
        </is>
      </c>
      <c r="X90" s="27" t="inlineStr">
        <is>
          <t>sc =</t>
        </is>
      </c>
      <c r="Y90" s="13" t="n"/>
      <c r="Z90" s="13" t="n"/>
      <c r="AA90" s="61">
        <f>1+0.2*Input!$AA$15/Input!$AA$16</f>
        <v/>
      </c>
      <c r="AB90" s="13" t="n"/>
      <c r="AC90" s="13" t="n"/>
      <c r="AD90" s="25" t="inlineStr">
        <is>
          <t>-</t>
        </is>
      </c>
      <c r="AF90" s="15" t="n"/>
    </row>
    <row r="91">
      <c r="B91" s="9" t="n"/>
      <c r="C91" s="25" t="inlineStr">
        <is>
          <t>Ultimate capacity, undrained</t>
        </is>
      </c>
      <c r="O91" s="26" t="inlineStr">
        <is>
          <t>qu = cu·Nc·sc</t>
        </is>
      </c>
      <c r="X91" s="27" t="inlineStr">
        <is>
          <t>qu,u =</t>
        </is>
      </c>
      <c r="Y91" s="13" t="n"/>
      <c r="Z91" s="13" t="n"/>
      <c r="AA91" s="62">
        <f>IF($AA$86=0,"n/a",$AA$87*5.14*$AA$90)</f>
        <v/>
      </c>
      <c r="AB91" s="13" t="n"/>
      <c r="AC91" s="13" t="n"/>
      <c r="AD91" s="25" t="inlineStr">
        <is>
          <t>kPa</t>
        </is>
      </c>
      <c r="AF91" s="15" t="n"/>
    </row>
    <row r="92">
      <c r="B92" s="9" t="n"/>
      <c r="C92" s="25" t="inlineStr">
        <is>
          <t>Bearing capacity factor</t>
        </is>
      </c>
      <c r="O92" s="26" t="inlineStr">
        <is>
          <t>Nq = e^(π·tanφ)·tan²(45+φ/2)</t>
        </is>
      </c>
      <c r="X92" s="27" t="inlineStr">
        <is>
          <t>Nq =</t>
        </is>
      </c>
      <c r="Y92" s="13" t="n"/>
      <c r="Z92" s="13" t="n"/>
      <c r="AA92" s="61">
        <f>EXP(PI()*TAN(RADIANS($AA$88)))*TAN(RADIANS(45+$AA$88/2))^2</f>
        <v/>
      </c>
      <c r="AB92" s="13" t="n"/>
      <c r="AC92" s="13" t="n"/>
      <c r="AD92" s="25" t="inlineStr">
        <is>
          <t>-</t>
        </is>
      </c>
      <c r="AF92" s="15" t="n"/>
    </row>
    <row r="93">
      <c r="B93" s="9" t="n"/>
      <c r="C93" s="25" t="inlineStr">
        <is>
          <t>Bearing capacity factor (Vesic)</t>
        </is>
      </c>
      <c r="O93" s="26" t="inlineStr">
        <is>
          <t>Nγ = 2(Nq+1)·tanφ</t>
        </is>
      </c>
      <c r="X93" s="27" t="inlineStr">
        <is>
          <t>Nγ =</t>
        </is>
      </c>
      <c r="Y93" s="13" t="n"/>
      <c r="Z93" s="13" t="n"/>
      <c r="AA93" s="61">
        <f>2*($AA$92+1)*TAN(RADIANS($AA$88))</f>
        <v/>
      </c>
      <c r="AB93" s="13" t="n"/>
      <c r="AC93" s="13" t="n"/>
      <c r="AD93" s="25" t="inlineStr">
        <is>
          <t>-</t>
        </is>
      </c>
      <c r="AF93" s="15" t="n"/>
    </row>
    <row r="94">
      <c r="B94" s="9" t="n"/>
      <c r="C94" s="25" t="inlineStr">
        <is>
          <t>Shape and size factors</t>
        </is>
      </c>
      <c r="O94" s="26" t="inlineStr">
        <is>
          <t>sγ = 1-0.4B/L; rγ = 1-0.25log(B/2)</t>
        </is>
      </c>
      <c r="X94" s="27" t="inlineStr">
        <is>
          <t>sγ·rγ =</t>
        </is>
      </c>
      <c r="Y94" s="13" t="n"/>
      <c r="Z94" s="13" t="n"/>
      <c r="AA94" s="72">
        <f>(1-0.4*Input!$AA$15/Input!$AA$16)*IF(Input!$AA$15&gt;2,1-0.25*LOG10(Input!$AA$15/2),1)</f>
        <v/>
      </c>
      <c r="AB94" s="13" t="n"/>
      <c r="AC94" s="13" t="n"/>
      <c r="AD94" s="25" t="inlineStr">
        <is>
          <t>-</t>
        </is>
      </c>
      <c r="AF94" s="15" t="n"/>
    </row>
    <row r="95">
      <c r="B95" s="9" t="n"/>
      <c r="C95" s="25" t="inlineStr">
        <is>
          <t>Ultimate capacity, drained</t>
        </is>
      </c>
      <c r="O95" s="26" t="inlineStr">
        <is>
          <t>qu = 0.5·γ'·B·Nγ·sγ·rγ</t>
        </is>
      </c>
      <c r="X95" s="27" t="inlineStr">
        <is>
          <t>qu,d =</t>
        </is>
      </c>
      <c r="Y95" s="13" t="n"/>
      <c r="Z95" s="13" t="n"/>
      <c r="AA95" s="62">
        <f>0.5*$AA$89*Input!$AA$15*$AA$93*$AA$94</f>
        <v/>
      </c>
      <c r="AB95" s="13" t="n"/>
      <c r="AC95" s="13" t="n"/>
      <c r="AD95" s="25" t="inlineStr">
        <is>
          <t>kPa</t>
        </is>
      </c>
      <c r="AF95" s="15" t="n"/>
    </row>
    <row r="96">
      <c r="B96" s="9" t="n"/>
      <c r="C96" s="25" t="inlineStr">
        <is>
          <t>Governing ultimate bearing capacity</t>
        </is>
      </c>
      <c r="O96" s="26" t="inlineStr">
        <is>
          <t>min (undrained, drained)</t>
        </is>
      </c>
      <c r="X96" s="27" t="inlineStr">
        <is>
          <t>qu =</t>
        </is>
      </c>
      <c r="Y96" s="13" t="n"/>
      <c r="Z96" s="13" t="n"/>
      <c r="AA96" s="30">
        <f>IF($AA$86=0,$AA$95,MIN($AA$91,$AA$95))</f>
        <v/>
      </c>
      <c r="AB96" s="13" t="n"/>
      <c r="AC96" s="13" t="n"/>
      <c r="AD96" s="25" t="inlineStr">
        <is>
          <t>kPa</t>
        </is>
      </c>
      <c r="AF96" s="15" t="n"/>
    </row>
    <row r="97">
      <c r="B97" s="9" t="n"/>
      <c r="C97" s="25" t="inlineStr">
        <is>
          <t>Allowable bearing capacity</t>
        </is>
      </c>
      <c r="O97" s="26" t="inlineStr">
        <is>
          <t>qall = qu / SF</t>
        </is>
      </c>
      <c r="X97" s="27" t="inlineStr">
        <is>
          <t>qall =</t>
        </is>
      </c>
      <c r="Y97" s="13" t="n"/>
      <c r="Z97" s="13" t="n"/>
      <c r="AA97" s="30">
        <f>$AA$96/Input!$AA$19</f>
        <v/>
      </c>
      <c r="AB97" s="13" t="n"/>
      <c r="AC97" s="13" t="n"/>
      <c r="AD97" s="25" t="inlineStr">
        <is>
          <t>kPa</t>
        </is>
      </c>
      <c r="AF97" s="15" t="n"/>
    </row>
    <row r="98">
      <c r="B98" s="9" t="n"/>
      <c r="C98" s="25" t="inlineStr">
        <is>
          <t>Working pressure</t>
        </is>
      </c>
      <c r="O98" s="26" t="inlineStr">
        <is>
          <t>q = Hf·γf + qs</t>
        </is>
      </c>
      <c r="X98" s="27" t="inlineStr">
        <is>
          <t>q =</t>
        </is>
      </c>
      <c r="Y98" s="13" t="n"/>
      <c r="Z98" s="13" t="n"/>
      <c r="AA98" s="62">
        <f>Input!$AA$14</f>
        <v/>
      </c>
      <c r="AB98" s="13" t="n"/>
      <c r="AC98" s="13" t="n"/>
      <c r="AD98" s="25" t="inlineStr">
        <is>
          <t>kPa</t>
        </is>
      </c>
      <c r="AF98" s="15" t="n"/>
    </row>
    <row r="99">
      <c r="B99" s="9" t="n"/>
      <c r="C99" s="25" t="inlineStr">
        <is>
          <t>Actual factor of safety</t>
        </is>
      </c>
      <c r="O99" s="26" t="inlineStr">
        <is>
          <t>FS = qu / q</t>
        </is>
      </c>
      <c r="X99" s="27" t="inlineStr">
        <is>
          <t>FS =</t>
        </is>
      </c>
      <c r="Y99" s="13" t="n"/>
      <c r="Z99" s="13" t="n"/>
      <c r="AA99" s="61">
        <f>$AA$96/Input!$AA$14</f>
        <v/>
      </c>
      <c r="AB99" s="13" t="n"/>
      <c r="AC99" s="13" t="n"/>
      <c r="AD99" s="25" t="inlineStr">
        <is>
          <t>-</t>
        </is>
      </c>
      <c r="AF99" s="15" t="n"/>
    </row>
    <row r="100">
      <c r="B100" s="9" t="n"/>
      <c r="C100" s="25" t="inlineStr">
        <is>
          <t>Allowable fill height with surcharge</t>
        </is>
      </c>
      <c r="O100" s="26" t="inlineStr">
        <is>
          <t>Hall = (qall - qs) / γf</t>
        </is>
      </c>
      <c r="X100" s="27" t="inlineStr">
        <is>
          <t>Hall =</t>
        </is>
      </c>
      <c r="Y100" s="13" t="n"/>
      <c r="Z100" s="13" t="n"/>
      <c r="AA100" s="61">
        <f>MAX(0,($AA$97-Input!$AA$13)/Input!$AA$12)</f>
        <v/>
      </c>
      <c r="AB100" s="13" t="n"/>
      <c r="AC100" s="13" t="n"/>
      <c r="AD100" s="25" t="inlineStr">
        <is>
          <t>m</t>
        </is>
      </c>
      <c r="AF100" s="15" t="n"/>
    </row>
    <row r="101">
      <c r="B101" s="9" t="n"/>
      <c r="C101" s="11" t="inlineStr">
        <is>
          <t>Bearing capacity check</t>
        </is>
      </c>
      <c r="X101" s="73">
        <f>IF($AA$97&gt;=Input!$AA$14,"qall ≥ q …. OK!!","qall &lt; q …. NG!!")</f>
        <v/>
      </c>
      <c r="Y101" s="13" t="n"/>
      <c r="Z101" s="13" t="n"/>
      <c r="AA101" s="13" t="n"/>
      <c r="AB101" s="13" t="n"/>
      <c r="AC101" s="13" t="n"/>
      <c r="AD101" s="13" t="n"/>
      <c r="AE101" s="13" t="n"/>
      <c r="AF101" s="15" t="n"/>
    </row>
    <row r="102">
      <c r="B102" s="9" t="n"/>
      <c r="AF102" s="15" t="n"/>
    </row>
    <row r="103">
      <c r="B103" s="9" t="n"/>
      <c r="C103" s="11" t="inlineStr">
        <is>
          <t>3.2. With replacement of soil 0 - Dr (design condition)</t>
        </is>
      </c>
      <c r="AF103" s="15" t="n"/>
    </row>
    <row r="104">
      <c r="B104" s="9" t="n"/>
      <c r="C104" s="25" t="inlineStr">
        <is>
          <t>Thickness of silt/clay within 0 - Hb</t>
        </is>
      </c>
      <c r="O104" s="26" t="inlineStr">
        <is>
          <t>Σh (fine soil)</t>
        </is>
      </c>
      <c r="X104" s="27" t="inlineStr">
        <is>
          <t>Σh =</t>
        </is>
      </c>
      <c r="Y104" s="13" t="n"/>
      <c r="Z104" s="13" t="n"/>
      <c r="AA104" s="61">
        <f>SUMPRODUCT(--(AM28:AM68&lt;&gt;"Sand"),BO28:BO68)</f>
        <v/>
      </c>
      <c r="AB104" s="13" t="n"/>
      <c r="AC104" s="13" t="n"/>
      <c r="AD104" s="25" t="inlineStr">
        <is>
          <t>m</t>
        </is>
      </c>
      <c r="AF104" s="15" t="n"/>
    </row>
    <row r="105">
      <c r="B105" s="9" t="n"/>
      <c r="C105" s="25" t="inlineStr">
        <is>
          <t>Average undrained shear strength</t>
        </is>
      </c>
      <c r="O105" s="26" t="inlineStr">
        <is>
          <t>weighted by thickness</t>
        </is>
      </c>
      <c r="X105" s="27" t="inlineStr">
        <is>
          <t>cu =</t>
        </is>
      </c>
      <c r="Y105" s="13" t="n"/>
      <c r="Z105" s="13" t="n"/>
      <c r="AA105" s="62">
        <f>IF($AA$104=0,0,SUMPRODUCT(--(AM28:AM68&lt;&gt;"Sand"),BO28:BO68,AV28:AV68)/$AA$104)</f>
        <v/>
      </c>
      <c r="AB105" s="13" t="n"/>
      <c r="AC105" s="13" t="n"/>
      <c r="AD105" s="25" t="inlineStr">
        <is>
          <t>kPa</t>
        </is>
      </c>
      <c r="AF105" s="15" t="n"/>
    </row>
    <row r="106">
      <c r="B106" s="9" t="n"/>
      <c r="C106" s="25" t="inlineStr">
        <is>
          <t>Average effective friction angle</t>
        </is>
      </c>
      <c r="O106" s="26" t="inlineStr">
        <is>
          <t>incl. replacement fill</t>
        </is>
      </c>
      <c r="X106" s="27" t="inlineStr">
        <is>
          <t>φ' =</t>
        </is>
      </c>
      <c r="Y106" s="13" t="n"/>
      <c r="Z106" s="13" t="n"/>
      <c r="AA106" s="62">
        <f>(SUMPRODUCT(BO28:BO68,AW28:AW68)+MIN($AA$22,Input!$AA$20)*Input!$AA$26)/Input!$AA$20</f>
        <v/>
      </c>
      <c r="AB106" s="13" t="n"/>
      <c r="AC106" s="13" t="n"/>
      <c r="AD106" s="25" t="inlineStr">
        <is>
          <t>°</t>
        </is>
      </c>
      <c r="AF106" s="15" t="n"/>
    </row>
    <row r="107">
      <c r="B107" s="9" t="n"/>
      <c r="C107" s="25" t="inlineStr">
        <is>
          <t>Average effective unit weight</t>
        </is>
      </c>
      <c r="O107" s="26" t="inlineStr">
        <is>
          <t>0 - Hb</t>
        </is>
      </c>
      <c r="X107" s="27" t="inlineStr">
        <is>
          <t>γ' =</t>
        </is>
      </c>
      <c r="Y107" s="13" t="n"/>
      <c r="Z107" s="13" t="n"/>
      <c r="AA107" s="62">
        <f>(SUMPRODUCT(BO28:BO68,AO28:AO68)+MIN($AA$22,Input!$AA$20)*Input!$AA$25)/Input!$AA$20-10*MAX(0,Input!$AA$20-$AA$19)/Input!$AA$20</f>
        <v/>
      </c>
      <c r="AB107" s="13" t="n"/>
      <c r="AC107" s="13" t="n"/>
      <c r="AD107" s="25" t="inlineStr">
        <is>
          <t>kN/m³</t>
        </is>
      </c>
      <c r="AF107" s="15" t="n"/>
    </row>
    <row r="108">
      <c r="B108" s="9" t="n"/>
      <c r="C108" s="25" t="inlineStr">
        <is>
          <t>Shape factor (undrained), Nc = 5.14</t>
        </is>
      </c>
      <c r="O108" s="26" t="inlineStr">
        <is>
          <t>sc = 1 + 0.2 B/L</t>
        </is>
      </c>
      <c r="X108" s="27" t="inlineStr">
        <is>
          <t>sc =</t>
        </is>
      </c>
      <c r="Y108" s="13" t="n"/>
      <c r="Z108" s="13" t="n"/>
      <c r="AA108" s="61">
        <f>1+0.2*Input!$AA$15/Input!$AA$16</f>
        <v/>
      </c>
      <c r="AB108" s="13" t="n"/>
      <c r="AC108" s="13" t="n"/>
      <c r="AD108" s="25" t="inlineStr">
        <is>
          <t>-</t>
        </is>
      </c>
      <c r="AF108" s="15" t="n"/>
    </row>
    <row r="109">
      <c r="B109" s="9" t="n"/>
      <c r="C109" s="25" t="inlineStr">
        <is>
          <t>Ultimate capacity, undrained</t>
        </is>
      </c>
      <c r="O109" s="26" t="inlineStr">
        <is>
          <t>qu = cu·Nc·sc</t>
        </is>
      </c>
      <c r="X109" s="27" t="inlineStr">
        <is>
          <t>qu,u =</t>
        </is>
      </c>
      <c r="Y109" s="13" t="n"/>
      <c r="Z109" s="13" t="n"/>
      <c r="AA109" s="62">
        <f>IF($AA$104=0,"n/a",$AA$105*5.14*$AA$108)</f>
        <v/>
      </c>
      <c r="AB109" s="13" t="n"/>
      <c r="AC109" s="13" t="n"/>
      <c r="AD109" s="25" t="inlineStr">
        <is>
          <t>kPa</t>
        </is>
      </c>
      <c r="AF109" s="15" t="n"/>
    </row>
    <row r="110">
      <c r="B110" s="9" t="n"/>
      <c r="C110" s="25" t="inlineStr">
        <is>
          <t>Bearing capacity factor</t>
        </is>
      </c>
      <c r="O110" s="26" t="inlineStr">
        <is>
          <t>Nq = e^(π·tanφ)·tan²(45+φ/2)</t>
        </is>
      </c>
      <c r="X110" s="27" t="inlineStr">
        <is>
          <t>Nq =</t>
        </is>
      </c>
      <c r="Y110" s="13" t="n"/>
      <c r="Z110" s="13" t="n"/>
      <c r="AA110" s="61">
        <f>EXP(PI()*TAN(RADIANS($AA$106)))*TAN(RADIANS(45+$AA$106/2))^2</f>
        <v/>
      </c>
      <c r="AB110" s="13" t="n"/>
      <c r="AC110" s="13" t="n"/>
      <c r="AD110" s="25" t="inlineStr">
        <is>
          <t>-</t>
        </is>
      </c>
      <c r="AF110" s="15" t="n"/>
    </row>
    <row r="111">
      <c r="B111" s="9" t="n"/>
      <c r="C111" s="25" t="inlineStr">
        <is>
          <t>Bearing capacity factor (Vesic)</t>
        </is>
      </c>
      <c r="O111" s="26" t="inlineStr">
        <is>
          <t>Nγ = 2(Nq+1)·tanφ</t>
        </is>
      </c>
      <c r="X111" s="27" t="inlineStr">
        <is>
          <t>Nγ =</t>
        </is>
      </c>
      <c r="Y111" s="13" t="n"/>
      <c r="Z111" s="13" t="n"/>
      <c r="AA111" s="61">
        <f>2*($AA$110+1)*TAN(RADIANS($AA$106))</f>
        <v/>
      </c>
      <c r="AB111" s="13" t="n"/>
      <c r="AC111" s="13" t="n"/>
      <c r="AD111" s="25" t="inlineStr">
        <is>
          <t>-</t>
        </is>
      </c>
      <c r="AF111" s="15" t="n"/>
    </row>
    <row r="112">
      <c r="B112" s="9" t="n"/>
      <c r="C112" s="25" t="inlineStr">
        <is>
          <t>Shape and size factors</t>
        </is>
      </c>
      <c r="O112" s="26" t="inlineStr">
        <is>
          <t>sγ = 1-0.4B/L; rγ = 1-0.25log(B/2)</t>
        </is>
      </c>
      <c r="X112" s="27" t="inlineStr">
        <is>
          <t>sγ·rγ =</t>
        </is>
      </c>
      <c r="Y112" s="13" t="n"/>
      <c r="Z112" s="13" t="n"/>
      <c r="AA112" s="72">
        <f>(1-0.4*Input!$AA$15/Input!$AA$16)*IF(Input!$AA$15&gt;2,1-0.25*LOG10(Input!$AA$15/2),1)</f>
        <v/>
      </c>
      <c r="AB112" s="13" t="n"/>
      <c r="AC112" s="13" t="n"/>
      <c r="AD112" s="25" t="inlineStr">
        <is>
          <t>-</t>
        </is>
      </c>
      <c r="AF112" s="15" t="n"/>
    </row>
    <row r="113">
      <c r="B113" s="9" t="n"/>
      <c r="C113" s="25" t="inlineStr">
        <is>
          <t>Ultimate capacity, drained</t>
        </is>
      </c>
      <c r="O113" s="26" t="inlineStr">
        <is>
          <t>qu = 0.5·γ'·B·Nγ·sγ·rγ</t>
        </is>
      </c>
      <c r="X113" s="27" t="inlineStr">
        <is>
          <t>qu,d =</t>
        </is>
      </c>
      <c r="Y113" s="13" t="n"/>
      <c r="Z113" s="13" t="n"/>
      <c r="AA113" s="62">
        <f>0.5*$AA$107*Input!$AA$15*$AA$111*$AA$112</f>
        <v/>
      </c>
      <c r="AB113" s="13" t="n"/>
      <c r="AC113" s="13" t="n"/>
      <c r="AD113" s="25" t="inlineStr">
        <is>
          <t>kPa</t>
        </is>
      </c>
      <c r="AF113" s="15" t="n"/>
    </row>
    <row r="114">
      <c r="B114" s="9" t="n"/>
      <c r="C114" s="25" t="inlineStr">
        <is>
          <t>Governing ultimate bearing capacity</t>
        </is>
      </c>
      <c r="O114" s="26" t="inlineStr">
        <is>
          <t>min (undrained, drained)</t>
        </is>
      </c>
      <c r="X114" s="27" t="inlineStr">
        <is>
          <t>qu =</t>
        </is>
      </c>
      <c r="Y114" s="13" t="n"/>
      <c r="Z114" s="13" t="n"/>
      <c r="AA114" s="30">
        <f>IF($AA$104=0,$AA$113,MIN($AA$109,$AA$113))</f>
        <v/>
      </c>
      <c r="AB114" s="13" t="n"/>
      <c r="AC114" s="13" t="n"/>
      <c r="AD114" s="25" t="inlineStr">
        <is>
          <t>kPa</t>
        </is>
      </c>
      <c r="AF114" s="15" t="n"/>
    </row>
    <row r="115">
      <c r="B115" s="9" t="n"/>
      <c r="C115" s="25" t="inlineStr">
        <is>
          <t>Allowable bearing capacity</t>
        </is>
      </c>
      <c r="O115" s="26" t="inlineStr">
        <is>
          <t>qall = qu / SF</t>
        </is>
      </c>
      <c r="X115" s="27" t="inlineStr">
        <is>
          <t>qall =</t>
        </is>
      </c>
      <c r="Y115" s="13" t="n"/>
      <c r="Z115" s="13" t="n"/>
      <c r="AA115" s="30">
        <f>$AA$114/Input!$AA$19</f>
        <v/>
      </c>
      <c r="AB115" s="13" t="n"/>
      <c r="AC115" s="13" t="n"/>
      <c r="AD115" s="25" t="inlineStr">
        <is>
          <t>kPa</t>
        </is>
      </c>
      <c r="AF115" s="15" t="n"/>
    </row>
    <row r="116">
      <c r="B116" s="9" t="n"/>
      <c r="C116" s="25" t="inlineStr">
        <is>
          <t>Working pressure</t>
        </is>
      </c>
      <c r="O116" s="26" t="inlineStr">
        <is>
          <t>q = Hf·γf + qs</t>
        </is>
      </c>
      <c r="X116" s="27" t="inlineStr">
        <is>
          <t>q =</t>
        </is>
      </c>
      <c r="Y116" s="13" t="n"/>
      <c r="Z116" s="13" t="n"/>
      <c r="AA116" s="62">
        <f>Input!$AA$14</f>
        <v/>
      </c>
      <c r="AB116" s="13" t="n"/>
      <c r="AC116" s="13" t="n"/>
      <c r="AD116" s="25" t="inlineStr">
        <is>
          <t>kPa</t>
        </is>
      </c>
      <c r="AF116" s="15" t="n"/>
    </row>
    <row r="117">
      <c r="B117" s="9" t="n"/>
      <c r="C117" s="25" t="inlineStr">
        <is>
          <t>Actual factor of safety</t>
        </is>
      </c>
      <c r="O117" s="26" t="inlineStr">
        <is>
          <t>FS = qu / q</t>
        </is>
      </c>
      <c r="X117" s="27" t="inlineStr">
        <is>
          <t>FS =</t>
        </is>
      </c>
      <c r="Y117" s="13" t="n"/>
      <c r="Z117" s="13" t="n"/>
      <c r="AA117" s="61">
        <f>$AA$114/Input!$AA$14</f>
        <v/>
      </c>
      <c r="AB117" s="13" t="n"/>
      <c r="AC117" s="13" t="n"/>
      <c r="AD117" s="25" t="inlineStr">
        <is>
          <t>-</t>
        </is>
      </c>
      <c r="AF117" s="15" t="n"/>
    </row>
    <row r="118">
      <c r="B118" s="9" t="n"/>
      <c r="C118" s="25" t="inlineStr">
        <is>
          <t>Allowable fill height with surcharge</t>
        </is>
      </c>
      <c r="O118" s="26" t="inlineStr">
        <is>
          <t>Hall = (qall - qs) / γf</t>
        </is>
      </c>
      <c r="X118" s="27" t="inlineStr">
        <is>
          <t>Hall =</t>
        </is>
      </c>
      <c r="Y118" s="13" t="n"/>
      <c r="Z118" s="13" t="n"/>
      <c r="AA118" s="61">
        <f>MAX(0,($AA$115-Input!$AA$13)/Input!$AA$12)</f>
        <v/>
      </c>
      <c r="AB118" s="13" t="n"/>
      <c r="AC118" s="13" t="n"/>
      <c r="AD118" s="25" t="inlineStr">
        <is>
          <t>m</t>
        </is>
      </c>
      <c r="AF118" s="15" t="n"/>
    </row>
    <row r="119">
      <c r="B119" s="9" t="n"/>
      <c r="C119" s="11" t="inlineStr">
        <is>
          <t>Bearing capacity check</t>
        </is>
      </c>
      <c r="X119" s="73">
        <f>IF($AA$115&gt;=Input!$AA$14,"qall ≥ q …. OK!!","qall &lt; q …. NG!!")</f>
        <v/>
      </c>
      <c r="Y119" s="13" t="n"/>
      <c r="Z119" s="13" t="n"/>
      <c r="AA119" s="13" t="n"/>
      <c r="AB119" s="13" t="n"/>
      <c r="AC119" s="13" t="n"/>
      <c r="AD119" s="13" t="n"/>
      <c r="AE119" s="13" t="n"/>
      <c r="AF119" s="15" t="n"/>
    </row>
    <row r="120">
      <c r="B120" s="9" t="n"/>
      <c r="AF120" s="15" t="n"/>
    </row>
    <row r="121">
      <c r="B121" s="9" t="n"/>
      <c r="C121" s="11" t="inlineStr">
        <is>
          <t>3.3. Granular soil - allowable pressure for 25 mm settlement (Meyerhof 1965, Bowles 1996)</t>
        </is>
      </c>
      <c r="AF121" s="15" t="n"/>
    </row>
    <row r="122">
      <c r="B122" s="9" t="n"/>
      <c r="C122" s="25" t="inlineStr">
        <is>
          <t>Average N60 of sand layers within 0 - Hb</t>
        </is>
      </c>
      <c r="O122" s="26" t="inlineStr"/>
      <c r="X122" s="27" t="inlineStr">
        <is>
          <t>N60 =</t>
        </is>
      </c>
      <c r="Y122" s="13" t="n"/>
      <c r="Z122" s="13" t="n"/>
      <c r="AA122" s="62">
        <f>IFERROR(SUMPRODUCT(--(AM28:AM68="Sand"),BN28:BN68,AN28:AN68)/SUMPRODUCT(--(AM28:AM68="Sand"),BN28:BN68)*Input!$AA$32,"n/a")</f>
        <v/>
      </c>
      <c r="AB122" s="13" t="n"/>
      <c r="AC122" s="13" t="n"/>
      <c r="AD122" s="25" t="inlineStr">
        <is>
          <t>-</t>
        </is>
      </c>
      <c r="AF122" s="15" t="n"/>
    </row>
    <row r="123">
      <c r="B123" s="9" t="n"/>
      <c r="C123" s="25" t="inlineStr">
        <is>
          <t>Allowable pressure (S = 25 mm, Kd = 1)</t>
        </is>
      </c>
      <c r="O123" s="26" t="inlineStr">
        <is>
          <t>qa = (N55/0.08)·((B+0.3)/B)²</t>
        </is>
      </c>
      <c r="X123" s="27" t="inlineStr">
        <is>
          <t>qa =</t>
        </is>
      </c>
      <c r="Y123" s="13" t="n"/>
      <c r="Z123" s="13" t="n"/>
      <c r="AA123" s="62">
        <f>IFERROR(($AA$122*60/55)/0.08*((Input!$AA$15+0.3)/Input!$AA$15)^2,"n/a")</f>
        <v/>
      </c>
      <c r="AB123" s="13" t="n"/>
      <c r="AC123" s="13" t="n"/>
      <c r="AD123" s="25" t="inlineStr">
        <is>
          <t>kPa</t>
        </is>
      </c>
      <c r="AF123" s="15" t="n"/>
    </row>
    <row r="124">
      <c r="B124" s="9" t="n"/>
      <c r="C124" s="24" t="inlineStr">
        <is>
          <t>For granular soil the shear capacity is normally far above the applied load; settlement governs the design (Section 4).</t>
        </is>
      </c>
      <c r="AF124" s="15" t="n"/>
    </row>
    <row r="125">
      <c r="B125" s="9" t="n"/>
      <c r="AF125" s="15" t="n"/>
    </row>
    <row r="126">
      <c r="B126" s="9" t="n"/>
      <c r="AF126" s="15" t="n"/>
    </row>
    <row r="127">
      <c r="B127" s="9" t="n"/>
      <c r="AF127" s="15" t="n"/>
    </row>
    <row r="128">
      <c r="B128" s="9" t="n"/>
      <c r="AF128" s="15" t="n"/>
    </row>
    <row r="129">
      <c r="B129" s="9" t="n"/>
      <c r="AF129" s="15" t="n"/>
    </row>
    <row r="130">
      <c r="B130" s="9" t="n"/>
      <c r="AF130" s="15" t="n"/>
    </row>
    <row r="131">
      <c r="B131" s="9" t="n"/>
      <c r="AF131" s="15" t="n"/>
    </row>
    <row r="132">
      <c r="B132" s="9" t="n"/>
      <c r="AF132" s="15" t="n"/>
    </row>
    <row r="133">
      <c r="B133" s="9" t="n"/>
      <c r="AF133" s="15" t="n"/>
    </row>
    <row r="134">
      <c r="B134" s="9" t="n"/>
      <c r="AF134" s="15" t="n"/>
    </row>
    <row r="135">
      <c r="B135" s="9" t="n"/>
      <c r="AF135" s="15" t="n"/>
    </row>
    <row r="136">
      <c r="B136" s="9" t="n"/>
      <c r="AF136" s="15" t="n"/>
    </row>
    <row r="137">
      <c r="B137" s="9" t="n"/>
      <c r="AF137" s="15" t="n"/>
    </row>
    <row r="138">
      <c r="B138" s="9" t="n"/>
      <c r="AF138" s="15" t="n"/>
    </row>
    <row r="139">
      <c r="B139" s="9" t="n"/>
      <c r="AF139" s="15" t="n"/>
    </row>
    <row r="140">
      <c r="B140" s="9" t="n"/>
      <c r="AF140" s="15" t="n"/>
    </row>
    <row r="141">
      <c r="B141" s="9" t="n"/>
      <c r="AF141" s="15" t="n"/>
    </row>
    <row r="142">
      <c r="B142" s="9" t="n"/>
      <c r="AF142" s="15" t="n"/>
    </row>
    <row r="143">
      <c r="B143" s="9" t="n"/>
      <c r="AF143" s="15" t="n"/>
    </row>
    <row r="144">
      <c r="B144" s="9" t="n"/>
      <c r="AF144" s="15" t="n"/>
    </row>
    <row r="145">
      <c r="B145" s="47" t="n"/>
      <c r="C145" s="48" t="n"/>
      <c r="D145" s="48" t="n"/>
      <c r="E145" s="48" t="n"/>
      <c r="F145" s="48" t="n"/>
      <c r="G145" s="48" t="n"/>
      <c r="H145" s="48" t="n"/>
      <c r="I145" s="48" t="n"/>
      <c r="J145" s="48" t="n"/>
      <c r="K145" s="48" t="n"/>
      <c r="L145" s="48" t="n"/>
      <c r="M145" s="48" t="n"/>
      <c r="N145" s="48" t="n"/>
      <c r="O145" s="48" t="n"/>
      <c r="P145" s="48" t="n"/>
      <c r="Q145" s="48" t="n"/>
      <c r="R145" s="48" t="n"/>
      <c r="S145" s="48" t="n"/>
      <c r="T145" s="48" t="n"/>
      <c r="U145" s="48" t="n"/>
      <c r="V145" s="48" t="n"/>
      <c r="W145" s="48" t="n"/>
      <c r="X145" s="49" t="inlineStr">
        <is>
          <t>Sheet :</t>
        </is>
      </c>
      <c r="Y145" s="48" t="n"/>
      <c r="Z145" s="48" t="n"/>
      <c r="AA145" s="48" t="n"/>
      <c r="AB145" s="49" t="n">
        <v>2</v>
      </c>
      <c r="AC145" s="48" t="n"/>
      <c r="AD145" s="48" t="n"/>
      <c r="AE145" s="48" t="n"/>
      <c r="AF145" s="50" t="n"/>
    </row>
    <row r="146">
      <c r="B146" s="1" t="n"/>
      <c r="C146" s="2" t="inlineStr">
        <is>
          <t>PROJECT :</t>
        </is>
      </c>
      <c r="D146" s="3" t="n"/>
      <c r="E146" s="3" t="n"/>
      <c r="F146" s="3" t="n"/>
      <c r="G146" s="3" t="n"/>
      <c r="H146" s="4" t="inlineStr">
        <is>
          <t>GEOTHERMAL WELLPAD PSPE BORA PULU - SIGI, CENTRAL SULAWESI</t>
        </is>
      </c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5" t="inlineStr">
        <is>
          <t>Prepared by :</t>
        </is>
      </c>
      <c r="Y146" s="6" t="n"/>
      <c r="Z146" s="6" t="n"/>
      <c r="AA146" s="6" t="n"/>
      <c r="AB146" s="7" t="inlineStr">
        <is>
          <t>Date</t>
        </is>
      </c>
      <c r="AC146" s="6" t="n"/>
      <c r="AD146" s="6" t="n"/>
      <c r="AE146" s="6" t="n"/>
      <c r="AF146" s="8" t="n"/>
    </row>
    <row r="147">
      <c r="B147" s="9" t="n"/>
      <c r="C147" s="10" t="inlineStr">
        <is>
          <t>CLIENT :</t>
        </is>
      </c>
      <c r="H147" s="11" t="inlineStr">
        <is>
          <t>PT EDC PANAS BUMI INDONESIA</t>
        </is>
      </c>
      <c r="X147" s="12" t="inlineStr">
        <is>
          <t>DF</t>
        </is>
      </c>
      <c r="Y147" s="13" t="n"/>
      <c r="Z147" s="13" t="n"/>
      <c r="AA147" s="13" t="n"/>
      <c r="AB147" s="14" t="n">
        <v>46301</v>
      </c>
      <c r="AC147" s="13" t="n"/>
      <c r="AD147" s="13" t="n"/>
      <c r="AE147" s="13" t="n"/>
      <c r="AF147" s="15" t="n"/>
    </row>
    <row r="148">
      <c r="B148" s="9" t="n"/>
      <c r="C148" s="10" t="inlineStr">
        <is>
          <t>LOCATION :</t>
        </is>
      </c>
      <c r="H148" s="11" t="inlineStr">
        <is>
          <t>BH-03 (Log Yard)</t>
        </is>
      </c>
      <c r="X148" s="12" t="inlineStr">
        <is>
          <t>Verified by :</t>
        </is>
      </c>
      <c r="Y148" s="13" t="n"/>
      <c r="Z148" s="13" t="n"/>
      <c r="AA148" s="13" t="n"/>
      <c r="AB148" s="14" t="inlineStr">
        <is>
          <t>Date</t>
        </is>
      </c>
      <c r="AC148" s="13" t="n"/>
      <c r="AD148" s="13" t="n"/>
      <c r="AE148" s="13" t="n"/>
      <c r="AF148" s="15" t="n"/>
    </row>
    <row r="149">
      <c r="B149" s="16" t="n"/>
      <c r="C149" s="17" t="inlineStr">
        <is>
          <t>SHEET :</t>
        </is>
      </c>
      <c r="D149" s="18" t="n"/>
      <c r="E149" s="18" t="n"/>
      <c r="F149" s="18" t="n"/>
      <c r="G149" s="18" t="n"/>
      <c r="H149" s="19" t="inlineStr">
        <is>
          <t>BEARING CAPACITY AND SETTLEMENT OF SUBGRADE</t>
        </is>
      </c>
      <c r="I149" s="18" t="n"/>
      <c r="J149" s="18" t="n"/>
      <c r="K149" s="18" t="n"/>
      <c r="L149" s="18" t="n"/>
      <c r="M149" s="18" t="n"/>
      <c r="N149" s="18" t="n"/>
      <c r="O149" s="18" t="n"/>
      <c r="P149" s="18" t="n"/>
      <c r="Q149" s="18" t="n"/>
      <c r="R149" s="18" t="n"/>
      <c r="S149" s="18" t="n"/>
      <c r="T149" s="18" t="n"/>
      <c r="U149" s="18" t="n"/>
      <c r="V149" s="18" t="n"/>
      <c r="W149" s="18" t="n"/>
      <c r="X149" s="20" t="inlineStr">
        <is>
          <t>BC</t>
        </is>
      </c>
      <c r="Y149" s="21" t="n"/>
      <c r="Z149" s="21" t="n"/>
      <c r="AA149" s="21" t="n"/>
      <c r="AB149" s="22" t="n">
        <v>46301</v>
      </c>
      <c r="AC149" s="21" t="n"/>
      <c r="AD149" s="21" t="n"/>
      <c r="AE149" s="21" t="n"/>
      <c r="AF149" s="23" t="n"/>
    </row>
    <row r="150">
      <c r="B150" s="9" t="n"/>
      <c r="AF150" s="15" t="n"/>
    </row>
    <row r="151">
      <c r="B151" s="9" t="n"/>
      <c r="C151" s="11" t="inlineStr">
        <is>
          <t>4. IMMEDIATE SETTLEMENT (design condition)</t>
        </is>
      </c>
      <c r="AF151" s="15" t="n"/>
    </row>
    <row r="152">
      <c r="B152" s="9" t="n"/>
      <c r="C152" s="25" t="inlineStr">
        <is>
          <t>Layered elastic method (Steinbrenner 1934; Bowles 1996) at the centre of a flexible B × L area:</t>
        </is>
      </c>
      <c r="AF152" s="15" t="n"/>
    </row>
    <row r="153">
      <c r="B153" s="9" t="n"/>
      <c r="C153" s="25" t="inlineStr">
        <is>
          <t xml:space="preserve">      Si = 4·q·(B/2)·(1 - ν²)/E · [ΔF1 + (1 - 2ν)/(1 - ν)·ΔF2]   for each sub-layer.</t>
        </is>
      </c>
      <c r="AF153" s="15" t="n"/>
    </row>
    <row r="154">
      <c r="B154" s="9" t="n"/>
      <c r="C154" s="25" t="inlineStr">
        <is>
          <t>Sand: drained modulus E = k·N60 and ν of sand; silt/clay: undrained modulus Eu = k·cu and ν = 0.5.</t>
        </is>
      </c>
      <c r="AF154" s="15" t="n"/>
    </row>
    <row r="155">
      <c r="B155" s="9" t="n"/>
      <c r="C155" s="25" t="inlineStr">
        <is>
          <t>Layers with Δσz &lt; 10 % σ'v0 (below the influence depth) and soil replaced to depth Dr are excluded.</t>
        </is>
      </c>
      <c r="AF155" s="15" t="n"/>
    </row>
    <row r="156">
      <c r="B156" s="9" t="n"/>
      <c r="C156" s="25" t="inlineStr">
        <is>
          <t>Table 2. Immediate settlement of BH-03</t>
        </is>
      </c>
      <c r="AF156" s="15" t="n"/>
    </row>
    <row r="157" ht="27" customHeight="1">
      <c r="B157" s="9" t="n"/>
      <c r="C157" s="33" t="inlineStr">
        <is>
          <t>No</t>
        </is>
      </c>
      <c r="D157" s="34" t="n"/>
      <c r="E157" s="33" t="inlineStr">
        <is>
          <t>Top</t>
        </is>
      </c>
      <c r="F157" s="34" t="n"/>
      <c r="G157" s="34" t="n"/>
      <c r="H157" s="33" t="inlineStr">
        <is>
          <t>Bottom</t>
        </is>
      </c>
      <c r="I157" s="34" t="n"/>
      <c r="J157" s="34" t="n"/>
      <c r="K157" s="33" t="inlineStr">
        <is>
          <t>Soil</t>
        </is>
      </c>
      <c r="L157" s="34" t="n"/>
      <c r="M157" s="34" t="n"/>
      <c r="N157" s="33" t="inlineStr">
        <is>
          <t>E</t>
        </is>
      </c>
      <c r="O157" s="34" t="n"/>
      <c r="P157" s="34" t="n"/>
      <c r="Q157" s="33" t="inlineStr">
        <is>
          <t>ν</t>
        </is>
      </c>
      <c r="R157" s="34" t="n"/>
      <c r="S157" s="33" t="inlineStr">
        <is>
          <t>σ'v0</t>
        </is>
      </c>
      <c r="T157" s="34" t="n"/>
      <c r="U157" s="34" t="n"/>
      <c r="V157" s="33" t="inlineStr">
        <is>
          <t>Δσz</t>
        </is>
      </c>
      <c r="W157" s="34" t="n"/>
      <c r="X157" s="34" t="n"/>
      <c r="Y157" s="33" t="inlineStr">
        <is>
          <t>F1</t>
        </is>
      </c>
      <c r="Z157" s="34" t="n"/>
      <c r="AA157" s="33" t="inlineStr">
        <is>
          <t>F2</t>
        </is>
      </c>
      <c r="AB157" s="34" t="n"/>
      <c r="AC157" s="33" t="inlineStr">
        <is>
          <t>Si</t>
        </is>
      </c>
      <c r="AD157" s="34" t="n"/>
      <c r="AE157" s="34" t="n"/>
      <c r="AF157" s="15" t="n"/>
    </row>
    <row r="158">
      <c r="B158" s="9" t="n"/>
      <c r="C158" s="35" t="inlineStr"/>
      <c r="D158" s="36" t="n"/>
      <c r="E158" s="35" t="inlineStr">
        <is>
          <t>m</t>
        </is>
      </c>
      <c r="F158" s="36" t="n"/>
      <c r="G158" s="36" t="n"/>
      <c r="H158" s="35" t="inlineStr">
        <is>
          <t>m</t>
        </is>
      </c>
      <c r="I158" s="36" t="n"/>
      <c r="J158" s="36" t="n"/>
      <c r="K158" s="35" t="inlineStr"/>
      <c r="L158" s="36" t="n"/>
      <c r="M158" s="36" t="n"/>
      <c r="N158" s="35" t="inlineStr">
        <is>
          <t>kPa</t>
        </is>
      </c>
      <c r="O158" s="36" t="n"/>
      <c r="P158" s="36" t="n"/>
      <c r="Q158" s="35" t="inlineStr">
        <is>
          <t>-</t>
        </is>
      </c>
      <c r="R158" s="36" t="n"/>
      <c r="S158" s="35" t="inlineStr">
        <is>
          <t>kPa</t>
        </is>
      </c>
      <c r="T158" s="36" t="n"/>
      <c r="U158" s="36" t="n"/>
      <c r="V158" s="35" t="inlineStr">
        <is>
          <t>kPa</t>
        </is>
      </c>
      <c r="W158" s="36" t="n"/>
      <c r="X158" s="36" t="n"/>
      <c r="Y158" s="35" t="inlineStr">
        <is>
          <t>-</t>
        </is>
      </c>
      <c r="Z158" s="36" t="n"/>
      <c r="AA158" s="35" t="inlineStr">
        <is>
          <t>-</t>
        </is>
      </c>
      <c r="AB158" s="36" t="n"/>
      <c r="AC158" s="35" t="inlineStr">
        <is>
          <t>mm</t>
        </is>
      </c>
      <c r="AD158" s="36" t="n"/>
      <c r="AE158" s="36" t="n"/>
      <c r="AF158" s="15" t="n"/>
    </row>
    <row r="159">
      <c r="B159" s="9" t="n"/>
      <c r="C159" s="57" t="n">
        <v>1</v>
      </c>
      <c r="D159" s="41" t="n"/>
      <c r="E159" s="55">
        <f>AI28</f>
        <v/>
      </c>
      <c r="F159" s="41" t="n"/>
      <c r="G159" s="41" t="n"/>
      <c r="H159" s="55">
        <f>AJ28</f>
        <v/>
      </c>
      <c r="I159" s="41" t="n"/>
      <c r="J159" s="41" t="n"/>
      <c r="K159" s="52">
        <f>AM28</f>
        <v/>
      </c>
      <c r="L159" s="41" t="n"/>
      <c r="M159" s="41" t="n"/>
      <c r="N159" s="54">
        <f>AX28</f>
        <v/>
      </c>
      <c r="O159" s="41" t="n"/>
      <c r="P159" s="41" t="n"/>
      <c r="Q159" s="53">
        <f>AY28</f>
        <v/>
      </c>
      <c r="R159" s="41" t="n"/>
      <c r="S159" s="53">
        <f>AQ28</f>
        <v/>
      </c>
      <c r="T159" s="41" t="n"/>
      <c r="U159" s="41" t="n"/>
      <c r="V159" s="53">
        <f>BC28</f>
        <v/>
      </c>
      <c r="W159" s="41" t="n"/>
      <c r="X159" s="41" t="n"/>
      <c r="Y159" s="40">
        <f>BD28</f>
        <v/>
      </c>
      <c r="Z159" s="41" t="n"/>
      <c r="AA159" s="40">
        <f>BE28</f>
        <v/>
      </c>
      <c r="AB159" s="41" t="n"/>
      <c r="AC159" s="53">
        <f>BG28</f>
        <v/>
      </c>
      <c r="AD159" s="41" t="n"/>
      <c r="AE159" s="41" t="n"/>
      <c r="AF159" s="15" t="n"/>
    </row>
    <row r="160">
      <c r="B160" s="9" t="n"/>
      <c r="C160" s="57" t="n">
        <v>2</v>
      </c>
      <c r="D160" s="41" t="n"/>
      <c r="E160" s="55">
        <f>AI29</f>
        <v/>
      </c>
      <c r="F160" s="41" t="n"/>
      <c r="G160" s="41" t="n"/>
      <c r="H160" s="55">
        <f>AJ29</f>
        <v/>
      </c>
      <c r="I160" s="41" t="n"/>
      <c r="J160" s="41" t="n"/>
      <c r="K160" s="52">
        <f>AM29</f>
        <v/>
      </c>
      <c r="L160" s="41" t="n"/>
      <c r="M160" s="41" t="n"/>
      <c r="N160" s="54">
        <f>AX29</f>
        <v/>
      </c>
      <c r="O160" s="41" t="n"/>
      <c r="P160" s="41" t="n"/>
      <c r="Q160" s="53">
        <f>AY29</f>
        <v/>
      </c>
      <c r="R160" s="41" t="n"/>
      <c r="S160" s="53">
        <f>AQ29</f>
        <v/>
      </c>
      <c r="T160" s="41" t="n"/>
      <c r="U160" s="41" t="n"/>
      <c r="V160" s="53">
        <f>BC29</f>
        <v/>
      </c>
      <c r="W160" s="41" t="n"/>
      <c r="X160" s="41" t="n"/>
      <c r="Y160" s="40">
        <f>BD29</f>
        <v/>
      </c>
      <c r="Z160" s="41" t="n"/>
      <c r="AA160" s="40">
        <f>BE29</f>
        <v/>
      </c>
      <c r="AB160" s="41" t="n"/>
      <c r="AC160" s="53">
        <f>BG29</f>
        <v/>
      </c>
      <c r="AD160" s="41" t="n"/>
      <c r="AE160" s="41" t="n"/>
      <c r="AF160" s="15" t="n"/>
    </row>
    <row r="161">
      <c r="B161" s="9" t="n"/>
      <c r="C161" s="57" t="n">
        <v>3</v>
      </c>
      <c r="D161" s="41" t="n"/>
      <c r="E161" s="55">
        <f>AI30</f>
        <v/>
      </c>
      <c r="F161" s="41" t="n"/>
      <c r="G161" s="41" t="n"/>
      <c r="H161" s="55">
        <f>AJ30</f>
        <v/>
      </c>
      <c r="I161" s="41" t="n"/>
      <c r="J161" s="41" t="n"/>
      <c r="K161" s="52">
        <f>AM30</f>
        <v/>
      </c>
      <c r="L161" s="41" t="n"/>
      <c r="M161" s="41" t="n"/>
      <c r="N161" s="54">
        <f>AX30</f>
        <v/>
      </c>
      <c r="O161" s="41" t="n"/>
      <c r="P161" s="41" t="n"/>
      <c r="Q161" s="53">
        <f>AY30</f>
        <v/>
      </c>
      <c r="R161" s="41" t="n"/>
      <c r="S161" s="53">
        <f>AQ30</f>
        <v/>
      </c>
      <c r="T161" s="41" t="n"/>
      <c r="U161" s="41" t="n"/>
      <c r="V161" s="53">
        <f>BC30</f>
        <v/>
      </c>
      <c r="W161" s="41" t="n"/>
      <c r="X161" s="41" t="n"/>
      <c r="Y161" s="40">
        <f>BD30</f>
        <v/>
      </c>
      <c r="Z161" s="41" t="n"/>
      <c r="AA161" s="40">
        <f>BE30</f>
        <v/>
      </c>
      <c r="AB161" s="41" t="n"/>
      <c r="AC161" s="53">
        <f>BG30</f>
        <v/>
      </c>
      <c r="AD161" s="41" t="n"/>
      <c r="AE161" s="41" t="n"/>
      <c r="AF161" s="15" t="n"/>
    </row>
    <row r="162">
      <c r="B162" s="9" t="n"/>
      <c r="C162" s="57" t="n">
        <v>4</v>
      </c>
      <c r="D162" s="41" t="n"/>
      <c r="E162" s="55">
        <f>AI31</f>
        <v/>
      </c>
      <c r="F162" s="41" t="n"/>
      <c r="G162" s="41" t="n"/>
      <c r="H162" s="55">
        <f>AJ31</f>
        <v/>
      </c>
      <c r="I162" s="41" t="n"/>
      <c r="J162" s="41" t="n"/>
      <c r="K162" s="52">
        <f>AM31</f>
        <v/>
      </c>
      <c r="L162" s="41" t="n"/>
      <c r="M162" s="41" t="n"/>
      <c r="N162" s="54">
        <f>AX31</f>
        <v/>
      </c>
      <c r="O162" s="41" t="n"/>
      <c r="P162" s="41" t="n"/>
      <c r="Q162" s="53">
        <f>AY31</f>
        <v/>
      </c>
      <c r="R162" s="41" t="n"/>
      <c r="S162" s="53">
        <f>AQ31</f>
        <v/>
      </c>
      <c r="T162" s="41" t="n"/>
      <c r="U162" s="41" t="n"/>
      <c r="V162" s="53">
        <f>BC31</f>
        <v/>
      </c>
      <c r="W162" s="41" t="n"/>
      <c r="X162" s="41" t="n"/>
      <c r="Y162" s="40">
        <f>BD31</f>
        <v/>
      </c>
      <c r="Z162" s="41" t="n"/>
      <c r="AA162" s="40">
        <f>BE31</f>
        <v/>
      </c>
      <c r="AB162" s="41" t="n"/>
      <c r="AC162" s="53">
        <f>BG31</f>
        <v/>
      </c>
      <c r="AD162" s="41" t="n"/>
      <c r="AE162" s="41" t="n"/>
      <c r="AF162" s="15" t="n"/>
    </row>
    <row r="163">
      <c r="B163" s="9" t="n"/>
      <c r="C163" s="57" t="n">
        <v>5</v>
      </c>
      <c r="D163" s="41" t="n"/>
      <c r="E163" s="55">
        <f>AI32</f>
        <v/>
      </c>
      <c r="F163" s="41" t="n"/>
      <c r="G163" s="41" t="n"/>
      <c r="H163" s="55">
        <f>AJ32</f>
        <v/>
      </c>
      <c r="I163" s="41" t="n"/>
      <c r="J163" s="41" t="n"/>
      <c r="K163" s="52">
        <f>AM32</f>
        <v/>
      </c>
      <c r="L163" s="41" t="n"/>
      <c r="M163" s="41" t="n"/>
      <c r="N163" s="54">
        <f>AX32</f>
        <v/>
      </c>
      <c r="O163" s="41" t="n"/>
      <c r="P163" s="41" t="n"/>
      <c r="Q163" s="53">
        <f>AY32</f>
        <v/>
      </c>
      <c r="R163" s="41" t="n"/>
      <c r="S163" s="53">
        <f>AQ32</f>
        <v/>
      </c>
      <c r="T163" s="41" t="n"/>
      <c r="U163" s="41" t="n"/>
      <c r="V163" s="53">
        <f>BC32</f>
        <v/>
      </c>
      <c r="W163" s="41" t="n"/>
      <c r="X163" s="41" t="n"/>
      <c r="Y163" s="40">
        <f>BD32</f>
        <v/>
      </c>
      <c r="Z163" s="41" t="n"/>
      <c r="AA163" s="40">
        <f>BE32</f>
        <v/>
      </c>
      <c r="AB163" s="41" t="n"/>
      <c r="AC163" s="53">
        <f>BG32</f>
        <v/>
      </c>
      <c r="AD163" s="41" t="n"/>
      <c r="AE163" s="41" t="n"/>
      <c r="AF163" s="15" t="n"/>
    </row>
    <row r="164">
      <c r="B164" s="9" t="n"/>
      <c r="C164" s="57" t="n">
        <v>6</v>
      </c>
      <c r="D164" s="41" t="n"/>
      <c r="E164" s="55">
        <f>AI33</f>
        <v/>
      </c>
      <c r="F164" s="41" t="n"/>
      <c r="G164" s="41" t="n"/>
      <c r="H164" s="55">
        <f>AJ33</f>
        <v/>
      </c>
      <c r="I164" s="41" t="n"/>
      <c r="J164" s="41" t="n"/>
      <c r="K164" s="52">
        <f>AM33</f>
        <v/>
      </c>
      <c r="L164" s="41" t="n"/>
      <c r="M164" s="41" t="n"/>
      <c r="N164" s="54">
        <f>AX33</f>
        <v/>
      </c>
      <c r="O164" s="41" t="n"/>
      <c r="P164" s="41" t="n"/>
      <c r="Q164" s="53">
        <f>AY33</f>
        <v/>
      </c>
      <c r="R164" s="41" t="n"/>
      <c r="S164" s="53">
        <f>AQ33</f>
        <v/>
      </c>
      <c r="T164" s="41" t="n"/>
      <c r="U164" s="41" t="n"/>
      <c r="V164" s="53">
        <f>BC33</f>
        <v/>
      </c>
      <c r="W164" s="41" t="n"/>
      <c r="X164" s="41" t="n"/>
      <c r="Y164" s="40">
        <f>BD33</f>
        <v/>
      </c>
      <c r="Z164" s="41" t="n"/>
      <c r="AA164" s="40">
        <f>BE33</f>
        <v/>
      </c>
      <c r="AB164" s="41" t="n"/>
      <c r="AC164" s="53">
        <f>BG33</f>
        <v/>
      </c>
      <c r="AD164" s="41" t="n"/>
      <c r="AE164" s="41" t="n"/>
      <c r="AF164" s="15" t="n"/>
    </row>
    <row r="165">
      <c r="B165" s="9" t="n"/>
      <c r="C165" s="57" t="n">
        <v>7</v>
      </c>
      <c r="D165" s="41" t="n"/>
      <c r="E165" s="55">
        <f>AI34</f>
        <v/>
      </c>
      <c r="F165" s="41" t="n"/>
      <c r="G165" s="41" t="n"/>
      <c r="H165" s="55">
        <f>AJ34</f>
        <v/>
      </c>
      <c r="I165" s="41" t="n"/>
      <c r="J165" s="41" t="n"/>
      <c r="K165" s="52">
        <f>AM34</f>
        <v/>
      </c>
      <c r="L165" s="41" t="n"/>
      <c r="M165" s="41" t="n"/>
      <c r="N165" s="54">
        <f>AX34</f>
        <v/>
      </c>
      <c r="O165" s="41" t="n"/>
      <c r="P165" s="41" t="n"/>
      <c r="Q165" s="53">
        <f>AY34</f>
        <v/>
      </c>
      <c r="R165" s="41" t="n"/>
      <c r="S165" s="53">
        <f>AQ34</f>
        <v/>
      </c>
      <c r="T165" s="41" t="n"/>
      <c r="U165" s="41" t="n"/>
      <c r="V165" s="53">
        <f>BC34</f>
        <v/>
      </c>
      <c r="W165" s="41" t="n"/>
      <c r="X165" s="41" t="n"/>
      <c r="Y165" s="40">
        <f>BD34</f>
        <v/>
      </c>
      <c r="Z165" s="41" t="n"/>
      <c r="AA165" s="40">
        <f>BE34</f>
        <v/>
      </c>
      <c r="AB165" s="41" t="n"/>
      <c r="AC165" s="53">
        <f>BG34</f>
        <v/>
      </c>
      <c r="AD165" s="41" t="n"/>
      <c r="AE165" s="41" t="n"/>
      <c r="AF165" s="15" t="n"/>
    </row>
    <row r="166">
      <c r="B166" s="9" t="n"/>
      <c r="C166" s="57" t="n">
        <v>8</v>
      </c>
      <c r="D166" s="41" t="n"/>
      <c r="E166" s="55">
        <f>AI35</f>
        <v/>
      </c>
      <c r="F166" s="41" t="n"/>
      <c r="G166" s="41" t="n"/>
      <c r="H166" s="55">
        <f>AJ35</f>
        <v/>
      </c>
      <c r="I166" s="41" t="n"/>
      <c r="J166" s="41" t="n"/>
      <c r="K166" s="52">
        <f>AM35</f>
        <v/>
      </c>
      <c r="L166" s="41" t="n"/>
      <c r="M166" s="41" t="n"/>
      <c r="N166" s="54">
        <f>AX35</f>
        <v/>
      </c>
      <c r="O166" s="41" t="n"/>
      <c r="P166" s="41" t="n"/>
      <c r="Q166" s="53">
        <f>AY35</f>
        <v/>
      </c>
      <c r="R166" s="41" t="n"/>
      <c r="S166" s="53">
        <f>AQ35</f>
        <v/>
      </c>
      <c r="T166" s="41" t="n"/>
      <c r="U166" s="41" t="n"/>
      <c r="V166" s="53">
        <f>BC35</f>
        <v/>
      </c>
      <c r="W166" s="41" t="n"/>
      <c r="X166" s="41" t="n"/>
      <c r="Y166" s="40">
        <f>BD35</f>
        <v/>
      </c>
      <c r="Z166" s="41" t="n"/>
      <c r="AA166" s="40">
        <f>BE35</f>
        <v/>
      </c>
      <c r="AB166" s="41" t="n"/>
      <c r="AC166" s="53">
        <f>BG35</f>
        <v/>
      </c>
      <c r="AD166" s="41" t="n"/>
      <c r="AE166" s="41" t="n"/>
      <c r="AF166" s="15" t="n"/>
    </row>
    <row r="167">
      <c r="B167" s="9" t="n"/>
      <c r="C167" s="57" t="n">
        <v>9</v>
      </c>
      <c r="D167" s="41" t="n"/>
      <c r="E167" s="55">
        <f>AI36</f>
        <v/>
      </c>
      <c r="F167" s="41" t="n"/>
      <c r="G167" s="41" t="n"/>
      <c r="H167" s="55">
        <f>AJ36</f>
        <v/>
      </c>
      <c r="I167" s="41" t="n"/>
      <c r="J167" s="41" t="n"/>
      <c r="K167" s="52">
        <f>AM36</f>
        <v/>
      </c>
      <c r="L167" s="41" t="n"/>
      <c r="M167" s="41" t="n"/>
      <c r="N167" s="54">
        <f>AX36</f>
        <v/>
      </c>
      <c r="O167" s="41" t="n"/>
      <c r="P167" s="41" t="n"/>
      <c r="Q167" s="53">
        <f>AY36</f>
        <v/>
      </c>
      <c r="R167" s="41" t="n"/>
      <c r="S167" s="53">
        <f>AQ36</f>
        <v/>
      </c>
      <c r="T167" s="41" t="n"/>
      <c r="U167" s="41" t="n"/>
      <c r="V167" s="53">
        <f>BC36</f>
        <v/>
      </c>
      <c r="W167" s="41" t="n"/>
      <c r="X167" s="41" t="n"/>
      <c r="Y167" s="40">
        <f>BD36</f>
        <v/>
      </c>
      <c r="Z167" s="41" t="n"/>
      <c r="AA167" s="40">
        <f>BE36</f>
        <v/>
      </c>
      <c r="AB167" s="41" t="n"/>
      <c r="AC167" s="53">
        <f>BG36</f>
        <v/>
      </c>
      <c r="AD167" s="41" t="n"/>
      <c r="AE167" s="41" t="n"/>
      <c r="AF167" s="15" t="n"/>
    </row>
    <row r="168">
      <c r="B168" s="9" t="n"/>
      <c r="C168" s="57" t="n">
        <v>10</v>
      </c>
      <c r="D168" s="41" t="n"/>
      <c r="E168" s="55">
        <f>AI37</f>
        <v/>
      </c>
      <c r="F168" s="41" t="n"/>
      <c r="G168" s="41" t="n"/>
      <c r="H168" s="55">
        <f>AJ37</f>
        <v/>
      </c>
      <c r="I168" s="41" t="n"/>
      <c r="J168" s="41" t="n"/>
      <c r="K168" s="52">
        <f>AM37</f>
        <v/>
      </c>
      <c r="L168" s="41" t="n"/>
      <c r="M168" s="41" t="n"/>
      <c r="N168" s="54">
        <f>AX37</f>
        <v/>
      </c>
      <c r="O168" s="41" t="n"/>
      <c r="P168" s="41" t="n"/>
      <c r="Q168" s="53">
        <f>AY37</f>
        <v/>
      </c>
      <c r="R168" s="41" t="n"/>
      <c r="S168" s="53">
        <f>AQ37</f>
        <v/>
      </c>
      <c r="T168" s="41" t="n"/>
      <c r="U168" s="41" t="n"/>
      <c r="V168" s="53">
        <f>BC37</f>
        <v/>
      </c>
      <c r="W168" s="41" t="n"/>
      <c r="X168" s="41" t="n"/>
      <c r="Y168" s="40">
        <f>BD37</f>
        <v/>
      </c>
      <c r="Z168" s="41" t="n"/>
      <c r="AA168" s="40">
        <f>BE37</f>
        <v/>
      </c>
      <c r="AB168" s="41" t="n"/>
      <c r="AC168" s="53">
        <f>BG37</f>
        <v/>
      </c>
      <c r="AD168" s="41" t="n"/>
      <c r="AE168" s="41" t="n"/>
      <c r="AF168" s="15" t="n"/>
    </row>
    <row r="169">
      <c r="B169" s="9" t="n"/>
      <c r="C169" s="57" t="n">
        <v>11</v>
      </c>
      <c r="D169" s="41" t="n"/>
      <c r="E169" s="55">
        <f>AI38</f>
        <v/>
      </c>
      <c r="F169" s="41" t="n"/>
      <c r="G169" s="41" t="n"/>
      <c r="H169" s="55">
        <f>AJ38</f>
        <v/>
      </c>
      <c r="I169" s="41" t="n"/>
      <c r="J169" s="41" t="n"/>
      <c r="K169" s="52">
        <f>AM38</f>
        <v/>
      </c>
      <c r="L169" s="41" t="n"/>
      <c r="M169" s="41" t="n"/>
      <c r="N169" s="54">
        <f>AX38</f>
        <v/>
      </c>
      <c r="O169" s="41" t="n"/>
      <c r="P169" s="41" t="n"/>
      <c r="Q169" s="53">
        <f>AY38</f>
        <v/>
      </c>
      <c r="R169" s="41" t="n"/>
      <c r="S169" s="53">
        <f>AQ38</f>
        <v/>
      </c>
      <c r="T169" s="41" t="n"/>
      <c r="U169" s="41" t="n"/>
      <c r="V169" s="53">
        <f>BC38</f>
        <v/>
      </c>
      <c r="W169" s="41" t="n"/>
      <c r="X169" s="41" t="n"/>
      <c r="Y169" s="40">
        <f>BD38</f>
        <v/>
      </c>
      <c r="Z169" s="41" t="n"/>
      <c r="AA169" s="40">
        <f>BE38</f>
        <v/>
      </c>
      <c r="AB169" s="41" t="n"/>
      <c r="AC169" s="53">
        <f>BG38</f>
        <v/>
      </c>
      <c r="AD169" s="41" t="n"/>
      <c r="AE169" s="41" t="n"/>
      <c r="AF169" s="15" t="n"/>
    </row>
    <row r="170">
      <c r="B170" s="9" t="n"/>
      <c r="C170" s="57" t="n">
        <v>12</v>
      </c>
      <c r="D170" s="41" t="n"/>
      <c r="E170" s="55">
        <f>AI39</f>
        <v/>
      </c>
      <c r="F170" s="41" t="n"/>
      <c r="G170" s="41" t="n"/>
      <c r="H170" s="55">
        <f>AJ39</f>
        <v/>
      </c>
      <c r="I170" s="41" t="n"/>
      <c r="J170" s="41" t="n"/>
      <c r="K170" s="52">
        <f>AM39</f>
        <v/>
      </c>
      <c r="L170" s="41" t="n"/>
      <c r="M170" s="41" t="n"/>
      <c r="N170" s="54">
        <f>AX39</f>
        <v/>
      </c>
      <c r="O170" s="41" t="n"/>
      <c r="P170" s="41" t="n"/>
      <c r="Q170" s="53">
        <f>AY39</f>
        <v/>
      </c>
      <c r="R170" s="41" t="n"/>
      <c r="S170" s="53">
        <f>AQ39</f>
        <v/>
      </c>
      <c r="T170" s="41" t="n"/>
      <c r="U170" s="41" t="n"/>
      <c r="V170" s="53">
        <f>BC39</f>
        <v/>
      </c>
      <c r="W170" s="41" t="n"/>
      <c r="X170" s="41" t="n"/>
      <c r="Y170" s="40">
        <f>BD39</f>
        <v/>
      </c>
      <c r="Z170" s="41" t="n"/>
      <c r="AA170" s="40">
        <f>BE39</f>
        <v/>
      </c>
      <c r="AB170" s="41" t="n"/>
      <c r="AC170" s="53">
        <f>BG39</f>
        <v/>
      </c>
      <c r="AD170" s="41" t="n"/>
      <c r="AE170" s="41" t="n"/>
      <c r="AF170" s="15" t="n"/>
    </row>
    <row r="171">
      <c r="B171" s="9" t="n"/>
      <c r="C171" s="57" t="n">
        <v>13</v>
      </c>
      <c r="D171" s="41" t="n"/>
      <c r="E171" s="55">
        <f>AI40</f>
        <v/>
      </c>
      <c r="F171" s="41" t="n"/>
      <c r="G171" s="41" t="n"/>
      <c r="H171" s="55">
        <f>AJ40</f>
        <v/>
      </c>
      <c r="I171" s="41" t="n"/>
      <c r="J171" s="41" t="n"/>
      <c r="K171" s="52">
        <f>AM40</f>
        <v/>
      </c>
      <c r="L171" s="41" t="n"/>
      <c r="M171" s="41" t="n"/>
      <c r="N171" s="54">
        <f>AX40</f>
        <v/>
      </c>
      <c r="O171" s="41" t="n"/>
      <c r="P171" s="41" t="n"/>
      <c r="Q171" s="53">
        <f>AY40</f>
        <v/>
      </c>
      <c r="R171" s="41" t="n"/>
      <c r="S171" s="53">
        <f>AQ40</f>
        <v/>
      </c>
      <c r="T171" s="41" t="n"/>
      <c r="U171" s="41" t="n"/>
      <c r="V171" s="53">
        <f>BC40</f>
        <v/>
      </c>
      <c r="W171" s="41" t="n"/>
      <c r="X171" s="41" t="n"/>
      <c r="Y171" s="40">
        <f>BD40</f>
        <v/>
      </c>
      <c r="Z171" s="41" t="n"/>
      <c r="AA171" s="40">
        <f>BE40</f>
        <v/>
      </c>
      <c r="AB171" s="41" t="n"/>
      <c r="AC171" s="53">
        <f>BG40</f>
        <v/>
      </c>
      <c r="AD171" s="41" t="n"/>
      <c r="AE171" s="41" t="n"/>
      <c r="AF171" s="15" t="n"/>
    </row>
    <row r="172">
      <c r="B172" s="9" t="n"/>
      <c r="C172" s="57" t="n">
        <v>14</v>
      </c>
      <c r="D172" s="41" t="n"/>
      <c r="E172" s="55">
        <f>AI41</f>
        <v/>
      </c>
      <c r="F172" s="41" t="n"/>
      <c r="G172" s="41" t="n"/>
      <c r="H172" s="55">
        <f>AJ41</f>
        <v/>
      </c>
      <c r="I172" s="41" t="n"/>
      <c r="J172" s="41" t="n"/>
      <c r="K172" s="52">
        <f>AM41</f>
        <v/>
      </c>
      <c r="L172" s="41" t="n"/>
      <c r="M172" s="41" t="n"/>
      <c r="N172" s="54">
        <f>AX41</f>
        <v/>
      </c>
      <c r="O172" s="41" t="n"/>
      <c r="P172" s="41" t="n"/>
      <c r="Q172" s="53">
        <f>AY41</f>
        <v/>
      </c>
      <c r="R172" s="41" t="n"/>
      <c r="S172" s="53">
        <f>AQ41</f>
        <v/>
      </c>
      <c r="T172" s="41" t="n"/>
      <c r="U172" s="41" t="n"/>
      <c r="V172" s="53">
        <f>BC41</f>
        <v/>
      </c>
      <c r="W172" s="41" t="n"/>
      <c r="X172" s="41" t="n"/>
      <c r="Y172" s="40">
        <f>BD41</f>
        <v/>
      </c>
      <c r="Z172" s="41" t="n"/>
      <c r="AA172" s="40">
        <f>BE41</f>
        <v/>
      </c>
      <c r="AB172" s="41" t="n"/>
      <c r="AC172" s="53">
        <f>BG41</f>
        <v/>
      </c>
      <c r="AD172" s="41" t="n"/>
      <c r="AE172" s="41" t="n"/>
      <c r="AF172" s="15" t="n"/>
    </row>
    <row r="173">
      <c r="B173" s="9" t="n"/>
      <c r="C173" s="57" t="n">
        <v>15</v>
      </c>
      <c r="D173" s="41" t="n"/>
      <c r="E173" s="55">
        <f>AI42</f>
        <v/>
      </c>
      <c r="F173" s="41" t="n"/>
      <c r="G173" s="41" t="n"/>
      <c r="H173" s="55">
        <f>AJ42</f>
        <v/>
      </c>
      <c r="I173" s="41" t="n"/>
      <c r="J173" s="41" t="n"/>
      <c r="K173" s="52">
        <f>AM42</f>
        <v/>
      </c>
      <c r="L173" s="41" t="n"/>
      <c r="M173" s="41" t="n"/>
      <c r="N173" s="54">
        <f>AX42</f>
        <v/>
      </c>
      <c r="O173" s="41" t="n"/>
      <c r="P173" s="41" t="n"/>
      <c r="Q173" s="53">
        <f>AY42</f>
        <v/>
      </c>
      <c r="R173" s="41" t="n"/>
      <c r="S173" s="53">
        <f>AQ42</f>
        <v/>
      </c>
      <c r="T173" s="41" t="n"/>
      <c r="U173" s="41" t="n"/>
      <c r="V173" s="53">
        <f>BC42</f>
        <v/>
      </c>
      <c r="W173" s="41" t="n"/>
      <c r="X173" s="41" t="n"/>
      <c r="Y173" s="40">
        <f>BD42</f>
        <v/>
      </c>
      <c r="Z173" s="41" t="n"/>
      <c r="AA173" s="40">
        <f>BE42</f>
        <v/>
      </c>
      <c r="AB173" s="41" t="n"/>
      <c r="AC173" s="53">
        <f>BG42</f>
        <v/>
      </c>
      <c r="AD173" s="41" t="n"/>
      <c r="AE173" s="41" t="n"/>
      <c r="AF173" s="15" t="n"/>
    </row>
    <row r="174">
      <c r="B174" s="9" t="n"/>
      <c r="C174" s="57" t="n">
        <v>16</v>
      </c>
      <c r="D174" s="41" t="n"/>
      <c r="E174" s="55">
        <f>AI43</f>
        <v/>
      </c>
      <c r="F174" s="41" t="n"/>
      <c r="G174" s="41" t="n"/>
      <c r="H174" s="55">
        <f>AJ43</f>
        <v/>
      </c>
      <c r="I174" s="41" t="n"/>
      <c r="J174" s="41" t="n"/>
      <c r="K174" s="52">
        <f>AM43</f>
        <v/>
      </c>
      <c r="L174" s="41" t="n"/>
      <c r="M174" s="41" t="n"/>
      <c r="N174" s="54">
        <f>AX43</f>
        <v/>
      </c>
      <c r="O174" s="41" t="n"/>
      <c r="P174" s="41" t="n"/>
      <c r="Q174" s="53">
        <f>AY43</f>
        <v/>
      </c>
      <c r="R174" s="41" t="n"/>
      <c r="S174" s="53">
        <f>AQ43</f>
        <v/>
      </c>
      <c r="T174" s="41" t="n"/>
      <c r="U174" s="41" t="n"/>
      <c r="V174" s="53">
        <f>BC43</f>
        <v/>
      </c>
      <c r="W174" s="41" t="n"/>
      <c r="X174" s="41" t="n"/>
      <c r="Y174" s="40">
        <f>BD43</f>
        <v/>
      </c>
      <c r="Z174" s="41" t="n"/>
      <c r="AA174" s="40">
        <f>BE43</f>
        <v/>
      </c>
      <c r="AB174" s="41" t="n"/>
      <c r="AC174" s="53">
        <f>BG43</f>
        <v/>
      </c>
      <c r="AD174" s="41" t="n"/>
      <c r="AE174" s="41" t="n"/>
      <c r="AF174" s="15" t="n"/>
    </row>
    <row r="175">
      <c r="B175" s="9" t="n"/>
      <c r="C175" s="57" t="n">
        <v>17</v>
      </c>
      <c r="D175" s="41" t="n"/>
      <c r="E175" s="55">
        <f>AI44</f>
        <v/>
      </c>
      <c r="F175" s="41" t="n"/>
      <c r="G175" s="41" t="n"/>
      <c r="H175" s="55">
        <f>AJ44</f>
        <v/>
      </c>
      <c r="I175" s="41" t="n"/>
      <c r="J175" s="41" t="n"/>
      <c r="K175" s="52">
        <f>AM44</f>
        <v/>
      </c>
      <c r="L175" s="41" t="n"/>
      <c r="M175" s="41" t="n"/>
      <c r="N175" s="54">
        <f>AX44</f>
        <v/>
      </c>
      <c r="O175" s="41" t="n"/>
      <c r="P175" s="41" t="n"/>
      <c r="Q175" s="53">
        <f>AY44</f>
        <v/>
      </c>
      <c r="R175" s="41" t="n"/>
      <c r="S175" s="53">
        <f>AQ44</f>
        <v/>
      </c>
      <c r="T175" s="41" t="n"/>
      <c r="U175" s="41" t="n"/>
      <c r="V175" s="53">
        <f>BC44</f>
        <v/>
      </c>
      <c r="W175" s="41" t="n"/>
      <c r="X175" s="41" t="n"/>
      <c r="Y175" s="40">
        <f>BD44</f>
        <v/>
      </c>
      <c r="Z175" s="41" t="n"/>
      <c r="AA175" s="40">
        <f>BE44</f>
        <v/>
      </c>
      <c r="AB175" s="41" t="n"/>
      <c r="AC175" s="53">
        <f>BG44</f>
        <v/>
      </c>
      <c r="AD175" s="41" t="n"/>
      <c r="AE175" s="41" t="n"/>
      <c r="AF175" s="15" t="n"/>
    </row>
    <row r="176">
      <c r="B176" s="9" t="n"/>
      <c r="C176" s="57" t="n">
        <v>18</v>
      </c>
      <c r="D176" s="41" t="n"/>
      <c r="E176" s="55">
        <f>AI45</f>
        <v/>
      </c>
      <c r="F176" s="41" t="n"/>
      <c r="G176" s="41" t="n"/>
      <c r="H176" s="55">
        <f>AJ45</f>
        <v/>
      </c>
      <c r="I176" s="41" t="n"/>
      <c r="J176" s="41" t="n"/>
      <c r="K176" s="52">
        <f>AM45</f>
        <v/>
      </c>
      <c r="L176" s="41" t="n"/>
      <c r="M176" s="41" t="n"/>
      <c r="N176" s="54">
        <f>AX45</f>
        <v/>
      </c>
      <c r="O176" s="41" t="n"/>
      <c r="P176" s="41" t="n"/>
      <c r="Q176" s="53">
        <f>AY45</f>
        <v/>
      </c>
      <c r="R176" s="41" t="n"/>
      <c r="S176" s="53">
        <f>AQ45</f>
        <v/>
      </c>
      <c r="T176" s="41" t="n"/>
      <c r="U176" s="41" t="n"/>
      <c r="V176" s="53">
        <f>BC45</f>
        <v/>
      </c>
      <c r="W176" s="41" t="n"/>
      <c r="X176" s="41" t="n"/>
      <c r="Y176" s="40">
        <f>BD45</f>
        <v/>
      </c>
      <c r="Z176" s="41" t="n"/>
      <c r="AA176" s="40">
        <f>BE45</f>
        <v/>
      </c>
      <c r="AB176" s="41" t="n"/>
      <c r="AC176" s="53">
        <f>BG45</f>
        <v/>
      </c>
      <c r="AD176" s="41" t="n"/>
      <c r="AE176" s="41" t="n"/>
      <c r="AF176" s="15" t="n"/>
    </row>
    <row r="177">
      <c r="B177" s="9" t="n"/>
      <c r="C177" s="57" t="n">
        <v>19</v>
      </c>
      <c r="D177" s="41" t="n"/>
      <c r="E177" s="55">
        <f>AI46</f>
        <v/>
      </c>
      <c r="F177" s="41" t="n"/>
      <c r="G177" s="41" t="n"/>
      <c r="H177" s="55">
        <f>AJ46</f>
        <v/>
      </c>
      <c r="I177" s="41" t="n"/>
      <c r="J177" s="41" t="n"/>
      <c r="K177" s="52">
        <f>AM46</f>
        <v/>
      </c>
      <c r="L177" s="41" t="n"/>
      <c r="M177" s="41" t="n"/>
      <c r="N177" s="54">
        <f>AX46</f>
        <v/>
      </c>
      <c r="O177" s="41" t="n"/>
      <c r="P177" s="41" t="n"/>
      <c r="Q177" s="53">
        <f>AY46</f>
        <v/>
      </c>
      <c r="R177" s="41" t="n"/>
      <c r="S177" s="53">
        <f>AQ46</f>
        <v/>
      </c>
      <c r="T177" s="41" t="n"/>
      <c r="U177" s="41" t="n"/>
      <c r="V177" s="53">
        <f>BC46</f>
        <v/>
      </c>
      <c r="W177" s="41" t="n"/>
      <c r="X177" s="41" t="n"/>
      <c r="Y177" s="40">
        <f>BD46</f>
        <v/>
      </c>
      <c r="Z177" s="41" t="n"/>
      <c r="AA177" s="40">
        <f>BE46</f>
        <v/>
      </c>
      <c r="AB177" s="41" t="n"/>
      <c r="AC177" s="53">
        <f>BG46</f>
        <v/>
      </c>
      <c r="AD177" s="41" t="n"/>
      <c r="AE177" s="41" t="n"/>
      <c r="AF177" s="15" t="n"/>
    </row>
    <row r="178">
      <c r="B178" s="9" t="n"/>
      <c r="C178" s="57" t="n">
        <v>20</v>
      </c>
      <c r="D178" s="41" t="n"/>
      <c r="E178" s="55">
        <f>AI47</f>
        <v/>
      </c>
      <c r="F178" s="41" t="n"/>
      <c r="G178" s="41" t="n"/>
      <c r="H178" s="55">
        <f>AJ47</f>
        <v/>
      </c>
      <c r="I178" s="41" t="n"/>
      <c r="J178" s="41" t="n"/>
      <c r="K178" s="52">
        <f>AM47</f>
        <v/>
      </c>
      <c r="L178" s="41" t="n"/>
      <c r="M178" s="41" t="n"/>
      <c r="N178" s="54">
        <f>AX47</f>
        <v/>
      </c>
      <c r="O178" s="41" t="n"/>
      <c r="P178" s="41" t="n"/>
      <c r="Q178" s="53">
        <f>AY47</f>
        <v/>
      </c>
      <c r="R178" s="41" t="n"/>
      <c r="S178" s="53">
        <f>AQ47</f>
        <v/>
      </c>
      <c r="T178" s="41" t="n"/>
      <c r="U178" s="41" t="n"/>
      <c r="V178" s="53">
        <f>BC47</f>
        <v/>
      </c>
      <c r="W178" s="41" t="n"/>
      <c r="X178" s="41" t="n"/>
      <c r="Y178" s="40">
        <f>BD47</f>
        <v/>
      </c>
      <c r="Z178" s="41" t="n"/>
      <c r="AA178" s="40">
        <f>BE47</f>
        <v/>
      </c>
      <c r="AB178" s="41" t="n"/>
      <c r="AC178" s="53">
        <f>BG47</f>
        <v/>
      </c>
      <c r="AD178" s="41" t="n"/>
      <c r="AE178" s="41" t="n"/>
      <c r="AF178" s="15" t="n"/>
    </row>
    <row r="179">
      <c r="B179" s="9" t="n"/>
      <c r="C179" s="57" t="n">
        <v>21</v>
      </c>
      <c r="D179" s="41" t="n"/>
      <c r="E179" s="55">
        <f>AI48</f>
        <v/>
      </c>
      <c r="F179" s="41" t="n"/>
      <c r="G179" s="41" t="n"/>
      <c r="H179" s="55">
        <f>AJ48</f>
        <v/>
      </c>
      <c r="I179" s="41" t="n"/>
      <c r="J179" s="41" t="n"/>
      <c r="K179" s="52">
        <f>AM48</f>
        <v/>
      </c>
      <c r="L179" s="41" t="n"/>
      <c r="M179" s="41" t="n"/>
      <c r="N179" s="54">
        <f>AX48</f>
        <v/>
      </c>
      <c r="O179" s="41" t="n"/>
      <c r="P179" s="41" t="n"/>
      <c r="Q179" s="53">
        <f>AY48</f>
        <v/>
      </c>
      <c r="R179" s="41" t="n"/>
      <c r="S179" s="53">
        <f>AQ48</f>
        <v/>
      </c>
      <c r="T179" s="41" t="n"/>
      <c r="U179" s="41" t="n"/>
      <c r="V179" s="53">
        <f>BC48</f>
        <v/>
      </c>
      <c r="W179" s="41" t="n"/>
      <c r="X179" s="41" t="n"/>
      <c r="Y179" s="40">
        <f>BD48</f>
        <v/>
      </c>
      <c r="Z179" s="41" t="n"/>
      <c r="AA179" s="40">
        <f>BE48</f>
        <v/>
      </c>
      <c r="AB179" s="41" t="n"/>
      <c r="AC179" s="53">
        <f>BG48</f>
        <v/>
      </c>
      <c r="AD179" s="41" t="n"/>
      <c r="AE179" s="41" t="n"/>
      <c r="AF179" s="15" t="n"/>
    </row>
    <row r="180">
      <c r="B180" s="9" t="n"/>
      <c r="C180" s="57" t="n">
        <v>22</v>
      </c>
      <c r="D180" s="41" t="n"/>
      <c r="E180" s="55">
        <f>AI49</f>
        <v/>
      </c>
      <c r="F180" s="41" t="n"/>
      <c r="G180" s="41" t="n"/>
      <c r="H180" s="55">
        <f>AJ49</f>
        <v/>
      </c>
      <c r="I180" s="41" t="n"/>
      <c r="J180" s="41" t="n"/>
      <c r="K180" s="52">
        <f>AM49</f>
        <v/>
      </c>
      <c r="L180" s="41" t="n"/>
      <c r="M180" s="41" t="n"/>
      <c r="N180" s="54">
        <f>AX49</f>
        <v/>
      </c>
      <c r="O180" s="41" t="n"/>
      <c r="P180" s="41" t="n"/>
      <c r="Q180" s="53">
        <f>AY49</f>
        <v/>
      </c>
      <c r="R180" s="41" t="n"/>
      <c r="S180" s="53">
        <f>AQ49</f>
        <v/>
      </c>
      <c r="T180" s="41" t="n"/>
      <c r="U180" s="41" t="n"/>
      <c r="V180" s="53">
        <f>BC49</f>
        <v/>
      </c>
      <c r="W180" s="41" t="n"/>
      <c r="X180" s="41" t="n"/>
      <c r="Y180" s="40">
        <f>BD49</f>
        <v/>
      </c>
      <c r="Z180" s="41" t="n"/>
      <c r="AA180" s="40">
        <f>BE49</f>
        <v/>
      </c>
      <c r="AB180" s="41" t="n"/>
      <c r="AC180" s="53">
        <f>BG49</f>
        <v/>
      </c>
      <c r="AD180" s="41" t="n"/>
      <c r="AE180" s="41" t="n"/>
      <c r="AF180" s="15" t="n"/>
    </row>
    <row r="181">
      <c r="B181" s="9" t="n"/>
      <c r="C181" s="57" t="n">
        <v>23</v>
      </c>
      <c r="D181" s="41" t="n"/>
      <c r="E181" s="55">
        <f>AI50</f>
        <v/>
      </c>
      <c r="F181" s="41" t="n"/>
      <c r="G181" s="41" t="n"/>
      <c r="H181" s="55">
        <f>AJ50</f>
        <v/>
      </c>
      <c r="I181" s="41" t="n"/>
      <c r="J181" s="41" t="n"/>
      <c r="K181" s="52">
        <f>AM50</f>
        <v/>
      </c>
      <c r="L181" s="41" t="n"/>
      <c r="M181" s="41" t="n"/>
      <c r="N181" s="54">
        <f>AX50</f>
        <v/>
      </c>
      <c r="O181" s="41" t="n"/>
      <c r="P181" s="41" t="n"/>
      <c r="Q181" s="53">
        <f>AY50</f>
        <v/>
      </c>
      <c r="R181" s="41" t="n"/>
      <c r="S181" s="53">
        <f>AQ50</f>
        <v/>
      </c>
      <c r="T181" s="41" t="n"/>
      <c r="U181" s="41" t="n"/>
      <c r="V181" s="53">
        <f>BC50</f>
        <v/>
      </c>
      <c r="W181" s="41" t="n"/>
      <c r="X181" s="41" t="n"/>
      <c r="Y181" s="40">
        <f>BD50</f>
        <v/>
      </c>
      <c r="Z181" s="41" t="n"/>
      <c r="AA181" s="40">
        <f>BE50</f>
        <v/>
      </c>
      <c r="AB181" s="41" t="n"/>
      <c r="AC181" s="53">
        <f>BG50</f>
        <v/>
      </c>
      <c r="AD181" s="41" t="n"/>
      <c r="AE181" s="41" t="n"/>
      <c r="AF181" s="15" t="n"/>
    </row>
    <row r="182">
      <c r="B182" s="9" t="n"/>
      <c r="C182" s="57" t="n">
        <v>24</v>
      </c>
      <c r="D182" s="41" t="n"/>
      <c r="E182" s="55">
        <f>AI51</f>
        <v/>
      </c>
      <c r="F182" s="41" t="n"/>
      <c r="G182" s="41" t="n"/>
      <c r="H182" s="55">
        <f>AJ51</f>
        <v/>
      </c>
      <c r="I182" s="41" t="n"/>
      <c r="J182" s="41" t="n"/>
      <c r="K182" s="52">
        <f>AM51</f>
        <v/>
      </c>
      <c r="L182" s="41" t="n"/>
      <c r="M182" s="41" t="n"/>
      <c r="N182" s="54">
        <f>AX51</f>
        <v/>
      </c>
      <c r="O182" s="41" t="n"/>
      <c r="P182" s="41" t="n"/>
      <c r="Q182" s="53">
        <f>AY51</f>
        <v/>
      </c>
      <c r="R182" s="41" t="n"/>
      <c r="S182" s="53">
        <f>AQ51</f>
        <v/>
      </c>
      <c r="T182" s="41" t="n"/>
      <c r="U182" s="41" t="n"/>
      <c r="V182" s="53">
        <f>BC51</f>
        <v/>
      </c>
      <c r="W182" s="41" t="n"/>
      <c r="X182" s="41" t="n"/>
      <c r="Y182" s="40">
        <f>BD51</f>
        <v/>
      </c>
      <c r="Z182" s="41" t="n"/>
      <c r="AA182" s="40">
        <f>BE51</f>
        <v/>
      </c>
      <c r="AB182" s="41" t="n"/>
      <c r="AC182" s="53">
        <f>BG51</f>
        <v/>
      </c>
      <c r="AD182" s="41" t="n"/>
      <c r="AE182" s="41" t="n"/>
      <c r="AF182" s="15" t="n"/>
    </row>
    <row r="183">
      <c r="B183" s="9" t="n"/>
      <c r="C183" s="57" t="n">
        <v>25</v>
      </c>
      <c r="D183" s="41" t="n"/>
      <c r="E183" s="55">
        <f>AI52</f>
        <v/>
      </c>
      <c r="F183" s="41" t="n"/>
      <c r="G183" s="41" t="n"/>
      <c r="H183" s="55">
        <f>AJ52</f>
        <v/>
      </c>
      <c r="I183" s="41" t="n"/>
      <c r="J183" s="41" t="n"/>
      <c r="K183" s="52">
        <f>AM52</f>
        <v/>
      </c>
      <c r="L183" s="41" t="n"/>
      <c r="M183" s="41" t="n"/>
      <c r="N183" s="54">
        <f>AX52</f>
        <v/>
      </c>
      <c r="O183" s="41" t="n"/>
      <c r="P183" s="41" t="n"/>
      <c r="Q183" s="53">
        <f>AY52</f>
        <v/>
      </c>
      <c r="R183" s="41" t="n"/>
      <c r="S183" s="53">
        <f>AQ52</f>
        <v/>
      </c>
      <c r="T183" s="41" t="n"/>
      <c r="U183" s="41" t="n"/>
      <c r="V183" s="53">
        <f>BC52</f>
        <v/>
      </c>
      <c r="W183" s="41" t="n"/>
      <c r="X183" s="41" t="n"/>
      <c r="Y183" s="40">
        <f>BD52</f>
        <v/>
      </c>
      <c r="Z183" s="41" t="n"/>
      <c r="AA183" s="40">
        <f>BE52</f>
        <v/>
      </c>
      <c r="AB183" s="41" t="n"/>
      <c r="AC183" s="53">
        <f>BG52</f>
        <v/>
      </c>
      <c r="AD183" s="41" t="n"/>
      <c r="AE183" s="41" t="n"/>
      <c r="AF183" s="15" t="n"/>
    </row>
    <row r="184">
      <c r="B184" s="9" t="n"/>
      <c r="C184" s="57" t="n">
        <v>26</v>
      </c>
      <c r="D184" s="41" t="n"/>
      <c r="E184" s="55">
        <f>AI53</f>
        <v/>
      </c>
      <c r="F184" s="41" t="n"/>
      <c r="G184" s="41" t="n"/>
      <c r="H184" s="55">
        <f>AJ53</f>
        <v/>
      </c>
      <c r="I184" s="41" t="n"/>
      <c r="J184" s="41" t="n"/>
      <c r="K184" s="52">
        <f>AM53</f>
        <v/>
      </c>
      <c r="L184" s="41" t="n"/>
      <c r="M184" s="41" t="n"/>
      <c r="N184" s="54">
        <f>AX53</f>
        <v/>
      </c>
      <c r="O184" s="41" t="n"/>
      <c r="P184" s="41" t="n"/>
      <c r="Q184" s="53">
        <f>AY53</f>
        <v/>
      </c>
      <c r="R184" s="41" t="n"/>
      <c r="S184" s="53">
        <f>AQ53</f>
        <v/>
      </c>
      <c r="T184" s="41" t="n"/>
      <c r="U184" s="41" t="n"/>
      <c r="V184" s="53">
        <f>BC53</f>
        <v/>
      </c>
      <c r="W184" s="41" t="n"/>
      <c r="X184" s="41" t="n"/>
      <c r="Y184" s="40">
        <f>BD53</f>
        <v/>
      </c>
      <c r="Z184" s="41" t="n"/>
      <c r="AA184" s="40">
        <f>BE53</f>
        <v/>
      </c>
      <c r="AB184" s="41" t="n"/>
      <c r="AC184" s="53">
        <f>BG53</f>
        <v/>
      </c>
      <c r="AD184" s="41" t="n"/>
      <c r="AE184" s="41" t="n"/>
      <c r="AF184" s="15" t="n"/>
    </row>
    <row r="185">
      <c r="B185" s="9" t="n"/>
      <c r="C185" s="57" t="n">
        <v>27</v>
      </c>
      <c r="D185" s="41" t="n"/>
      <c r="E185" s="55">
        <f>AI54</f>
        <v/>
      </c>
      <c r="F185" s="41" t="n"/>
      <c r="G185" s="41" t="n"/>
      <c r="H185" s="55">
        <f>AJ54</f>
        <v/>
      </c>
      <c r="I185" s="41" t="n"/>
      <c r="J185" s="41" t="n"/>
      <c r="K185" s="52">
        <f>AM54</f>
        <v/>
      </c>
      <c r="L185" s="41" t="n"/>
      <c r="M185" s="41" t="n"/>
      <c r="N185" s="54">
        <f>AX54</f>
        <v/>
      </c>
      <c r="O185" s="41" t="n"/>
      <c r="P185" s="41" t="n"/>
      <c r="Q185" s="53">
        <f>AY54</f>
        <v/>
      </c>
      <c r="R185" s="41" t="n"/>
      <c r="S185" s="53">
        <f>AQ54</f>
        <v/>
      </c>
      <c r="T185" s="41" t="n"/>
      <c r="U185" s="41" t="n"/>
      <c r="V185" s="53">
        <f>BC54</f>
        <v/>
      </c>
      <c r="W185" s="41" t="n"/>
      <c r="X185" s="41" t="n"/>
      <c r="Y185" s="40">
        <f>BD54</f>
        <v/>
      </c>
      <c r="Z185" s="41" t="n"/>
      <c r="AA185" s="40">
        <f>BE54</f>
        <v/>
      </c>
      <c r="AB185" s="41" t="n"/>
      <c r="AC185" s="53">
        <f>BG54</f>
        <v/>
      </c>
      <c r="AD185" s="41" t="n"/>
      <c r="AE185" s="41" t="n"/>
      <c r="AF185" s="15" t="n"/>
    </row>
    <row r="186">
      <c r="B186" s="9" t="n"/>
      <c r="C186" s="57" t="n">
        <v>28</v>
      </c>
      <c r="D186" s="41" t="n"/>
      <c r="E186" s="55">
        <f>AI55</f>
        <v/>
      </c>
      <c r="F186" s="41" t="n"/>
      <c r="G186" s="41" t="n"/>
      <c r="H186" s="55">
        <f>AJ55</f>
        <v/>
      </c>
      <c r="I186" s="41" t="n"/>
      <c r="J186" s="41" t="n"/>
      <c r="K186" s="52">
        <f>AM55</f>
        <v/>
      </c>
      <c r="L186" s="41" t="n"/>
      <c r="M186" s="41" t="n"/>
      <c r="N186" s="54">
        <f>AX55</f>
        <v/>
      </c>
      <c r="O186" s="41" t="n"/>
      <c r="P186" s="41" t="n"/>
      <c r="Q186" s="53">
        <f>AY55</f>
        <v/>
      </c>
      <c r="R186" s="41" t="n"/>
      <c r="S186" s="53">
        <f>AQ55</f>
        <v/>
      </c>
      <c r="T186" s="41" t="n"/>
      <c r="U186" s="41" t="n"/>
      <c r="V186" s="53">
        <f>BC55</f>
        <v/>
      </c>
      <c r="W186" s="41" t="n"/>
      <c r="X186" s="41" t="n"/>
      <c r="Y186" s="40">
        <f>BD55</f>
        <v/>
      </c>
      <c r="Z186" s="41" t="n"/>
      <c r="AA186" s="40">
        <f>BE55</f>
        <v/>
      </c>
      <c r="AB186" s="41" t="n"/>
      <c r="AC186" s="53">
        <f>BG55</f>
        <v/>
      </c>
      <c r="AD186" s="41" t="n"/>
      <c r="AE186" s="41" t="n"/>
      <c r="AF186" s="15" t="n"/>
    </row>
    <row r="187">
      <c r="B187" s="9" t="n"/>
      <c r="C187" s="57" t="n">
        <v>29</v>
      </c>
      <c r="D187" s="41" t="n"/>
      <c r="E187" s="55">
        <f>AI56</f>
        <v/>
      </c>
      <c r="F187" s="41" t="n"/>
      <c r="G187" s="41" t="n"/>
      <c r="H187" s="55">
        <f>AJ56</f>
        <v/>
      </c>
      <c r="I187" s="41" t="n"/>
      <c r="J187" s="41" t="n"/>
      <c r="K187" s="52">
        <f>AM56</f>
        <v/>
      </c>
      <c r="L187" s="41" t="n"/>
      <c r="M187" s="41" t="n"/>
      <c r="N187" s="54">
        <f>AX56</f>
        <v/>
      </c>
      <c r="O187" s="41" t="n"/>
      <c r="P187" s="41" t="n"/>
      <c r="Q187" s="53">
        <f>AY56</f>
        <v/>
      </c>
      <c r="R187" s="41" t="n"/>
      <c r="S187" s="53">
        <f>AQ56</f>
        <v/>
      </c>
      <c r="T187" s="41" t="n"/>
      <c r="U187" s="41" t="n"/>
      <c r="V187" s="53">
        <f>BC56</f>
        <v/>
      </c>
      <c r="W187" s="41" t="n"/>
      <c r="X187" s="41" t="n"/>
      <c r="Y187" s="40">
        <f>BD56</f>
        <v/>
      </c>
      <c r="Z187" s="41" t="n"/>
      <c r="AA187" s="40">
        <f>BE56</f>
        <v/>
      </c>
      <c r="AB187" s="41" t="n"/>
      <c r="AC187" s="53">
        <f>BG56</f>
        <v/>
      </c>
      <c r="AD187" s="41" t="n"/>
      <c r="AE187" s="41" t="n"/>
      <c r="AF187" s="15" t="n"/>
    </row>
    <row r="188">
      <c r="B188" s="9" t="n"/>
      <c r="C188" s="57" t="n">
        <v>30</v>
      </c>
      <c r="D188" s="41" t="n"/>
      <c r="E188" s="55">
        <f>AI57</f>
        <v/>
      </c>
      <c r="F188" s="41" t="n"/>
      <c r="G188" s="41" t="n"/>
      <c r="H188" s="55">
        <f>AJ57</f>
        <v/>
      </c>
      <c r="I188" s="41" t="n"/>
      <c r="J188" s="41" t="n"/>
      <c r="K188" s="52">
        <f>AM57</f>
        <v/>
      </c>
      <c r="L188" s="41" t="n"/>
      <c r="M188" s="41" t="n"/>
      <c r="N188" s="54">
        <f>AX57</f>
        <v/>
      </c>
      <c r="O188" s="41" t="n"/>
      <c r="P188" s="41" t="n"/>
      <c r="Q188" s="53">
        <f>AY57</f>
        <v/>
      </c>
      <c r="R188" s="41" t="n"/>
      <c r="S188" s="53">
        <f>AQ57</f>
        <v/>
      </c>
      <c r="T188" s="41" t="n"/>
      <c r="U188" s="41" t="n"/>
      <c r="V188" s="53">
        <f>BC57</f>
        <v/>
      </c>
      <c r="W188" s="41" t="n"/>
      <c r="X188" s="41" t="n"/>
      <c r="Y188" s="40">
        <f>BD57</f>
        <v/>
      </c>
      <c r="Z188" s="41" t="n"/>
      <c r="AA188" s="40">
        <f>BE57</f>
        <v/>
      </c>
      <c r="AB188" s="41" t="n"/>
      <c r="AC188" s="53">
        <f>BG57</f>
        <v/>
      </c>
      <c r="AD188" s="41" t="n"/>
      <c r="AE188" s="41" t="n"/>
      <c r="AF188" s="15" t="n"/>
    </row>
    <row r="189">
      <c r="B189" s="9" t="n"/>
      <c r="C189" s="57" t="n">
        <v>31</v>
      </c>
      <c r="D189" s="41" t="n"/>
      <c r="E189" s="55">
        <f>AI58</f>
        <v/>
      </c>
      <c r="F189" s="41" t="n"/>
      <c r="G189" s="41" t="n"/>
      <c r="H189" s="55">
        <f>AJ58</f>
        <v/>
      </c>
      <c r="I189" s="41" t="n"/>
      <c r="J189" s="41" t="n"/>
      <c r="K189" s="52">
        <f>AM58</f>
        <v/>
      </c>
      <c r="L189" s="41" t="n"/>
      <c r="M189" s="41" t="n"/>
      <c r="N189" s="54">
        <f>AX58</f>
        <v/>
      </c>
      <c r="O189" s="41" t="n"/>
      <c r="P189" s="41" t="n"/>
      <c r="Q189" s="53">
        <f>AY58</f>
        <v/>
      </c>
      <c r="R189" s="41" t="n"/>
      <c r="S189" s="53">
        <f>AQ58</f>
        <v/>
      </c>
      <c r="T189" s="41" t="n"/>
      <c r="U189" s="41" t="n"/>
      <c r="V189" s="53">
        <f>BC58</f>
        <v/>
      </c>
      <c r="W189" s="41" t="n"/>
      <c r="X189" s="41" t="n"/>
      <c r="Y189" s="40">
        <f>BD58</f>
        <v/>
      </c>
      <c r="Z189" s="41" t="n"/>
      <c r="AA189" s="40">
        <f>BE58</f>
        <v/>
      </c>
      <c r="AB189" s="41" t="n"/>
      <c r="AC189" s="53">
        <f>BG58</f>
        <v/>
      </c>
      <c r="AD189" s="41" t="n"/>
      <c r="AE189" s="41" t="n"/>
      <c r="AF189" s="15" t="n"/>
    </row>
    <row r="190">
      <c r="B190" s="9" t="n"/>
      <c r="C190" s="57" t="n">
        <v>32</v>
      </c>
      <c r="D190" s="41" t="n"/>
      <c r="E190" s="55">
        <f>AI59</f>
        <v/>
      </c>
      <c r="F190" s="41" t="n"/>
      <c r="G190" s="41" t="n"/>
      <c r="H190" s="55">
        <f>AJ59</f>
        <v/>
      </c>
      <c r="I190" s="41" t="n"/>
      <c r="J190" s="41" t="n"/>
      <c r="K190" s="52">
        <f>AM59</f>
        <v/>
      </c>
      <c r="L190" s="41" t="n"/>
      <c r="M190" s="41" t="n"/>
      <c r="N190" s="54">
        <f>AX59</f>
        <v/>
      </c>
      <c r="O190" s="41" t="n"/>
      <c r="P190" s="41" t="n"/>
      <c r="Q190" s="53">
        <f>AY59</f>
        <v/>
      </c>
      <c r="R190" s="41" t="n"/>
      <c r="S190" s="53">
        <f>AQ59</f>
        <v/>
      </c>
      <c r="T190" s="41" t="n"/>
      <c r="U190" s="41" t="n"/>
      <c r="V190" s="53">
        <f>BC59</f>
        <v/>
      </c>
      <c r="W190" s="41" t="n"/>
      <c r="X190" s="41" t="n"/>
      <c r="Y190" s="40">
        <f>BD59</f>
        <v/>
      </c>
      <c r="Z190" s="41" t="n"/>
      <c r="AA190" s="40">
        <f>BE59</f>
        <v/>
      </c>
      <c r="AB190" s="41" t="n"/>
      <c r="AC190" s="53">
        <f>BG59</f>
        <v/>
      </c>
      <c r="AD190" s="41" t="n"/>
      <c r="AE190" s="41" t="n"/>
      <c r="AF190" s="15" t="n"/>
    </row>
    <row r="191">
      <c r="B191" s="9" t="n"/>
      <c r="C191" s="57" t="n">
        <v>33</v>
      </c>
      <c r="D191" s="41" t="n"/>
      <c r="E191" s="55">
        <f>AI60</f>
        <v/>
      </c>
      <c r="F191" s="41" t="n"/>
      <c r="G191" s="41" t="n"/>
      <c r="H191" s="55">
        <f>AJ60</f>
        <v/>
      </c>
      <c r="I191" s="41" t="n"/>
      <c r="J191" s="41" t="n"/>
      <c r="K191" s="52">
        <f>AM60</f>
        <v/>
      </c>
      <c r="L191" s="41" t="n"/>
      <c r="M191" s="41" t="n"/>
      <c r="N191" s="54">
        <f>AX60</f>
        <v/>
      </c>
      <c r="O191" s="41" t="n"/>
      <c r="P191" s="41" t="n"/>
      <c r="Q191" s="53">
        <f>AY60</f>
        <v/>
      </c>
      <c r="R191" s="41" t="n"/>
      <c r="S191" s="53">
        <f>AQ60</f>
        <v/>
      </c>
      <c r="T191" s="41" t="n"/>
      <c r="U191" s="41" t="n"/>
      <c r="V191" s="53">
        <f>BC60</f>
        <v/>
      </c>
      <c r="W191" s="41" t="n"/>
      <c r="X191" s="41" t="n"/>
      <c r="Y191" s="40">
        <f>BD60</f>
        <v/>
      </c>
      <c r="Z191" s="41" t="n"/>
      <c r="AA191" s="40">
        <f>BE60</f>
        <v/>
      </c>
      <c r="AB191" s="41" t="n"/>
      <c r="AC191" s="53">
        <f>BG60</f>
        <v/>
      </c>
      <c r="AD191" s="41" t="n"/>
      <c r="AE191" s="41" t="n"/>
      <c r="AF191" s="15" t="n"/>
    </row>
    <row r="192">
      <c r="B192" s="9" t="n"/>
      <c r="C192" s="57" t="n">
        <v>34</v>
      </c>
      <c r="D192" s="41" t="n"/>
      <c r="E192" s="55">
        <f>AI61</f>
        <v/>
      </c>
      <c r="F192" s="41" t="n"/>
      <c r="G192" s="41" t="n"/>
      <c r="H192" s="55">
        <f>AJ61</f>
        <v/>
      </c>
      <c r="I192" s="41" t="n"/>
      <c r="J192" s="41" t="n"/>
      <c r="K192" s="52">
        <f>AM61</f>
        <v/>
      </c>
      <c r="L192" s="41" t="n"/>
      <c r="M192" s="41" t="n"/>
      <c r="N192" s="54">
        <f>AX61</f>
        <v/>
      </c>
      <c r="O192" s="41" t="n"/>
      <c r="P192" s="41" t="n"/>
      <c r="Q192" s="53">
        <f>AY61</f>
        <v/>
      </c>
      <c r="R192" s="41" t="n"/>
      <c r="S192" s="53">
        <f>AQ61</f>
        <v/>
      </c>
      <c r="T192" s="41" t="n"/>
      <c r="U192" s="41" t="n"/>
      <c r="V192" s="53">
        <f>BC61</f>
        <v/>
      </c>
      <c r="W192" s="41" t="n"/>
      <c r="X192" s="41" t="n"/>
      <c r="Y192" s="40">
        <f>BD61</f>
        <v/>
      </c>
      <c r="Z192" s="41" t="n"/>
      <c r="AA192" s="40">
        <f>BE61</f>
        <v/>
      </c>
      <c r="AB192" s="41" t="n"/>
      <c r="AC192" s="53">
        <f>BG61</f>
        <v/>
      </c>
      <c r="AD192" s="41" t="n"/>
      <c r="AE192" s="41" t="n"/>
      <c r="AF192" s="15" t="n"/>
    </row>
    <row r="193">
      <c r="B193" s="9" t="n"/>
      <c r="C193" s="57" t="n">
        <v>35</v>
      </c>
      <c r="D193" s="41" t="n"/>
      <c r="E193" s="55">
        <f>AI62</f>
        <v/>
      </c>
      <c r="F193" s="41" t="n"/>
      <c r="G193" s="41" t="n"/>
      <c r="H193" s="55">
        <f>AJ62</f>
        <v/>
      </c>
      <c r="I193" s="41" t="n"/>
      <c r="J193" s="41" t="n"/>
      <c r="K193" s="52">
        <f>AM62</f>
        <v/>
      </c>
      <c r="L193" s="41" t="n"/>
      <c r="M193" s="41" t="n"/>
      <c r="N193" s="54">
        <f>AX62</f>
        <v/>
      </c>
      <c r="O193" s="41" t="n"/>
      <c r="P193" s="41" t="n"/>
      <c r="Q193" s="53">
        <f>AY62</f>
        <v/>
      </c>
      <c r="R193" s="41" t="n"/>
      <c r="S193" s="53">
        <f>AQ62</f>
        <v/>
      </c>
      <c r="T193" s="41" t="n"/>
      <c r="U193" s="41" t="n"/>
      <c r="V193" s="53">
        <f>BC62</f>
        <v/>
      </c>
      <c r="W193" s="41" t="n"/>
      <c r="X193" s="41" t="n"/>
      <c r="Y193" s="40">
        <f>BD62</f>
        <v/>
      </c>
      <c r="Z193" s="41" t="n"/>
      <c r="AA193" s="40">
        <f>BE62</f>
        <v/>
      </c>
      <c r="AB193" s="41" t="n"/>
      <c r="AC193" s="53">
        <f>BG62</f>
        <v/>
      </c>
      <c r="AD193" s="41" t="n"/>
      <c r="AE193" s="41" t="n"/>
      <c r="AF193" s="15" t="n"/>
    </row>
    <row r="194">
      <c r="B194" s="9" t="n"/>
      <c r="C194" s="57" t="n">
        <v>36</v>
      </c>
      <c r="D194" s="41" t="n"/>
      <c r="E194" s="55">
        <f>AI63</f>
        <v/>
      </c>
      <c r="F194" s="41" t="n"/>
      <c r="G194" s="41" t="n"/>
      <c r="H194" s="55">
        <f>AJ63</f>
        <v/>
      </c>
      <c r="I194" s="41" t="n"/>
      <c r="J194" s="41" t="n"/>
      <c r="K194" s="52">
        <f>AM63</f>
        <v/>
      </c>
      <c r="L194" s="41" t="n"/>
      <c r="M194" s="41" t="n"/>
      <c r="N194" s="54">
        <f>AX63</f>
        <v/>
      </c>
      <c r="O194" s="41" t="n"/>
      <c r="P194" s="41" t="n"/>
      <c r="Q194" s="53">
        <f>AY63</f>
        <v/>
      </c>
      <c r="R194" s="41" t="n"/>
      <c r="S194" s="53">
        <f>AQ63</f>
        <v/>
      </c>
      <c r="T194" s="41" t="n"/>
      <c r="U194" s="41" t="n"/>
      <c r="V194" s="53">
        <f>BC63</f>
        <v/>
      </c>
      <c r="W194" s="41" t="n"/>
      <c r="X194" s="41" t="n"/>
      <c r="Y194" s="40">
        <f>BD63</f>
        <v/>
      </c>
      <c r="Z194" s="41" t="n"/>
      <c r="AA194" s="40">
        <f>BE63</f>
        <v/>
      </c>
      <c r="AB194" s="41" t="n"/>
      <c r="AC194" s="53">
        <f>BG63</f>
        <v/>
      </c>
      <c r="AD194" s="41" t="n"/>
      <c r="AE194" s="41" t="n"/>
      <c r="AF194" s="15" t="n"/>
    </row>
    <row r="195">
      <c r="B195" s="9" t="n"/>
      <c r="C195" s="57" t="n">
        <v>37</v>
      </c>
      <c r="D195" s="41" t="n"/>
      <c r="E195" s="55">
        <f>AI64</f>
        <v/>
      </c>
      <c r="F195" s="41" t="n"/>
      <c r="G195" s="41" t="n"/>
      <c r="H195" s="55">
        <f>AJ64</f>
        <v/>
      </c>
      <c r="I195" s="41" t="n"/>
      <c r="J195" s="41" t="n"/>
      <c r="K195" s="52">
        <f>AM64</f>
        <v/>
      </c>
      <c r="L195" s="41" t="n"/>
      <c r="M195" s="41" t="n"/>
      <c r="N195" s="54">
        <f>AX64</f>
        <v/>
      </c>
      <c r="O195" s="41" t="n"/>
      <c r="P195" s="41" t="n"/>
      <c r="Q195" s="53">
        <f>AY64</f>
        <v/>
      </c>
      <c r="R195" s="41" t="n"/>
      <c r="S195" s="53">
        <f>AQ64</f>
        <v/>
      </c>
      <c r="T195" s="41" t="n"/>
      <c r="U195" s="41" t="n"/>
      <c r="V195" s="53">
        <f>BC64</f>
        <v/>
      </c>
      <c r="W195" s="41" t="n"/>
      <c r="X195" s="41" t="n"/>
      <c r="Y195" s="40">
        <f>BD64</f>
        <v/>
      </c>
      <c r="Z195" s="41" t="n"/>
      <c r="AA195" s="40">
        <f>BE64</f>
        <v/>
      </c>
      <c r="AB195" s="41" t="n"/>
      <c r="AC195" s="53">
        <f>BG64</f>
        <v/>
      </c>
      <c r="AD195" s="41" t="n"/>
      <c r="AE195" s="41" t="n"/>
      <c r="AF195" s="15" t="n"/>
    </row>
    <row r="196">
      <c r="B196" s="9" t="n"/>
      <c r="C196" s="57" t="n">
        <v>38</v>
      </c>
      <c r="D196" s="41" t="n"/>
      <c r="E196" s="55">
        <f>AI65</f>
        <v/>
      </c>
      <c r="F196" s="41" t="n"/>
      <c r="G196" s="41" t="n"/>
      <c r="H196" s="55">
        <f>AJ65</f>
        <v/>
      </c>
      <c r="I196" s="41" t="n"/>
      <c r="J196" s="41" t="n"/>
      <c r="K196" s="52">
        <f>AM65</f>
        <v/>
      </c>
      <c r="L196" s="41" t="n"/>
      <c r="M196" s="41" t="n"/>
      <c r="N196" s="54">
        <f>AX65</f>
        <v/>
      </c>
      <c r="O196" s="41" t="n"/>
      <c r="P196" s="41" t="n"/>
      <c r="Q196" s="53">
        <f>AY65</f>
        <v/>
      </c>
      <c r="R196" s="41" t="n"/>
      <c r="S196" s="53">
        <f>AQ65</f>
        <v/>
      </c>
      <c r="T196" s="41" t="n"/>
      <c r="U196" s="41" t="n"/>
      <c r="V196" s="53">
        <f>BC65</f>
        <v/>
      </c>
      <c r="W196" s="41" t="n"/>
      <c r="X196" s="41" t="n"/>
      <c r="Y196" s="40">
        <f>BD65</f>
        <v/>
      </c>
      <c r="Z196" s="41" t="n"/>
      <c r="AA196" s="40">
        <f>BE65</f>
        <v/>
      </c>
      <c r="AB196" s="41" t="n"/>
      <c r="AC196" s="53">
        <f>BG65</f>
        <v/>
      </c>
      <c r="AD196" s="41" t="n"/>
      <c r="AE196" s="41" t="n"/>
      <c r="AF196" s="15" t="n"/>
    </row>
    <row r="197">
      <c r="B197" s="9" t="n"/>
      <c r="C197" s="57" t="n">
        <v>39</v>
      </c>
      <c r="D197" s="41" t="n"/>
      <c r="E197" s="55">
        <f>AI66</f>
        <v/>
      </c>
      <c r="F197" s="41" t="n"/>
      <c r="G197" s="41" t="n"/>
      <c r="H197" s="55">
        <f>AJ66</f>
        <v/>
      </c>
      <c r="I197" s="41" t="n"/>
      <c r="J197" s="41" t="n"/>
      <c r="K197" s="52">
        <f>AM66</f>
        <v/>
      </c>
      <c r="L197" s="41" t="n"/>
      <c r="M197" s="41" t="n"/>
      <c r="N197" s="54">
        <f>AX66</f>
        <v/>
      </c>
      <c r="O197" s="41" t="n"/>
      <c r="P197" s="41" t="n"/>
      <c r="Q197" s="53">
        <f>AY66</f>
        <v/>
      </c>
      <c r="R197" s="41" t="n"/>
      <c r="S197" s="53">
        <f>AQ66</f>
        <v/>
      </c>
      <c r="T197" s="41" t="n"/>
      <c r="U197" s="41" t="n"/>
      <c r="V197" s="53">
        <f>BC66</f>
        <v/>
      </c>
      <c r="W197" s="41" t="n"/>
      <c r="X197" s="41" t="n"/>
      <c r="Y197" s="40">
        <f>BD66</f>
        <v/>
      </c>
      <c r="Z197" s="41" t="n"/>
      <c r="AA197" s="40">
        <f>BE66</f>
        <v/>
      </c>
      <c r="AB197" s="41" t="n"/>
      <c r="AC197" s="53">
        <f>BG66</f>
        <v/>
      </c>
      <c r="AD197" s="41" t="n"/>
      <c r="AE197" s="41" t="n"/>
      <c r="AF197" s="15" t="n"/>
    </row>
    <row r="198">
      <c r="B198" s="9" t="n"/>
      <c r="C198" s="57" t="n">
        <v>40</v>
      </c>
      <c r="D198" s="41" t="n"/>
      <c r="E198" s="55">
        <f>AI67</f>
        <v/>
      </c>
      <c r="F198" s="41" t="n"/>
      <c r="G198" s="41" t="n"/>
      <c r="H198" s="55">
        <f>AJ67</f>
        <v/>
      </c>
      <c r="I198" s="41" t="n"/>
      <c r="J198" s="41" t="n"/>
      <c r="K198" s="52">
        <f>AM67</f>
        <v/>
      </c>
      <c r="L198" s="41" t="n"/>
      <c r="M198" s="41" t="n"/>
      <c r="N198" s="54">
        <f>AX67</f>
        <v/>
      </c>
      <c r="O198" s="41" t="n"/>
      <c r="P198" s="41" t="n"/>
      <c r="Q198" s="53">
        <f>AY67</f>
        <v/>
      </c>
      <c r="R198" s="41" t="n"/>
      <c r="S198" s="53">
        <f>AQ67</f>
        <v/>
      </c>
      <c r="T198" s="41" t="n"/>
      <c r="U198" s="41" t="n"/>
      <c r="V198" s="53">
        <f>BC67</f>
        <v/>
      </c>
      <c r="W198" s="41" t="n"/>
      <c r="X198" s="41" t="n"/>
      <c r="Y198" s="40">
        <f>BD67</f>
        <v/>
      </c>
      <c r="Z198" s="41" t="n"/>
      <c r="AA198" s="40">
        <f>BE67</f>
        <v/>
      </c>
      <c r="AB198" s="41" t="n"/>
      <c r="AC198" s="53">
        <f>BG67</f>
        <v/>
      </c>
      <c r="AD198" s="41" t="n"/>
      <c r="AE198" s="41" t="n"/>
      <c r="AF198" s="15" t="n"/>
    </row>
    <row r="199">
      <c r="B199" s="9" t="n"/>
      <c r="C199" s="69" t="n">
        <v>41</v>
      </c>
      <c r="D199" s="46" t="n"/>
      <c r="E199" s="70">
        <f>AI68</f>
        <v/>
      </c>
      <c r="F199" s="46" t="n"/>
      <c r="G199" s="46" t="n"/>
      <c r="H199" s="70">
        <f>AJ68</f>
        <v/>
      </c>
      <c r="I199" s="46" t="n"/>
      <c r="J199" s="46" t="n"/>
      <c r="K199" s="59">
        <f>AM68</f>
        <v/>
      </c>
      <c r="L199" s="46" t="n"/>
      <c r="M199" s="46" t="n"/>
      <c r="N199" s="74">
        <f>AX68</f>
        <v/>
      </c>
      <c r="O199" s="46" t="n"/>
      <c r="P199" s="46" t="n"/>
      <c r="Q199" s="60">
        <f>AY68</f>
        <v/>
      </c>
      <c r="R199" s="46" t="n"/>
      <c r="S199" s="60">
        <f>AQ68</f>
        <v/>
      </c>
      <c r="T199" s="46" t="n"/>
      <c r="U199" s="46" t="n"/>
      <c r="V199" s="60">
        <f>BC68</f>
        <v/>
      </c>
      <c r="W199" s="46" t="n"/>
      <c r="X199" s="46" t="n"/>
      <c r="Y199" s="45">
        <f>BD68</f>
        <v/>
      </c>
      <c r="Z199" s="46" t="n"/>
      <c r="AA199" s="45">
        <f>BE68</f>
        <v/>
      </c>
      <c r="AB199" s="46" t="n"/>
      <c r="AC199" s="60">
        <f>BG68</f>
        <v/>
      </c>
      <c r="AD199" s="46" t="n"/>
      <c r="AE199" s="46" t="n"/>
      <c r="AF199" s="15" t="n"/>
    </row>
    <row r="200">
      <c r="B200" s="9" t="n"/>
      <c r="AF200" s="15" t="n"/>
    </row>
    <row r="201">
      <c r="B201" s="9" t="n"/>
      <c r="C201" s="25" t="inlineStr">
        <is>
          <t>Total immediate settlement</t>
        </is>
      </c>
      <c r="O201" s="26" t="inlineStr">
        <is>
          <t>Si = Σ Si</t>
        </is>
      </c>
      <c r="X201" s="27" t="inlineStr">
        <is>
          <t>Si =</t>
        </is>
      </c>
      <c r="Y201" s="13" t="n"/>
      <c r="Z201" s="13" t="n"/>
      <c r="AA201" s="30">
        <f>SUM(BG28:BG68)</f>
        <v/>
      </c>
      <c r="AB201" s="13" t="n"/>
      <c r="AC201" s="13" t="n"/>
      <c r="AD201" s="25" t="inlineStr">
        <is>
          <t>mm</t>
        </is>
      </c>
      <c r="AF201" s="15" t="n"/>
    </row>
    <row r="202">
      <c r="B202" s="9" t="n"/>
      <c r="C202" s="25" t="inlineStr">
        <is>
          <t xml:space="preserve">   - contribution of sand layers</t>
        </is>
      </c>
      <c r="O202" s="26" t="inlineStr"/>
      <c r="X202" s="27" t="inlineStr"/>
      <c r="Y202" s="13" t="n"/>
      <c r="Z202" s="13" t="n"/>
      <c r="AA202" s="62">
        <f>SUMPRODUCT(--(AM28:AM68="Sand"),BG28:BG68)</f>
        <v/>
      </c>
      <c r="AB202" s="13" t="n"/>
      <c r="AC202" s="13" t="n"/>
      <c r="AD202" s="25" t="inlineStr">
        <is>
          <t>mm</t>
        </is>
      </c>
      <c r="AF202" s="15" t="n"/>
    </row>
    <row r="203">
      <c r="B203" s="9" t="n"/>
      <c r="C203" s="25" t="inlineStr">
        <is>
          <t xml:space="preserve">   - contribution of silt/clay layers</t>
        </is>
      </c>
      <c r="O203" s="26" t="inlineStr"/>
      <c r="X203" s="27" t="inlineStr"/>
      <c r="Y203" s="13" t="n"/>
      <c r="Z203" s="13" t="n"/>
      <c r="AA203" s="62">
        <f>$AA$201-$AA$202</f>
        <v/>
      </c>
      <c r="AB203" s="13" t="n"/>
      <c r="AC203" s="13" t="n"/>
      <c r="AD203" s="25" t="inlineStr">
        <is>
          <t>mm</t>
        </is>
      </c>
      <c r="AF203" s="15" t="n"/>
    </row>
    <row r="204">
      <c r="B204" s="9" t="n"/>
      <c r="AF204" s="15" t="n"/>
    </row>
    <row r="205">
      <c r="B205" s="9" t="n"/>
      <c r="AF205" s="15" t="n"/>
    </row>
    <row r="206">
      <c r="B206" s="9" t="n"/>
      <c r="AF206" s="15" t="n"/>
    </row>
    <row r="207">
      <c r="B207" s="9" t="n"/>
      <c r="AF207" s="15" t="n"/>
    </row>
    <row r="208">
      <c r="B208" s="9" t="n"/>
      <c r="AF208" s="15" t="n"/>
    </row>
    <row r="209">
      <c r="B209" s="9" t="n"/>
      <c r="AF209" s="15" t="n"/>
    </row>
    <row r="210">
      <c r="B210" s="9" t="n"/>
      <c r="AF210" s="15" t="n"/>
    </row>
    <row r="211">
      <c r="B211" s="9" t="n"/>
      <c r="AF211" s="15" t="n"/>
    </row>
    <row r="212">
      <c r="B212" s="9" t="n"/>
      <c r="AF212" s="15" t="n"/>
    </row>
    <row r="213">
      <c r="B213" s="9" t="n"/>
      <c r="AF213" s="15" t="n"/>
    </row>
    <row r="214">
      <c r="B214" s="9" t="n"/>
      <c r="AF214" s="15" t="n"/>
    </row>
    <row r="215">
      <c r="B215" s="9" t="n"/>
      <c r="AF215" s="15" t="n"/>
    </row>
    <row r="216">
      <c r="B216" s="9" t="n"/>
      <c r="AF216" s="15" t="n"/>
    </row>
    <row r="217">
      <c r="B217" s="47" t="n"/>
      <c r="C217" s="48" t="n"/>
      <c r="D217" s="48" t="n"/>
      <c r="E217" s="48" t="n"/>
      <c r="F217" s="48" t="n"/>
      <c r="G217" s="48" t="n"/>
      <c r="H217" s="48" t="n"/>
      <c r="I217" s="48" t="n"/>
      <c r="J217" s="48" t="n"/>
      <c r="K217" s="48" t="n"/>
      <c r="L217" s="48" t="n"/>
      <c r="M217" s="48" t="n"/>
      <c r="N217" s="48" t="n"/>
      <c r="O217" s="48" t="n"/>
      <c r="P217" s="48" t="n"/>
      <c r="Q217" s="48" t="n"/>
      <c r="R217" s="48" t="n"/>
      <c r="S217" s="48" t="n"/>
      <c r="T217" s="48" t="n"/>
      <c r="U217" s="48" t="n"/>
      <c r="V217" s="48" t="n"/>
      <c r="W217" s="48" t="n"/>
      <c r="X217" s="49" t="inlineStr">
        <is>
          <t>Sheet :</t>
        </is>
      </c>
      <c r="Y217" s="48" t="n"/>
      <c r="Z217" s="48" t="n"/>
      <c r="AA217" s="48" t="n"/>
      <c r="AB217" s="49" t="n">
        <v>3</v>
      </c>
      <c r="AC217" s="48" t="n"/>
      <c r="AD217" s="48" t="n"/>
      <c r="AE217" s="48" t="n"/>
      <c r="AF217" s="50" t="n"/>
    </row>
    <row r="218">
      <c r="B218" s="1" t="n"/>
      <c r="C218" s="2" t="inlineStr">
        <is>
          <t>PROJECT :</t>
        </is>
      </c>
      <c r="D218" s="3" t="n"/>
      <c r="E218" s="3" t="n"/>
      <c r="F218" s="3" t="n"/>
      <c r="G218" s="3" t="n"/>
      <c r="H218" s="4" t="inlineStr">
        <is>
          <t>GEOTHERMAL WELLPAD PSPE BORA PULU - SIGI, CENTRAL SULAWESI</t>
        </is>
      </c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5" t="inlineStr">
        <is>
          <t>Prepared by :</t>
        </is>
      </c>
      <c r="Y218" s="6" t="n"/>
      <c r="Z218" s="6" t="n"/>
      <c r="AA218" s="6" t="n"/>
      <c r="AB218" s="7" t="inlineStr">
        <is>
          <t>Date</t>
        </is>
      </c>
      <c r="AC218" s="6" t="n"/>
      <c r="AD218" s="6" t="n"/>
      <c r="AE218" s="6" t="n"/>
      <c r="AF218" s="8" t="n"/>
    </row>
    <row r="219">
      <c r="B219" s="9" t="n"/>
      <c r="C219" s="10" t="inlineStr">
        <is>
          <t>CLIENT :</t>
        </is>
      </c>
      <c r="H219" s="11" t="inlineStr">
        <is>
          <t>PT EDC PANAS BUMI INDONESIA</t>
        </is>
      </c>
      <c r="X219" s="12" t="inlineStr">
        <is>
          <t>DF</t>
        </is>
      </c>
      <c r="Y219" s="13" t="n"/>
      <c r="Z219" s="13" t="n"/>
      <c r="AA219" s="13" t="n"/>
      <c r="AB219" s="14" t="n">
        <v>46301</v>
      </c>
      <c r="AC219" s="13" t="n"/>
      <c r="AD219" s="13" t="n"/>
      <c r="AE219" s="13" t="n"/>
      <c r="AF219" s="15" t="n"/>
    </row>
    <row r="220">
      <c r="B220" s="9" t="n"/>
      <c r="C220" s="10" t="inlineStr">
        <is>
          <t>LOCATION :</t>
        </is>
      </c>
      <c r="H220" s="11" t="inlineStr">
        <is>
          <t>BH-03 (Log Yard)</t>
        </is>
      </c>
      <c r="X220" s="12" t="inlineStr">
        <is>
          <t>Verified by :</t>
        </is>
      </c>
      <c r="Y220" s="13" t="n"/>
      <c r="Z220" s="13" t="n"/>
      <c r="AA220" s="13" t="n"/>
      <c r="AB220" s="14" t="inlineStr">
        <is>
          <t>Date</t>
        </is>
      </c>
      <c r="AC220" s="13" t="n"/>
      <c r="AD220" s="13" t="n"/>
      <c r="AE220" s="13" t="n"/>
      <c r="AF220" s="15" t="n"/>
    </row>
    <row r="221">
      <c r="B221" s="16" t="n"/>
      <c r="C221" s="17" t="inlineStr">
        <is>
          <t>SHEET :</t>
        </is>
      </c>
      <c r="D221" s="18" t="n"/>
      <c r="E221" s="18" t="n"/>
      <c r="F221" s="18" t="n"/>
      <c r="G221" s="18" t="n"/>
      <c r="H221" s="19" t="inlineStr">
        <is>
          <t>BEARING CAPACITY AND SETTLEMENT OF SUBGRADE</t>
        </is>
      </c>
      <c r="I221" s="18" t="n"/>
      <c r="J221" s="18" t="n"/>
      <c r="K221" s="18" t="n"/>
      <c r="L221" s="18" t="n"/>
      <c r="M221" s="18" t="n"/>
      <c r="N221" s="18" t="n"/>
      <c r="O221" s="18" t="n"/>
      <c r="P221" s="18" t="n"/>
      <c r="Q221" s="18" t="n"/>
      <c r="R221" s="18" t="n"/>
      <c r="S221" s="18" t="n"/>
      <c r="T221" s="18" t="n"/>
      <c r="U221" s="18" t="n"/>
      <c r="V221" s="18" t="n"/>
      <c r="W221" s="18" t="n"/>
      <c r="X221" s="20" t="inlineStr">
        <is>
          <t>BC</t>
        </is>
      </c>
      <c r="Y221" s="21" t="n"/>
      <c r="Z221" s="21" t="n"/>
      <c r="AA221" s="21" t="n"/>
      <c r="AB221" s="22" t="n">
        <v>46301</v>
      </c>
      <c r="AC221" s="21" t="n"/>
      <c r="AD221" s="21" t="n"/>
      <c r="AE221" s="21" t="n"/>
      <c r="AF221" s="23" t="n"/>
    </row>
    <row r="222">
      <c r="B222" s="9" t="n"/>
      <c r="AF222" s="15" t="n"/>
    </row>
    <row r="223">
      <c r="B223" s="9" t="n"/>
      <c r="C223" s="11" t="inlineStr">
        <is>
          <t>4.1. Check for granular soil - Burland &amp; Burbidge (1985), normally consolidated sand</t>
        </is>
      </c>
      <c r="AF223" s="15" t="n"/>
    </row>
    <row r="224">
      <c r="B224" s="9" t="n"/>
      <c r="C224" s="26" t="inlineStr">
        <is>
          <t xml:space="preserve">      S = fs · fl · q · B^0.7 · Ic ,   Ic = 1.71 / N̄^1.4 ,   zI = B^0.763</t>
        </is>
      </c>
      <c r="AF224" s="15" t="n"/>
    </row>
    <row r="225">
      <c r="B225" s="9" t="n"/>
      <c r="C225" s="25" t="inlineStr">
        <is>
          <t>Depth of influence</t>
        </is>
      </c>
      <c r="O225" s="26" t="inlineStr">
        <is>
          <t>zI = B^0.763</t>
        </is>
      </c>
      <c r="X225" s="27" t="inlineStr">
        <is>
          <t>zI =</t>
        </is>
      </c>
      <c r="Y225" s="13" t="n"/>
      <c r="Z225" s="13" t="n"/>
      <c r="AA225" s="61">
        <f>MIN(Input!$AA$15^0.763,AJ68)</f>
        <v/>
      </c>
      <c r="AB225" s="13" t="n"/>
      <c r="AC225" s="13" t="n"/>
      <c r="AD225" s="25" t="inlineStr">
        <is>
          <t>m</t>
        </is>
      </c>
      <c r="AF225" s="15" t="n"/>
    </row>
    <row r="226">
      <c r="B226" s="9" t="n"/>
      <c r="C226" s="25" t="inlineStr">
        <is>
          <t>Average measured N within zI</t>
        </is>
      </c>
      <c r="O226" s="26" t="inlineStr"/>
      <c r="X226" s="27" t="inlineStr">
        <is>
          <t>N̄ =</t>
        </is>
      </c>
      <c r="Y226" s="13" t="n"/>
      <c r="Z226" s="13" t="n"/>
      <c r="AA226" s="62">
        <f>SUMPRODUCT(BP28:BP68,AN28:AN68)/$AA$225</f>
        <v/>
      </c>
      <c r="AB226" s="13" t="n"/>
      <c r="AC226" s="13" t="n"/>
      <c r="AD226" s="25" t="inlineStr">
        <is>
          <t>-</t>
        </is>
      </c>
      <c r="AF226" s="15" t="n"/>
    </row>
    <row r="227">
      <c r="B227" s="9" t="n"/>
      <c r="C227" s="25" t="inlineStr">
        <is>
          <t>Compressibility index</t>
        </is>
      </c>
      <c r="O227" s="26" t="inlineStr">
        <is>
          <t>Ic = 1.71 / N̄^1.4</t>
        </is>
      </c>
      <c r="X227" s="27" t="inlineStr">
        <is>
          <t>Ic =</t>
        </is>
      </c>
      <c r="Y227" s="13" t="n"/>
      <c r="Z227" s="13" t="n"/>
      <c r="AA227" s="75">
        <f>1.71/$AA$226^1.4</f>
        <v/>
      </c>
      <c r="AB227" s="13" t="n"/>
      <c r="AC227" s="13" t="n"/>
      <c r="AD227" s="25" t="inlineStr">
        <is>
          <t>-</t>
        </is>
      </c>
      <c r="AF227" s="15" t="n"/>
    </row>
    <row r="228">
      <c r="B228" s="9" t="n"/>
      <c r="C228" s="25" t="inlineStr">
        <is>
          <t>Shape factor</t>
        </is>
      </c>
      <c r="O228" s="26" t="inlineStr">
        <is>
          <t>fs = [1.25(L/B)/(L/B+0.25)]²</t>
        </is>
      </c>
      <c r="X228" s="27" t="inlineStr">
        <is>
          <t>fs =</t>
        </is>
      </c>
      <c r="Y228" s="13" t="n"/>
      <c r="Z228" s="13" t="n"/>
      <c r="AA228" s="61">
        <f>(1.25*Input!$AA$16/Input!$AA$15/(Input!$AA$16/Input!$AA$15+0.25))^2</f>
        <v/>
      </c>
      <c r="AB228" s="13" t="n"/>
      <c r="AC228" s="13" t="n"/>
      <c r="AD228" s="25" t="inlineStr">
        <is>
          <t>-</t>
        </is>
      </c>
      <c r="AF228" s="15" t="n"/>
    </row>
    <row r="229">
      <c r="B229" s="9" t="n"/>
      <c r="C229" s="25" t="inlineStr">
        <is>
          <t>Settlement of sand (fl = 1)</t>
        </is>
      </c>
      <c r="O229" s="26" t="inlineStr">
        <is>
          <t>S = fs·q·B^0.7·Ic</t>
        </is>
      </c>
      <c r="X229" s="27" t="inlineStr">
        <is>
          <t>S =</t>
        </is>
      </c>
      <c r="Y229" s="13" t="n"/>
      <c r="Z229" s="13" t="n"/>
      <c r="AA229" s="30">
        <f>$AA$228*Input!$AA$14*Input!$AA$15^0.7*$AA$227</f>
        <v/>
      </c>
      <c r="AB229" s="13" t="n"/>
      <c r="AC229" s="13" t="n"/>
      <c r="AD229" s="25" t="inlineStr">
        <is>
          <t>mm</t>
        </is>
      </c>
      <c r="AF229" s="15" t="n"/>
    </row>
    <row r="230">
      <c r="B230" s="9" t="n"/>
      <c r="C230" s="24" t="inlineStr">
        <is>
          <t>Burland &amp; Burbidge assumes the whole influence zone is sand; where silt/clay is present the layered elastic value governs.</t>
        </is>
      </c>
      <c r="AF230" s="15" t="n"/>
    </row>
    <row r="231">
      <c r="B231" s="9" t="n"/>
      <c r="AF231" s="15" t="n"/>
    </row>
    <row r="232">
      <c r="B232" s="9" t="n"/>
      <c r="C232" s="11" t="inlineStr">
        <is>
          <t>5. PRIMARY CONSOLIDATION SETTLEMENT (silt/clay layers, design condition)</t>
        </is>
      </c>
      <c r="AF232" s="15" t="n"/>
    </row>
    <row r="233">
      <c r="B233" s="9" t="n"/>
      <c r="C233" s="25" t="inlineStr">
        <is>
          <t>Sc = h/(1+e0) · [Cr·log(σ'p/σ'v0) + Cc·log((σ'v0+Δσz)/σ'p)]  (Das 2019); Δσz from Boussinesq at the centre of the area;</t>
        </is>
      </c>
      <c r="AF233" s="15" t="n"/>
    </row>
    <row r="234">
      <c r="B234" s="9" t="n"/>
      <c r="C234" s="25" t="inlineStr">
        <is>
          <t>σ'p = max(cu/0.22 ; σ'v0) (Mesri 1975); t90 = Tv·Hdr²/Cv with double drainage (Hdr = h/2), layers bounded by sand.</t>
        </is>
      </c>
      <c r="AF234" s="15" t="n"/>
    </row>
    <row r="235">
      <c r="B235" s="9" t="n"/>
      <c r="C235" s="25" t="inlineStr">
        <is>
          <t>Table 3. Consolidation settlement of BH-03</t>
        </is>
      </c>
      <c r="AF235" s="15" t="n"/>
    </row>
    <row r="236" ht="27" customHeight="1">
      <c r="B236" s="9" t="n"/>
      <c r="C236" s="33" t="inlineStr">
        <is>
          <t>No</t>
        </is>
      </c>
      <c r="D236" s="34" t="n"/>
      <c r="E236" s="33" t="inlineStr">
        <is>
          <t>Top</t>
        </is>
      </c>
      <c r="F236" s="34" t="n"/>
      <c r="G236" s="34" t="n"/>
      <c r="H236" s="33" t="inlineStr">
        <is>
          <t>Soil</t>
        </is>
      </c>
      <c r="I236" s="34" t="n"/>
      <c r="J236" s="34" t="n"/>
      <c r="K236" s="33" t="inlineStr">
        <is>
          <t>σ'v0</t>
        </is>
      </c>
      <c r="L236" s="34" t="n"/>
      <c r="M236" s="34" t="n"/>
      <c r="N236" s="33" t="inlineStr">
        <is>
          <t>Δσz</t>
        </is>
      </c>
      <c r="O236" s="34" t="n"/>
      <c r="P236" s="34" t="n"/>
      <c r="Q236" s="33" t="inlineStr">
        <is>
          <t>σ'p</t>
        </is>
      </c>
      <c r="R236" s="34" t="n"/>
      <c r="S236" s="34" t="n"/>
      <c r="T236" s="33" t="inlineStr">
        <is>
          <t>e0</t>
        </is>
      </c>
      <c r="U236" s="34" t="n"/>
      <c r="V236" s="33" t="inlineStr">
        <is>
          <t>Cc</t>
        </is>
      </c>
      <c r="W236" s="34" t="n"/>
      <c r="X236" s="33" t="inlineStr">
        <is>
          <t>Cr</t>
        </is>
      </c>
      <c r="Y236" s="34" t="n"/>
      <c r="Z236" s="33" t="inlineStr">
        <is>
          <t>Sc</t>
        </is>
      </c>
      <c r="AA236" s="34" t="n"/>
      <c r="AB236" s="34" t="n"/>
      <c r="AC236" s="33" t="inlineStr">
        <is>
          <t>t90</t>
        </is>
      </c>
      <c r="AD236" s="34" t="n"/>
      <c r="AE236" s="34" t="n"/>
      <c r="AF236" s="15" t="n"/>
    </row>
    <row r="237">
      <c r="B237" s="9" t="n"/>
      <c r="C237" s="35" t="inlineStr"/>
      <c r="D237" s="36" t="n"/>
      <c r="E237" s="35" t="inlineStr">
        <is>
          <t>m</t>
        </is>
      </c>
      <c r="F237" s="36" t="n"/>
      <c r="G237" s="36" t="n"/>
      <c r="H237" s="35" t="inlineStr"/>
      <c r="I237" s="36" t="n"/>
      <c r="J237" s="36" t="n"/>
      <c r="K237" s="35" t="inlineStr">
        <is>
          <t>kPa</t>
        </is>
      </c>
      <c r="L237" s="36" t="n"/>
      <c r="M237" s="36" t="n"/>
      <c r="N237" s="35" t="inlineStr">
        <is>
          <t>kPa</t>
        </is>
      </c>
      <c r="O237" s="36" t="n"/>
      <c r="P237" s="36" t="n"/>
      <c r="Q237" s="35" t="inlineStr">
        <is>
          <t>kPa</t>
        </is>
      </c>
      <c r="R237" s="36" t="n"/>
      <c r="S237" s="36" t="n"/>
      <c r="T237" s="35" t="inlineStr">
        <is>
          <t>-</t>
        </is>
      </c>
      <c r="U237" s="36" t="n"/>
      <c r="V237" s="35" t="inlineStr">
        <is>
          <t>-</t>
        </is>
      </c>
      <c r="W237" s="36" t="n"/>
      <c r="X237" s="35" t="inlineStr">
        <is>
          <t>-</t>
        </is>
      </c>
      <c r="Y237" s="36" t="n"/>
      <c r="Z237" s="35" t="inlineStr">
        <is>
          <t>mm</t>
        </is>
      </c>
      <c r="AA237" s="36" t="n"/>
      <c r="AB237" s="36" t="n"/>
      <c r="AC237" s="35" t="inlineStr">
        <is>
          <t>year</t>
        </is>
      </c>
      <c r="AD237" s="36" t="n"/>
      <c r="AE237" s="36" t="n"/>
      <c r="AF237" s="15" t="n"/>
    </row>
    <row r="238">
      <c r="B238" s="9" t="n"/>
      <c r="C238" s="57" t="n">
        <v>1</v>
      </c>
      <c r="D238" s="41" t="n"/>
      <c r="E238" s="55">
        <f>AI28</f>
        <v/>
      </c>
      <c r="F238" s="41" t="n"/>
      <c r="G238" s="41" t="n"/>
      <c r="H238" s="52">
        <f>AM28</f>
        <v/>
      </c>
      <c r="I238" s="41" t="n"/>
      <c r="J238" s="41" t="n"/>
      <c r="K238" s="53">
        <f>AQ28</f>
        <v/>
      </c>
      <c r="L238" s="41" t="n"/>
      <c r="M238" s="41" t="n"/>
      <c r="N238" s="53">
        <f>BC28</f>
        <v/>
      </c>
      <c r="O238" s="41" t="n"/>
      <c r="P238" s="41" t="n"/>
      <c r="Q238" s="66">
        <f>BJ28</f>
        <v/>
      </c>
      <c r="R238" s="41" t="n"/>
      <c r="S238" s="41" t="n"/>
      <c r="T238" s="55">
        <f>AU28</f>
        <v/>
      </c>
      <c r="U238" s="41" t="n"/>
      <c r="V238" s="76">
        <f>BH28</f>
        <v/>
      </c>
      <c r="W238" s="41" t="n"/>
      <c r="X238" s="76">
        <f>BI28</f>
        <v/>
      </c>
      <c r="Y238" s="41" t="n"/>
      <c r="Z238" s="77">
        <f>BK28</f>
        <v/>
      </c>
      <c r="AA238" s="41" t="n"/>
      <c r="AB238" s="41" t="n"/>
      <c r="AC238" s="78">
        <f>BM28</f>
        <v/>
      </c>
      <c r="AD238" s="41" t="n"/>
      <c r="AE238" s="41" t="n"/>
      <c r="AF238" s="15" t="n"/>
    </row>
    <row r="239">
      <c r="B239" s="9" t="n"/>
      <c r="C239" s="57" t="n">
        <v>2</v>
      </c>
      <c r="D239" s="41" t="n"/>
      <c r="E239" s="55">
        <f>AI29</f>
        <v/>
      </c>
      <c r="F239" s="41" t="n"/>
      <c r="G239" s="41" t="n"/>
      <c r="H239" s="52">
        <f>AM29</f>
        <v/>
      </c>
      <c r="I239" s="41" t="n"/>
      <c r="J239" s="41" t="n"/>
      <c r="K239" s="53">
        <f>AQ29</f>
        <v/>
      </c>
      <c r="L239" s="41" t="n"/>
      <c r="M239" s="41" t="n"/>
      <c r="N239" s="53">
        <f>BC29</f>
        <v/>
      </c>
      <c r="O239" s="41" t="n"/>
      <c r="P239" s="41" t="n"/>
      <c r="Q239" s="66">
        <f>BJ29</f>
        <v/>
      </c>
      <c r="R239" s="41" t="n"/>
      <c r="S239" s="41" t="n"/>
      <c r="T239" s="55">
        <f>AU29</f>
        <v/>
      </c>
      <c r="U239" s="41" t="n"/>
      <c r="V239" s="76">
        <f>BH29</f>
        <v/>
      </c>
      <c r="W239" s="41" t="n"/>
      <c r="X239" s="76">
        <f>BI29</f>
        <v/>
      </c>
      <c r="Y239" s="41" t="n"/>
      <c r="Z239" s="77">
        <f>BK29</f>
        <v/>
      </c>
      <c r="AA239" s="41" t="n"/>
      <c r="AB239" s="41" t="n"/>
      <c r="AC239" s="78">
        <f>BM29</f>
        <v/>
      </c>
      <c r="AD239" s="41" t="n"/>
      <c r="AE239" s="41" t="n"/>
      <c r="AF239" s="15" t="n"/>
    </row>
    <row r="240">
      <c r="B240" s="9" t="n"/>
      <c r="C240" s="57" t="n">
        <v>3</v>
      </c>
      <c r="D240" s="41" t="n"/>
      <c r="E240" s="55">
        <f>AI30</f>
        <v/>
      </c>
      <c r="F240" s="41" t="n"/>
      <c r="G240" s="41" t="n"/>
      <c r="H240" s="52">
        <f>AM30</f>
        <v/>
      </c>
      <c r="I240" s="41" t="n"/>
      <c r="J240" s="41" t="n"/>
      <c r="K240" s="53">
        <f>AQ30</f>
        <v/>
      </c>
      <c r="L240" s="41" t="n"/>
      <c r="M240" s="41" t="n"/>
      <c r="N240" s="53">
        <f>BC30</f>
        <v/>
      </c>
      <c r="O240" s="41" t="n"/>
      <c r="P240" s="41" t="n"/>
      <c r="Q240" s="66">
        <f>BJ30</f>
        <v/>
      </c>
      <c r="R240" s="41" t="n"/>
      <c r="S240" s="41" t="n"/>
      <c r="T240" s="55">
        <f>AU30</f>
        <v/>
      </c>
      <c r="U240" s="41" t="n"/>
      <c r="V240" s="76">
        <f>BH30</f>
        <v/>
      </c>
      <c r="W240" s="41" t="n"/>
      <c r="X240" s="76">
        <f>BI30</f>
        <v/>
      </c>
      <c r="Y240" s="41" t="n"/>
      <c r="Z240" s="77">
        <f>BK30</f>
        <v/>
      </c>
      <c r="AA240" s="41" t="n"/>
      <c r="AB240" s="41" t="n"/>
      <c r="AC240" s="78">
        <f>BM30</f>
        <v/>
      </c>
      <c r="AD240" s="41" t="n"/>
      <c r="AE240" s="41" t="n"/>
      <c r="AF240" s="15" t="n"/>
    </row>
    <row r="241">
      <c r="B241" s="9" t="n"/>
      <c r="C241" s="57" t="n">
        <v>4</v>
      </c>
      <c r="D241" s="41" t="n"/>
      <c r="E241" s="55">
        <f>AI31</f>
        <v/>
      </c>
      <c r="F241" s="41" t="n"/>
      <c r="G241" s="41" t="n"/>
      <c r="H241" s="52">
        <f>AM31</f>
        <v/>
      </c>
      <c r="I241" s="41" t="n"/>
      <c r="J241" s="41" t="n"/>
      <c r="K241" s="53">
        <f>AQ31</f>
        <v/>
      </c>
      <c r="L241" s="41" t="n"/>
      <c r="M241" s="41" t="n"/>
      <c r="N241" s="53">
        <f>BC31</f>
        <v/>
      </c>
      <c r="O241" s="41" t="n"/>
      <c r="P241" s="41" t="n"/>
      <c r="Q241" s="66">
        <f>BJ31</f>
        <v/>
      </c>
      <c r="R241" s="41" t="n"/>
      <c r="S241" s="41" t="n"/>
      <c r="T241" s="55">
        <f>AU31</f>
        <v/>
      </c>
      <c r="U241" s="41" t="n"/>
      <c r="V241" s="76">
        <f>BH31</f>
        <v/>
      </c>
      <c r="W241" s="41" t="n"/>
      <c r="X241" s="76">
        <f>BI31</f>
        <v/>
      </c>
      <c r="Y241" s="41" t="n"/>
      <c r="Z241" s="77">
        <f>BK31</f>
        <v/>
      </c>
      <c r="AA241" s="41" t="n"/>
      <c r="AB241" s="41" t="n"/>
      <c r="AC241" s="78">
        <f>BM31</f>
        <v/>
      </c>
      <c r="AD241" s="41" t="n"/>
      <c r="AE241" s="41" t="n"/>
      <c r="AF241" s="15" t="n"/>
    </row>
    <row r="242">
      <c r="B242" s="9" t="n"/>
      <c r="C242" s="57" t="n">
        <v>5</v>
      </c>
      <c r="D242" s="41" t="n"/>
      <c r="E242" s="55">
        <f>AI32</f>
        <v/>
      </c>
      <c r="F242" s="41" t="n"/>
      <c r="G242" s="41" t="n"/>
      <c r="H242" s="52">
        <f>AM32</f>
        <v/>
      </c>
      <c r="I242" s="41" t="n"/>
      <c r="J242" s="41" t="n"/>
      <c r="K242" s="53">
        <f>AQ32</f>
        <v/>
      </c>
      <c r="L242" s="41" t="n"/>
      <c r="M242" s="41" t="n"/>
      <c r="N242" s="53">
        <f>BC32</f>
        <v/>
      </c>
      <c r="O242" s="41" t="n"/>
      <c r="P242" s="41" t="n"/>
      <c r="Q242" s="66">
        <f>BJ32</f>
        <v/>
      </c>
      <c r="R242" s="41" t="n"/>
      <c r="S242" s="41" t="n"/>
      <c r="T242" s="55">
        <f>AU32</f>
        <v/>
      </c>
      <c r="U242" s="41" t="n"/>
      <c r="V242" s="76">
        <f>BH32</f>
        <v/>
      </c>
      <c r="W242" s="41" t="n"/>
      <c r="X242" s="76">
        <f>BI32</f>
        <v/>
      </c>
      <c r="Y242" s="41" t="n"/>
      <c r="Z242" s="77">
        <f>BK32</f>
        <v/>
      </c>
      <c r="AA242" s="41" t="n"/>
      <c r="AB242" s="41" t="n"/>
      <c r="AC242" s="78">
        <f>BM32</f>
        <v/>
      </c>
      <c r="AD242" s="41" t="n"/>
      <c r="AE242" s="41" t="n"/>
      <c r="AF242" s="15" t="n"/>
    </row>
    <row r="243">
      <c r="B243" s="9" t="n"/>
      <c r="C243" s="57" t="n">
        <v>6</v>
      </c>
      <c r="D243" s="41" t="n"/>
      <c r="E243" s="55">
        <f>AI33</f>
        <v/>
      </c>
      <c r="F243" s="41" t="n"/>
      <c r="G243" s="41" t="n"/>
      <c r="H243" s="52">
        <f>AM33</f>
        <v/>
      </c>
      <c r="I243" s="41" t="n"/>
      <c r="J243" s="41" t="n"/>
      <c r="K243" s="53">
        <f>AQ33</f>
        <v/>
      </c>
      <c r="L243" s="41" t="n"/>
      <c r="M243" s="41" t="n"/>
      <c r="N243" s="53">
        <f>BC33</f>
        <v/>
      </c>
      <c r="O243" s="41" t="n"/>
      <c r="P243" s="41" t="n"/>
      <c r="Q243" s="66">
        <f>BJ33</f>
        <v/>
      </c>
      <c r="R243" s="41" t="n"/>
      <c r="S243" s="41" t="n"/>
      <c r="T243" s="55">
        <f>AU33</f>
        <v/>
      </c>
      <c r="U243" s="41" t="n"/>
      <c r="V243" s="76">
        <f>BH33</f>
        <v/>
      </c>
      <c r="W243" s="41" t="n"/>
      <c r="X243" s="76">
        <f>BI33</f>
        <v/>
      </c>
      <c r="Y243" s="41" t="n"/>
      <c r="Z243" s="77">
        <f>BK33</f>
        <v/>
      </c>
      <c r="AA243" s="41" t="n"/>
      <c r="AB243" s="41" t="n"/>
      <c r="AC243" s="78">
        <f>BM33</f>
        <v/>
      </c>
      <c r="AD243" s="41" t="n"/>
      <c r="AE243" s="41" t="n"/>
      <c r="AF243" s="15" t="n"/>
    </row>
    <row r="244">
      <c r="B244" s="9" t="n"/>
      <c r="C244" s="57" t="n">
        <v>7</v>
      </c>
      <c r="D244" s="41" t="n"/>
      <c r="E244" s="55">
        <f>AI34</f>
        <v/>
      </c>
      <c r="F244" s="41" t="n"/>
      <c r="G244" s="41" t="n"/>
      <c r="H244" s="52">
        <f>AM34</f>
        <v/>
      </c>
      <c r="I244" s="41" t="n"/>
      <c r="J244" s="41" t="n"/>
      <c r="K244" s="53">
        <f>AQ34</f>
        <v/>
      </c>
      <c r="L244" s="41" t="n"/>
      <c r="M244" s="41" t="n"/>
      <c r="N244" s="53">
        <f>BC34</f>
        <v/>
      </c>
      <c r="O244" s="41" t="n"/>
      <c r="P244" s="41" t="n"/>
      <c r="Q244" s="66">
        <f>BJ34</f>
        <v/>
      </c>
      <c r="R244" s="41" t="n"/>
      <c r="S244" s="41" t="n"/>
      <c r="T244" s="55">
        <f>AU34</f>
        <v/>
      </c>
      <c r="U244" s="41" t="n"/>
      <c r="V244" s="76">
        <f>BH34</f>
        <v/>
      </c>
      <c r="W244" s="41" t="n"/>
      <c r="X244" s="76">
        <f>BI34</f>
        <v/>
      </c>
      <c r="Y244" s="41" t="n"/>
      <c r="Z244" s="77">
        <f>BK34</f>
        <v/>
      </c>
      <c r="AA244" s="41" t="n"/>
      <c r="AB244" s="41" t="n"/>
      <c r="AC244" s="78">
        <f>BM34</f>
        <v/>
      </c>
      <c r="AD244" s="41" t="n"/>
      <c r="AE244" s="41" t="n"/>
      <c r="AF244" s="15" t="n"/>
    </row>
    <row r="245">
      <c r="B245" s="9" t="n"/>
      <c r="C245" s="57" t="n">
        <v>8</v>
      </c>
      <c r="D245" s="41" t="n"/>
      <c r="E245" s="55">
        <f>AI35</f>
        <v/>
      </c>
      <c r="F245" s="41" t="n"/>
      <c r="G245" s="41" t="n"/>
      <c r="H245" s="52">
        <f>AM35</f>
        <v/>
      </c>
      <c r="I245" s="41" t="n"/>
      <c r="J245" s="41" t="n"/>
      <c r="K245" s="53">
        <f>AQ35</f>
        <v/>
      </c>
      <c r="L245" s="41" t="n"/>
      <c r="M245" s="41" t="n"/>
      <c r="N245" s="53">
        <f>BC35</f>
        <v/>
      </c>
      <c r="O245" s="41" t="n"/>
      <c r="P245" s="41" t="n"/>
      <c r="Q245" s="66">
        <f>BJ35</f>
        <v/>
      </c>
      <c r="R245" s="41" t="n"/>
      <c r="S245" s="41" t="n"/>
      <c r="T245" s="55">
        <f>AU35</f>
        <v/>
      </c>
      <c r="U245" s="41" t="n"/>
      <c r="V245" s="76">
        <f>BH35</f>
        <v/>
      </c>
      <c r="W245" s="41" t="n"/>
      <c r="X245" s="76">
        <f>BI35</f>
        <v/>
      </c>
      <c r="Y245" s="41" t="n"/>
      <c r="Z245" s="77">
        <f>BK35</f>
        <v/>
      </c>
      <c r="AA245" s="41" t="n"/>
      <c r="AB245" s="41" t="n"/>
      <c r="AC245" s="78">
        <f>BM35</f>
        <v/>
      </c>
      <c r="AD245" s="41" t="n"/>
      <c r="AE245" s="41" t="n"/>
      <c r="AF245" s="15" t="n"/>
    </row>
    <row r="246">
      <c r="B246" s="9" t="n"/>
      <c r="C246" s="57" t="n">
        <v>9</v>
      </c>
      <c r="D246" s="41" t="n"/>
      <c r="E246" s="55">
        <f>AI36</f>
        <v/>
      </c>
      <c r="F246" s="41" t="n"/>
      <c r="G246" s="41" t="n"/>
      <c r="H246" s="52">
        <f>AM36</f>
        <v/>
      </c>
      <c r="I246" s="41" t="n"/>
      <c r="J246" s="41" t="n"/>
      <c r="K246" s="53">
        <f>AQ36</f>
        <v/>
      </c>
      <c r="L246" s="41" t="n"/>
      <c r="M246" s="41" t="n"/>
      <c r="N246" s="53">
        <f>BC36</f>
        <v/>
      </c>
      <c r="O246" s="41" t="n"/>
      <c r="P246" s="41" t="n"/>
      <c r="Q246" s="66">
        <f>BJ36</f>
        <v/>
      </c>
      <c r="R246" s="41" t="n"/>
      <c r="S246" s="41" t="n"/>
      <c r="T246" s="55">
        <f>AU36</f>
        <v/>
      </c>
      <c r="U246" s="41" t="n"/>
      <c r="V246" s="76">
        <f>BH36</f>
        <v/>
      </c>
      <c r="W246" s="41" t="n"/>
      <c r="X246" s="76">
        <f>BI36</f>
        <v/>
      </c>
      <c r="Y246" s="41" t="n"/>
      <c r="Z246" s="77">
        <f>BK36</f>
        <v/>
      </c>
      <c r="AA246" s="41" t="n"/>
      <c r="AB246" s="41" t="n"/>
      <c r="AC246" s="78">
        <f>BM36</f>
        <v/>
      </c>
      <c r="AD246" s="41" t="n"/>
      <c r="AE246" s="41" t="n"/>
      <c r="AF246" s="15" t="n"/>
    </row>
    <row r="247">
      <c r="B247" s="9" t="n"/>
      <c r="C247" s="57" t="n">
        <v>10</v>
      </c>
      <c r="D247" s="41" t="n"/>
      <c r="E247" s="55">
        <f>AI37</f>
        <v/>
      </c>
      <c r="F247" s="41" t="n"/>
      <c r="G247" s="41" t="n"/>
      <c r="H247" s="52">
        <f>AM37</f>
        <v/>
      </c>
      <c r="I247" s="41" t="n"/>
      <c r="J247" s="41" t="n"/>
      <c r="K247" s="53">
        <f>AQ37</f>
        <v/>
      </c>
      <c r="L247" s="41" t="n"/>
      <c r="M247" s="41" t="n"/>
      <c r="N247" s="53">
        <f>BC37</f>
        <v/>
      </c>
      <c r="O247" s="41" t="n"/>
      <c r="P247" s="41" t="n"/>
      <c r="Q247" s="66">
        <f>BJ37</f>
        <v/>
      </c>
      <c r="R247" s="41" t="n"/>
      <c r="S247" s="41" t="n"/>
      <c r="T247" s="55">
        <f>AU37</f>
        <v/>
      </c>
      <c r="U247" s="41" t="n"/>
      <c r="V247" s="76">
        <f>BH37</f>
        <v/>
      </c>
      <c r="W247" s="41" t="n"/>
      <c r="X247" s="76">
        <f>BI37</f>
        <v/>
      </c>
      <c r="Y247" s="41" t="n"/>
      <c r="Z247" s="77">
        <f>BK37</f>
        <v/>
      </c>
      <c r="AA247" s="41" t="n"/>
      <c r="AB247" s="41" t="n"/>
      <c r="AC247" s="78">
        <f>BM37</f>
        <v/>
      </c>
      <c r="AD247" s="41" t="n"/>
      <c r="AE247" s="41" t="n"/>
      <c r="AF247" s="15" t="n"/>
    </row>
    <row r="248">
      <c r="B248" s="9" t="n"/>
      <c r="C248" s="57" t="n">
        <v>11</v>
      </c>
      <c r="D248" s="41" t="n"/>
      <c r="E248" s="55">
        <f>AI38</f>
        <v/>
      </c>
      <c r="F248" s="41" t="n"/>
      <c r="G248" s="41" t="n"/>
      <c r="H248" s="52">
        <f>AM38</f>
        <v/>
      </c>
      <c r="I248" s="41" t="n"/>
      <c r="J248" s="41" t="n"/>
      <c r="K248" s="53">
        <f>AQ38</f>
        <v/>
      </c>
      <c r="L248" s="41" t="n"/>
      <c r="M248" s="41" t="n"/>
      <c r="N248" s="53">
        <f>BC38</f>
        <v/>
      </c>
      <c r="O248" s="41" t="n"/>
      <c r="P248" s="41" t="n"/>
      <c r="Q248" s="66">
        <f>BJ38</f>
        <v/>
      </c>
      <c r="R248" s="41" t="n"/>
      <c r="S248" s="41" t="n"/>
      <c r="T248" s="55">
        <f>AU38</f>
        <v/>
      </c>
      <c r="U248" s="41" t="n"/>
      <c r="V248" s="76">
        <f>BH38</f>
        <v/>
      </c>
      <c r="W248" s="41" t="n"/>
      <c r="X248" s="76">
        <f>BI38</f>
        <v/>
      </c>
      <c r="Y248" s="41" t="n"/>
      <c r="Z248" s="77">
        <f>BK38</f>
        <v/>
      </c>
      <c r="AA248" s="41" t="n"/>
      <c r="AB248" s="41" t="n"/>
      <c r="AC248" s="78">
        <f>BM38</f>
        <v/>
      </c>
      <c r="AD248" s="41" t="n"/>
      <c r="AE248" s="41" t="n"/>
      <c r="AF248" s="15" t="n"/>
    </row>
    <row r="249">
      <c r="B249" s="9" t="n"/>
      <c r="C249" s="57" t="n">
        <v>12</v>
      </c>
      <c r="D249" s="41" t="n"/>
      <c r="E249" s="55">
        <f>AI39</f>
        <v/>
      </c>
      <c r="F249" s="41" t="n"/>
      <c r="G249" s="41" t="n"/>
      <c r="H249" s="52">
        <f>AM39</f>
        <v/>
      </c>
      <c r="I249" s="41" t="n"/>
      <c r="J249" s="41" t="n"/>
      <c r="K249" s="53">
        <f>AQ39</f>
        <v/>
      </c>
      <c r="L249" s="41" t="n"/>
      <c r="M249" s="41" t="n"/>
      <c r="N249" s="53">
        <f>BC39</f>
        <v/>
      </c>
      <c r="O249" s="41" t="n"/>
      <c r="P249" s="41" t="n"/>
      <c r="Q249" s="66">
        <f>BJ39</f>
        <v/>
      </c>
      <c r="R249" s="41" t="n"/>
      <c r="S249" s="41" t="n"/>
      <c r="T249" s="55">
        <f>AU39</f>
        <v/>
      </c>
      <c r="U249" s="41" t="n"/>
      <c r="V249" s="76">
        <f>BH39</f>
        <v/>
      </c>
      <c r="W249" s="41" t="n"/>
      <c r="X249" s="76">
        <f>BI39</f>
        <v/>
      </c>
      <c r="Y249" s="41" t="n"/>
      <c r="Z249" s="77">
        <f>BK39</f>
        <v/>
      </c>
      <c r="AA249" s="41" t="n"/>
      <c r="AB249" s="41" t="n"/>
      <c r="AC249" s="78">
        <f>BM39</f>
        <v/>
      </c>
      <c r="AD249" s="41" t="n"/>
      <c r="AE249" s="41" t="n"/>
      <c r="AF249" s="15" t="n"/>
    </row>
    <row r="250">
      <c r="B250" s="9" t="n"/>
      <c r="C250" s="57" t="n">
        <v>13</v>
      </c>
      <c r="D250" s="41" t="n"/>
      <c r="E250" s="55">
        <f>AI40</f>
        <v/>
      </c>
      <c r="F250" s="41" t="n"/>
      <c r="G250" s="41" t="n"/>
      <c r="H250" s="52">
        <f>AM40</f>
        <v/>
      </c>
      <c r="I250" s="41" t="n"/>
      <c r="J250" s="41" t="n"/>
      <c r="K250" s="53">
        <f>AQ40</f>
        <v/>
      </c>
      <c r="L250" s="41" t="n"/>
      <c r="M250" s="41" t="n"/>
      <c r="N250" s="53">
        <f>BC40</f>
        <v/>
      </c>
      <c r="O250" s="41" t="n"/>
      <c r="P250" s="41" t="n"/>
      <c r="Q250" s="66">
        <f>BJ40</f>
        <v/>
      </c>
      <c r="R250" s="41" t="n"/>
      <c r="S250" s="41" t="n"/>
      <c r="T250" s="55">
        <f>AU40</f>
        <v/>
      </c>
      <c r="U250" s="41" t="n"/>
      <c r="V250" s="76">
        <f>BH40</f>
        <v/>
      </c>
      <c r="W250" s="41" t="n"/>
      <c r="X250" s="76">
        <f>BI40</f>
        <v/>
      </c>
      <c r="Y250" s="41" t="n"/>
      <c r="Z250" s="77">
        <f>BK40</f>
        <v/>
      </c>
      <c r="AA250" s="41" t="n"/>
      <c r="AB250" s="41" t="n"/>
      <c r="AC250" s="78">
        <f>BM40</f>
        <v/>
      </c>
      <c r="AD250" s="41" t="n"/>
      <c r="AE250" s="41" t="n"/>
      <c r="AF250" s="15" t="n"/>
    </row>
    <row r="251">
      <c r="B251" s="9" t="n"/>
      <c r="C251" s="57" t="n">
        <v>14</v>
      </c>
      <c r="D251" s="41" t="n"/>
      <c r="E251" s="55">
        <f>AI41</f>
        <v/>
      </c>
      <c r="F251" s="41" t="n"/>
      <c r="G251" s="41" t="n"/>
      <c r="H251" s="52">
        <f>AM41</f>
        <v/>
      </c>
      <c r="I251" s="41" t="n"/>
      <c r="J251" s="41" t="n"/>
      <c r="K251" s="53">
        <f>AQ41</f>
        <v/>
      </c>
      <c r="L251" s="41" t="n"/>
      <c r="M251" s="41" t="n"/>
      <c r="N251" s="53">
        <f>BC41</f>
        <v/>
      </c>
      <c r="O251" s="41" t="n"/>
      <c r="P251" s="41" t="n"/>
      <c r="Q251" s="66">
        <f>BJ41</f>
        <v/>
      </c>
      <c r="R251" s="41" t="n"/>
      <c r="S251" s="41" t="n"/>
      <c r="T251" s="55">
        <f>AU41</f>
        <v/>
      </c>
      <c r="U251" s="41" t="n"/>
      <c r="V251" s="76">
        <f>BH41</f>
        <v/>
      </c>
      <c r="W251" s="41" t="n"/>
      <c r="X251" s="76">
        <f>BI41</f>
        <v/>
      </c>
      <c r="Y251" s="41" t="n"/>
      <c r="Z251" s="77">
        <f>BK41</f>
        <v/>
      </c>
      <c r="AA251" s="41" t="n"/>
      <c r="AB251" s="41" t="n"/>
      <c r="AC251" s="78">
        <f>BM41</f>
        <v/>
      </c>
      <c r="AD251" s="41" t="n"/>
      <c r="AE251" s="41" t="n"/>
      <c r="AF251" s="15" t="n"/>
    </row>
    <row r="252">
      <c r="B252" s="9" t="n"/>
      <c r="C252" s="57" t="n">
        <v>15</v>
      </c>
      <c r="D252" s="41" t="n"/>
      <c r="E252" s="55">
        <f>AI42</f>
        <v/>
      </c>
      <c r="F252" s="41" t="n"/>
      <c r="G252" s="41" t="n"/>
      <c r="H252" s="52">
        <f>AM42</f>
        <v/>
      </c>
      <c r="I252" s="41" t="n"/>
      <c r="J252" s="41" t="n"/>
      <c r="K252" s="53">
        <f>AQ42</f>
        <v/>
      </c>
      <c r="L252" s="41" t="n"/>
      <c r="M252" s="41" t="n"/>
      <c r="N252" s="53">
        <f>BC42</f>
        <v/>
      </c>
      <c r="O252" s="41" t="n"/>
      <c r="P252" s="41" t="n"/>
      <c r="Q252" s="66">
        <f>BJ42</f>
        <v/>
      </c>
      <c r="R252" s="41" t="n"/>
      <c r="S252" s="41" t="n"/>
      <c r="T252" s="55">
        <f>AU42</f>
        <v/>
      </c>
      <c r="U252" s="41" t="n"/>
      <c r="V252" s="76">
        <f>BH42</f>
        <v/>
      </c>
      <c r="W252" s="41" t="n"/>
      <c r="X252" s="76">
        <f>BI42</f>
        <v/>
      </c>
      <c r="Y252" s="41" t="n"/>
      <c r="Z252" s="77">
        <f>BK42</f>
        <v/>
      </c>
      <c r="AA252" s="41" t="n"/>
      <c r="AB252" s="41" t="n"/>
      <c r="AC252" s="78">
        <f>BM42</f>
        <v/>
      </c>
      <c r="AD252" s="41" t="n"/>
      <c r="AE252" s="41" t="n"/>
      <c r="AF252" s="15" t="n"/>
    </row>
    <row r="253">
      <c r="B253" s="9" t="n"/>
      <c r="C253" s="57" t="n">
        <v>16</v>
      </c>
      <c r="D253" s="41" t="n"/>
      <c r="E253" s="55">
        <f>AI43</f>
        <v/>
      </c>
      <c r="F253" s="41" t="n"/>
      <c r="G253" s="41" t="n"/>
      <c r="H253" s="52">
        <f>AM43</f>
        <v/>
      </c>
      <c r="I253" s="41" t="n"/>
      <c r="J253" s="41" t="n"/>
      <c r="K253" s="53">
        <f>AQ43</f>
        <v/>
      </c>
      <c r="L253" s="41" t="n"/>
      <c r="M253" s="41" t="n"/>
      <c r="N253" s="53">
        <f>BC43</f>
        <v/>
      </c>
      <c r="O253" s="41" t="n"/>
      <c r="P253" s="41" t="n"/>
      <c r="Q253" s="66">
        <f>BJ43</f>
        <v/>
      </c>
      <c r="R253" s="41" t="n"/>
      <c r="S253" s="41" t="n"/>
      <c r="T253" s="55">
        <f>AU43</f>
        <v/>
      </c>
      <c r="U253" s="41" t="n"/>
      <c r="V253" s="76">
        <f>BH43</f>
        <v/>
      </c>
      <c r="W253" s="41" t="n"/>
      <c r="X253" s="76">
        <f>BI43</f>
        <v/>
      </c>
      <c r="Y253" s="41" t="n"/>
      <c r="Z253" s="77">
        <f>BK43</f>
        <v/>
      </c>
      <c r="AA253" s="41" t="n"/>
      <c r="AB253" s="41" t="n"/>
      <c r="AC253" s="78">
        <f>BM43</f>
        <v/>
      </c>
      <c r="AD253" s="41" t="n"/>
      <c r="AE253" s="41" t="n"/>
      <c r="AF253" s="15" t="n"/>
    </row>
    <row r="254">
      <c r="B254" s="9" t="n"/>
      <c r="C254" s="57" t="n">
        <v>17</v>
      </c>
      <c r="D254" s="41" t="n"/>
      <c r="E254" s="55">
        <f>AI44</f>
        <v/>
      </c>
      <c r="F254" s="41" t="n"/>
      <c r="G254" s="41" t="n"/>
      <c r="H254" s="52">
        <f>AM44</f>
        <v/>
      </c>
      <c r="I254" s="41" t="n"/>
      <c r="J254" s="41" t="n"/>
      <c r="K254" s="53">
        <f>AQ44</f>
        <v/>
      </c>
      <c r="L254" s="41" t="n"/>
      <c r="M254" s="41" t="n"/>
      <c r="N254" s="53">
        <f>BC44</f>
        <v/>
      </c>
      <c r="O254" s="41" t="n"/>
      <c r="P254" s="41" t="n"/>
      <c r="Q254" s="66">
        <f>BJ44</f>
        <v/>
      </c>
      <c r="R254" s="41" t="n"/>
      <c r="S254" s="41" t="n"/>
      <c r="T254" s="55">
        <f>AU44</f>
        <v/>
      </c>
      <c r="U254" s="41" t="n"/>
      <c r="V254" s="76">
        <f>BH44</f>
        <v/>
      </c>
      <c r="W254" s="41" t="n"/>
      <c r="X254" s="76">
        <f>BI44</f>
        <v/>
      </c>
      <c r="Y254" s="41" t="n"/>
      <c r="Z254" s="77">
        <f>BK44</f>
        <v/>
      </c>
      <c r="AA254" s="41" t="n"/>
      <c r="AB254" s="41" t="n"/>
      <c r="AC254" s="78">
        <f>BM44</f>
        <v/>
      </c>
      <c r="AD254" s="41" t="n"/>
      <c r="AE254" s="41" t="n"/>
      <c r="AF254" s="15" t="n"/>
    </row>
    <row r="255">
      <c r="B255" s="9" t="n"/>
      <c r="C255" s="57" t="n">
        <v>18</v>
      </c>
      <c r="D255" s="41" t="n"/>
      <c r="E255" s="55">
        <f>AI45</f>
        <v/>
      </c>
      <c r="F255" s="41" t="n"/>
      <c r="G255" s="41" t="n"/>
      <c r="H255" s="52">
        <f>AM45</f>
        <v/>
      </c>
      <c r="I255" s="41" t="n"/>
      <c r="J255" s="41" t="n"/>
      <c r="K255" s="53">
        <f>AQ45</f>
        <v/>
      </c>
      <c r="L255" s="41" t="n"/>
      <c r="M255" s="41" t="n"/>
      <c r="N255" s="53">
        <f>BC45</f>
        <v/>
      </c>
      <c r="O255" s="41" t="n"/>
      <c r="P255" s="41" t="n"/>
      <c r="Q255" s="66">
        <f>BJ45</f>
        <v/>
      </c>
      <c r="R255" s="41" t="n"/>
      <c r="S255" s="41" t="n"/>
      <c r="T255" s="55">
        <f>AU45</f>
        <v/>
      </c>
      <c r="U255" s="41" t="n"/>
      <c r="V255" s="76">
        <f>BH45</f>
        <v/>
      </c>
      <c r="W255" s="41" t="n"/>
      <c r="X255" s="76">
        <f>BI45</f>
        <v/>
      </c>
      <c r="Y255" s="41" t="n"/>
      <c r="Z255" s="77">
        <f>BK45</f>
        <v/>
      </c>
      <c r="AA255" s="41" t="n"/>
      <c r="AB255" s="41" t="n"/>
      <c r="AC255" s="78">
        <f>BM45</f>
        <v/>
      </c>
      <c r="AD255" s="41" t="n"/>
      <c r="AE255" s="41" t="n"/>
      <c r="AF255" s="15" t="n"/>
    </row>
    <row r="256">
      <c r="B256" s="9" t="n"/>
      <c r="C256" s="57" t="n">
        <v>19</v>
      </c>
      <c r="D256" s="41" t="n"/>
      <c r="E256" s="55">
        <f>AI46</f>
        <v/>
      </c>
      <c r="F256" s="41" t="n"/>
      <c r="G256" s="41" t="n"/>
      <c r="H256" s="52">
        <f>AM46</f>
        <v/>
      </c>
      <c r="I256" s="41" t="n"/>
      <c r="J256" s="41" t="n"/>
      <c r="K256" s="53">
        <f>AQ46</f>
        <v/>
      </c>
      <c r="L256" s="41" t="n"/>
      <c r="M256" s="41" t="n"/>
      <c r="N256" s="53">
        <f>BC46</f>
        <v/>
      </c>
      <c r="O256" s="41" t="n"/>
      <c r="P256" s="41" t="n"/>
      <c r="Q256" s="66">
        <f>BJ46</f>
        <v/>
      </c>
      <c r="R256" s="41" t="n"/>
      <c r="S256" s="41" t="n"/>
      <c r="T256" s="55">
        <f>AU46</f>
        <v/>
      </c>
      <c r="U256" s="41" t="n"/>
      <c r="V256" s="76">
        <f>BH46</f>
        <v/>
      </c>
      <c r="W256" s="41" t="n"/>
      <c r="X256" s="76">
        <f>BI46</f>
        <v/>
      </c>
      <c r="Y256" s="41" t="n"/>
      <c r="Z256" s="77">
        <f>BK46</f>
        <v/>
      </c>
      <c r="AA256" s="41" t="n"/>
      <c r="AB256" s="41" t="n"/>
      <c r="AC256" s="78">
        <f>BM46</f>
        <v/>
      </c>
      <c r="AD256" s="41" t="n"/>
      <c r="AE256" s="41" t="n"/>
      <c r="AF256" s="15" t="n"/>
    </row>
    <row r="257">
      <c r="B257" s="9" t="n"/>
      <c r="C257" s="57" t="n">
        <v>20</v>
      </c>
      <c r="D257" s="41" t="n"/>
      <c r="E257" s="55">
        <f>AI47</f>
        <v/>
      </c>
      <c r="F257" s="41" t="n"/>
      <c r="G257" s="41" t="n"/>
      <c r="H257" s="52">
        <f>AM47</f>
        <v/>
      </c>
      <c r="I257" s="41" t="n"/>
      <c r="J257" s="41" t="n"/>
      <c r="K257" s="53">
        <f>AQ47</f>
        <v/>
      </c>
      <c r="L257" s="41" t="n"/>
      <c r="M257" s="41" t="n"/>
      <c r="N257" s="53">
        <f>BC47</f>
        <v/>
      </c>
      <c r="O257" s="41" t="n"/>
      <c r="P257" s="41" t="n"/>
      <c r="Q257" s="66">
        <f>BJ47</f>
        <v/>
      </c>
      <c r="R257" s="41" t="n"/>
      <c r="S257" s="41" t="n"/>
      <c r="T257" s="55">
        <f>AU47</f>
        <v/>
      </c>
      <c r="U257" s="41" t="n"/>
      <c r="V257" s="76">
        <f>BH47</f>
        <v/>
      </c>
      <c r="W257" s="41" t="n"/>
      <c r="X257" s="76">
        <f>BI47</f>
        <v/>
      </c>
      <c r="Y257" s="41" t="n"/>
      <c r="Z257" s="77">
        <f>BK47</f>
        <v/>
      </c>
      <c r="AA257" s="41" t="n"/>
      <c r="AB257" s="41" t="n"/>
      <c r="AC257" s="78">
        <f>BM47</f>
        <v/>
      </c>
      <c r="AD257" s="41" t="n"/>
      <c r="AE257" s="41" t="n"/>
      <c r="AF257" s="15" t="n"/>
    </row>
    <row r="258">
      <c r="B258" s="9" t="n"/>
      <c r="C258" s="57" t="n">
        <v>21</v>
      </c>
      <c r="D258" s="41" t="n"/>
      <c r="E258" s="55">
        <f>AI48</f>
        <v/>
      </c>
      <c r="F258" s="41" t="n"/>
      <c r="G258" s="41" t="n"/>
      <c r="H258" s="52">
        <f>AM48</f>
        <v/>
      </c>
      <c r="I258" s="41" t="n"/>
      <c r="J258" s="41" t="n"/>
      <c r="K258" s="53">
        <f>AQ48</f>
        <v/>
      </c>
      <c r="L258" s="41" t="n"/>
      <c r="M258" s="41" t="n"/>
      <c r="N258" s="53">
        <f>BC48</f>
        <v/>
      </c>
      <c r="O258" s="41" t="n"/>
      <c r="P258" s="41" t="n"/>
      <c r="Q258" s="66">
        <f>BJ48</f>
        <v/>
      </c>
      <c r="R258" s="41" t="n"/>
      <c r="S258" s="41" t="n"/>
      <c r="T258" s="55">
        <f>AU48</f>
        <v/>
      </c>
      <c r="U258" s="41" t="n"/>
      <c r="V258" s="76">
        <f>BH48</f>
        <v/>
      </c>
      <c r="W258" s="41" t="n"/>
      <c r="X258" s="76">
        <f>BI48</f>
        <v/>
      </c>
      <c r="Y258" s="41" t="n"/>
      <c r="Z258" s="77">
        <f>BK48</f>
        <v/>
      </c>
      <c r="AA258" s="41" t="n"/>
      <c r="AB258" s="41" t="n"/>
      <c r="AC258" s="78">
        <f>BM48</f>
        <v/>
      </c>
      <c r="AD258" s="41" t="n"/>
      <c r="AE258" s="41" t="n"/>
      <c r="AF258" s="15" t="n"/>
    </row>
    <row r="259">
      <c r="B259" s="9" t="n"/>
      <c r="C259" s="57" t="n">
        <v>22</v>
      </c>
      <c r="D259" s="41" t="n"/>
      <c r="E259" s="55">
        <f>AI49</f>
        <v/>
      </c>
      <c r="F259" s="41" t="n"/>
      <c r="G259" s="41" t="n"/>
      <c r="H259" s="52">
        <f>AM49</f>
        <v/>
      </c>
      <c r="I259" s="41" t="n"/>
      <c r="J259" s="41" t="n"/>
      <c r="K259" s="53">
        <f>AQ49</f>
        <v/>
      </c>
      <c r="L259" s="41" t="n"/>
      <c r="M259" s="41" t="n"/>
      <c r="N259" s="53">
        <f>BC49</f>
        <v/>
      </c>
      <c r="O259" s="41" t="n"/>
      <c r="P259" s="41" t="n"/>
      <c r="Q259" s="66">
        <f>BJ49</f>
        <v/>
      </c>
      <c r="R259" s="41" t="n"/>
      <c r="S259" s="41" t="n"/>
      <c r="T259" s="55">
        <f>AU49</f>
        <v/>
      </c>
      <c r="U259" s="41" t="n"/>
      <c r="V259" s="76">
        <f>BH49</f>
        <v/>
      </c>
      <c r="W259" s="41" t="n"/>
      <c r="X259" s="76">
        <f>BI49</f>
        <v/>
      </c>
      <c r="Y259" s="41" t="n"/>
      <c r="Z259" s="77">
        <f>BK49</f>
        <v/>
      </c>
      <c r="AA259" s="41" t="n"/>
      <c r="AB259" s="41" t="n"/>
      <c r="AC259" s="78">
        <f>BM49</f>
        <v/>
      </c>
      <c r="AD259" s="41" t="n"/>
      <c r="AE259" s="41" t="n"/>
      <c r="AF259" s="15" t="n"/>
    </row>
    <row r="260">
      <c r="B260" s="9" t="n"/>
      <c r="C260" s="57" t="n">
        <v>23</v>
      </c>
      <c r="D260" s="41" t="n"/>
      <c r="E260" s="55">
        <f>AI50</f>
        <v/>
      </c>
      <c r="F260" s="41" t="n"/>
      <c r="G260" s="41" t="n"/>
      <c r="H260" s="52">
        <f>AM50</f>
        <v/>
      </c>
      <c r="I260" s="41" t="n"/>
      <c r="J260" s="41" t="n"/>
      <c r="K260" s="53">
        <f>AQ50</f>
        <v/>
      </c>
      <c r="L260" s="41" t="n"/>
      <c r="M260" s="41" t="n"/>
      <c r="N260" s="53">
        <f>BC50</f>
        <v/>
      </c>
      <c r="O260" s="41" t="n"/>
      <c r="P260" s="41" t="n"/>
      <c r="Q260" s="66">
        <f>BJ50</f>
        <v/>
      </c>
      <c r="R260" s="41" t="n"/>
      <c r="S260" s="41" t="n"/>
      <c r="T260" s="55">
        <f>AU50</f>
        <v/>
      </c>
      <c r="U260" s="41" t="n"/>
      <c r="V260" s="76">
        <f>BH50</f>
        <v/>
      </c>
      <c r="W260" s="41" t="n"/>
      <c r="X260" s="76">
        <f>BI50</f>
        <v/>
      </c>
      <c r="Y260" s="41" t="n"/>
      <c r="Z260" s="77">
        <f>BK50</f>
        <v/>
      </c>
      <c r="AA260" s="41" t="n"/>
      <c r="AB260" s="41" t="n"/>
      <c r="AC260" s="78">
        <f>BM50</f>
        <v/>
      </c>
      <c r="AD260" s="41" t="n"/>
      <c r="AE260" s="41" t="n"/>
      <c r="AF260" s="15" t="n"/>
    </row>
    <row r="261">
      <c r="B261" s="9" t="n"/>
      <c r="C261" s="57" t="n">
        <v>24</v>
      </c>
      <c r="D261" s="41" t="n"/>
      <c r="E261" s="55">
        <f>AI51</f>
        <v/>
      </c>
      <c r="F261" s="41" t="n"/>
      <c r="G261" s="41" t="n"/>
      <c r="H261" s="52">
        <f>AM51</f>
        <v/>
      </c>
      <c r="I261" s="41" t="n"/>
      <c r="J261" s="41" t="n"/>
      <c r="K261" s="53">
        <f>AQ51</f>
        <v/>
      </c>
      <c r="L261" s="41" t="n"/>
      <c r="M261" s="41" t="n"/>
      <c r="N261" s="53">
        <f>BC51</f>
        <v/>
      </c>
      <c r="O261" s="41" t="n"/>
      <c r="P261" s="41" t="n"/>
      <c r="Q261" s="66">
        <f>BJ51</f>
        <v/>
      </c>
      <c r="R261" s="41" t="n"/>
      <c r="S261" s="41" t="n"/>
      <c r="T261" s="55">
        <f>AU51</f>
        <v/>
      </c>
      <c r="U261" s="41" t="n"/>
      <c r="V261" s="76">
        <f>BH51</f>
        <v/>
      </c>
      <c r="W261" s="41" t="n"/>
      <c r="X261" s="76">
        <f>BI51</f>
        <v/>
      </c>
      <c r="Y261" s="41" t="n"/>
      <c r="Z261" s="77">
        <f>BK51</f>
        <v/>
      </c>
      <c r="AA261" s="41" t="n"/>
      <c r="AB261" s="41" t="n"/>
      <c r="AC261" s="78">
        <f>BM51</f>
        <v/>
      </c>
      <c r="AD261" s="41" t="n"/>
      <c r="AE261" s="41" t="n"/>
      <c r="AF261" s="15" t="n"/>
    </row>
    <row r="262">
      <c r="B262" s="9" t="n"/>
      <c r="C262" s="57" t="n">
        <v>25</v>
      </c>
      <c r="D262" s="41" t="n"/>
      <c r="E262" s="55">
        <f>AI52</f>
        <v/>
      </c>
      <c r="F262" s="41" t="n"/>
      <c r="G262" s="41" t="n"/>
      <c r="H262" s="52">
        <f>AM52</f>
        <v/>
      </c>
      <c r="I262" s="41" t="n"/>
      <c r="J262" s="41" t="n"/>
      <c r="K262" s="53">
        <f>AQ52</f>
        <v/>
      </c>
      <c r="L262" s="41" t="n"/>
      <c r="M262" s="41" t="n"/>
      <c r="N262" s="53">
        <f>BC52</f>
        <v/>
      </c>
      <c r="O262" s="41" t="n"/>
      <c r="P262" s="41" t="n"/>
      <c r="Q262" s="66">
        <f>BJ52</f>
        <v/>
      </c>
      <c r="R262" s="41" t="n"/>
      <c r="S262" s="41" t="n"/>
      <c r="T262" s="55">
        <f>AU52</f>
        <v/>
      </c>
      <c r="U262" s="41" t="n"/>
      <c r="V262" s="76">
        <f>BH52</f>
        <v/>
      </c>
      <c r="W262" s="41" t="n"/>
      <c r="X262" s="76">
        <f>BI52</f>
        <v/>
      </c>
      <c r="Y262" s="41" t="n"/>
      <c r="Z262" s="77">
        <f>BK52</f>
        <v/>
      </c>
      <c r="AA262" s="41" t="n"/>
      <c r="AB262" s="41" t="n"/>
      <c r="AC262" s="78">
        <f>BM52</f>
        <v/>
      </c>
      <c r="AD262" s="41" t="n"/>
      <c r="AE262" s="41" t="n"/>
      <c r="AF262" s="15" t="n"/>
    </row>
    <row r="263">
      <c r="B263" s="9" t="n"/>
      <c r="C263" s="57" t="n">
        <v>26</v>
      </c>
      <c r="D263" s="41" t="n"/>
      <c r="E263" s="55">
        <f>AI53</f>
        <v/>
      </c>
      <c r="F263" s="41" t="n"/>
      <c r="G263" s="41" t="n"/>
      <c r="H263" s="52">
        <f>AM53</f>
        <v/>
      </c>
      <c r="I263" s="41" t="n"/>
      <c r="J263" s="41" t="n"/>
      <c r="K263" s="53">
        <f>AQ53</f>
        <v/>
      </c>
      <c r="L263" s="41" t="n"/>
      <c r="M263" s="41" t="n"/>
      <c r="N263" s="53">
        <f>BC53</f>
        <v/>
      </c>
      <c r="O263" s="41" t="n"/>
      <c r="P263" s="41" t="n"/>
      <c r="Q263" s="66">
        <f>BJ53</f>
        <v/>
      </c>
      <c r="R263" s="41" t="n"/>
      <c r="S263" s="41" t="n"/>
      <c r="T263" s="55">
        <f>AU53</f>
        <v/>
      </c>
      <c r="U263" s="41" t="n"/>
      <c r="V263" s="76">
        <f>BH53</f>
        <v/>
      </c>
      <c r="W263" s="41" t="n"/>
      <c r="X263" s="76">
        <f>BI53</f>
        <v/>
      </c>
      <c r="Y263" s="41" t="n"/>
      <c r="Z263" s="77">
        <f>BK53</f>
        <v/>
      </c>
      <c r="AA263" s="41" t="n"/>
      <c r="AB263" s="41" t="n"/>
      <c r="AC263" s="78">
        <f>BM53</f>
        <v/>
      </c>
      <c r="AD263" s="41" t="n"/>
      <c r="AE263" s="41" t="n"/>
      <c r="AF263" s="15" t="n"/>
    </row>
    <row r="264">
      <c r="B264" s="9" t="n"/>
      <c r="C264" s="57" t="n">
        <v>27</v>
      </c>
      <c r="D264" s="41" t="n"/>
      <c r="E264" s="55">
        <f>AI54</f>
        <v/>
      </c>
      <c r="F264" s="41" t="n"/>
      <c r="G264" s="41" t="n"/>
      <c r="H264" s="52">
        <f>AM54</f>
        <v/>
      </c>
      <c r="I264" s="41" t="n"/>
      <c r="J264" s="41" t="n"/>
      <c r="K264" s="53">
        <f>AQ54</f>
        <v/>
      </c>
      <c r="L264" s="41" t="n"/>
      <c r="M264" s="41" t="n"/>
      <c r="N264" s="53">
        <f>BC54</f>
        <v/>
      </c>
      <c r="O264" s="41" t="n"/>
      <c r="P264" s="41" t="n"/>
      <c r="Q264" s="66">
        <f>BJ54</f>
        <v/>
      </c>
      <c r="R264" s="41" t="n"/>
      <c r="S264" s="41" t="n"/>
      <c r="T264" s="55">
        <f>AU54</f>
        <v/>
      </c>
      <c r="U264" s="41" t="n"/>
      <c r="V264" s="76">
        <f>BH54</f>
        <v/>
      </c>
      <c r="W264" s="41" t="n"/>
      <c r="X264" s="76">
        <f>BI54</f>
        <v/>
      </c>
      <c r="Y264" s="41" t="n"/>
      <c r="Z264" s="77">
        <f>BK54</f>
        <v/>
      </c>
      <c r="AA264" s="41" t="n"/>
      <c r="AB264" s="41" t="n"/>
      <c r="AC264" s="78">
        <f>BM54</f>
        <v/>
      </c>
      <c r="AD264" s="41" t="n"/>
      <c r="AE264" s="41" t="n"/>
      <c r="AF264" s="15" t="n"/>
    </row>
    <row r="265">
      <c r="B265" s="9" t="n"/>
      <c r="C265" s="57" t="n">
        <v>28</v>
      </c>
      <c r="D265" s="41" t="n"/>
      <c r="E265" s="55">
        <f>AI55</f>
        <v/>
      </c>
      <c r="F265" s="41" t="n"/>
      <c r="G265" s="41" t="n"/>
      <c r="H265" s="52">
        <f>AM55</f>
        <v/>
      </c>
      <c r="I265" s="41" t="n"/>
      <c r="J265" s="41" t="n"/>
      <c r="K265" s="53">
        <f>AQ55</f>
        <v/>
      </c>
      <c r="L265" s="41" t="n"/>
      <c r="M265" s="41" t="n"/>
      <c r="N265" s="53">
        <f>BC55</f>
        <v/>
      </c>
      <c r="O265" s="41" t="n"/>
      <c r="P265" s="41" t="n"/>
      <c r="Q265" s="66">
        <f>BJ55</f>
        <v/>
      </c>
      <c r="R265" s="41" t="n"/>
      <c r="S265" s="41" t="n"/>
      <c r="T265" s="55">
        <f>AU55</f>
        <v/>
      </c>
      <c r="U265" s="41" t="n"/>
      <c r="V265" s="76">
        <f>BH55</f>
        <v/>
      </c>
      <c r="W265" s="41" t="n"/>
      <c r="X265" s="76">
        <f>BI55</f>
        <v/>
      </c>
      <c r="Y265" s="41" t="n"/>
      <c r="Z265" s="77">
        <f>BK55</f>
        <v/>
      </c>
      <c r="AA265" s="41" t="n"/>
      <c r="AB265" s="41" t="n"/>
      <c r="AC265" s="78">
        <f>BM55</f>
        <v/>
      </c>
      <c r="AD265" s="41" t="n"/>
      <c r="AE265" s="41" t="n"/>
      <c r="AF265" s="15" t="n"/>
    </row>
    <row r="266">
      <c r="B266" s="9" t="n"/>
      <c r="C266" s="57" t="n">
        <v>29</v>
      </c>
      <c r="D266" s="41" t="n"/>
      <c r="E266" s="55">
        <f>AI56</f>
        <v/>
      </c>
      <c r="F266" s="41" t="n"/>
      <c r="G266" s="41" t="n"/>
      <c r="H266" s="52">
        <f>AM56</f>
        <v/>
      </c>
      <c r="I266" s="41" t="n"/>
      <c r="J266" s="41" t="n"/>
      <c r="K266" s="53">
        <f>AQ56</f>
        <v/>
      </c>
      <c r="L266" s="41" t="n"/>
      <c r="M266" s="41" t="n"/>
      <c r="N266" s="53">
        <f>BC56</f>
        <v/>
      </c>
      <c r="O266" s="41" t="n"/>
      <c r="P266" s="41" t="n"/>
      <c r="Q266" s="66">
        <f>BJ56</f>
        <v/>
      </c>
      <c r="R266" s="41" t="n"/>
      <c r="S266" s="41" t="n"/>
      <c r="T266" s="55">
        <f>AU56</f>
        <v/>
      </c>
      <c r="U266" s="41" t="n"/>
      <c r="V266" s="76">
        <f>BH56</f>
        <v/>
      </c>
      <c r="W266" s="41" t="n"/>
      <c r="X266" s="76">
        <f>BI56</f>
        <v/>
      </c>
      <c r="Y266" s="41" t="n"/>
      <c r="Z266" s="77">
        <f>BK56</f>
        <v/>
      </c>
      <c r="AA266" s="41" t="n"/>
      <c r="AB266" s="41" t="n"/>
      <c r="AC266" s="78">
        <f>BM56</f>
        <v/>
      </c>
      <c r="AD266" s="41" t="n"/>
      <c r="AE266" s="41" t="n"/>
      <c r="AF266" s="15" t="n"/>
    </row>
    <row r="267">
      <c r="B267" s="9" t="n"/>
      <c r="C267" s="57" t="n">
        <v>30</v>
      </c>
      <c r="D267" s="41" t="n"/>
      <c r="E267" s="55">
        <f>AI57</f>
        <v/>
      </c>
      <c r="F267" s="41" t="n"/>
      <c r="G267" s="41" t="n"/>
      <c r="H267" s="52">
        <f>AM57</f>
        <v/>
      </c>
      <c r="I267" s="41" t="n"/>
      <c r="J267" s="41" t="n"/>
      <c r="K267" s="53">
        <f>AQ57</f>
        <v/>
      </c>
      <c r="L267" s="41" t="n"/>
      <c r="M267" s="41" t="n"/>
      <c r="N267" s="53">
        <f>BC57</f>
        <v/>
      </c>
      <c r="O267" s="41" t="n"/>
      <c r="P267" s="41" t="n"/>
      <c r="Q267" s="66">
        <f>BJ57</f>
        <v/>
      </c>
      <c r="R267" s="41" t="n"/>
      <c r="S267" s="41" t="n"/>
      <c r="T267" s="55">
        <f>AU57</f>
        <v/>
      </c>
      <c r="U267" s="41" t="n"/>
      <c r="V267" s="76">
        <f>BH57</f>
        <v/>
      </c>
      <c r="W267" s="41" t="n"/>
      <c r="X267" s="76">
        <f>BI57</f>
        <v/>
      </c>
      <c r="Y267" s="41" t="n"/>
      <c r="Z267" s="77">
        <f>BK57</f>
        <v/>
      </c>
      <c r="AA267" s="41" t="n"/>
      <c r="AB267" s="41" t="n"/>
      <c r="AC267" s="78">
        <f>BM57</f>
        <v/>
      </c>
      <c r="AD267" s="41" t="n"/>
      <c r="AE267" s="41" t="n"/>
      <c r="AF267" s="15" t="n"/>
    </row>
    <row r="268">
      <c r="B268" s="9" t="n"/>
      <c r="C268" s="57" t="n">
        <v>31</v>
      </c>
      <c r="D268" s="41" t="n"/>
      <c r="E268" s="55">
        <f>AI58</f>
        <v/>
      </c>
      <c r="F268" s="41" t="n"/>
      <c r="G268" s="41" t="n"/>
      <c r="H268" s="52">
        <f>AM58</f>
        <v/>
      </c>
      <c r="I268" s="41" t="n"/>
      <c r="J268" s="41" t="n"/>
      <c r="K268" s="53">
        <f>AQ58</f>
        <v/>
      </c>
      <c r="L268" s="41" t="n"/>
      <c r="M268" s="41" t="n"/>
      <c r="N268" s="53">
        <f>BC58</f>
        <v/>
      </c>
      <c r="O268" s="41" t="n"/>
      <c r="P268" s="41" t="n"/>
      <c r="Q268" s="66">
        <f>BJ58</f>
        <v/>
      </c>
      <c r="R268" s="41" t="n"/>
      <c r="S268" s="41" t="n"/>
      <c r="T268" s="55">
        <f>AU58</f>
        <v/>
      </c>
      <c r="U268" s="41" t="n"/>
      <c r="V268" s="76">
        <f>BH58</f>
        <v/>
      </c>
      <c r="W268" s="41" t="n"/>
      <c r="X268" s="76">
        <f>BI58</f>
        <v/>
      </c>
      <c r="Y268" s="41" t="n"/>
      <c r="Z268" s="77">
        <f>BK58</f>
        <v/>
      </c>
      <c r="AA268" s="41" t="n"/>
      <c r="AB268" s="41" t="n"/>
      <c r="AC268" s="78">
        <f>BM58</f>
        <v/>
      </c>
      <c r="AD268" s="41" t="n"/>
      <c r="AE268" s="41" t="n"/>
      <c r="AF268" s="15" t="n"/>
    </row>
    <row r="269">
      <c r="B269" s="9" t="n"/>
      <c r="C269" s="57" t="n">
        <v>32</v>
      </c>
      <c r="D269" s="41" t="n"/>
      <c r="E269" s="55">
        <f>AI59</f>
        <v/>
      </c>
      <c r="F269" s="41" t="n"/>
      <c r="G269" s="41" t="n"/>
      <c r="H269" s="52">
        <f>AM59</f>
        <v/>
      </c>
      <c r="I269" s="41" t="n"/>
      <c r="J269" s="41" t="n"/>
      <c r="K269" s="53">
        <f>AQ59</f>
        <v/>
      </c>
      <c r="L269" s="41" t="n"/>
      <c r="M269" s="41" t="n"/>
      <c r="N269" s="53">
        <f>BC59</f>
        <v/>
      </c>
      <c r="O269" s="41" t="n"/>
      <c r="P269" s="41" t="n"/>
      <c r="Q269" s="66">
        <f>BJ59</f>
        <v/>
      </c>
      <c r="R269" s="41" t="n"/>
      <c r="S269" s="41" t="n"/>
      <c r="T269" s="55">
        <f>AU59</f>
        <v/>
      </c>
      <c r="U269" s="41" t="n"/>
      <c r="V269" s="76">
        <f>BH59</f>
        <v/>
      </c>
      <c r="W269" s="41" t="n"/>
      <c r="X269" s="76">
        <f>BI59</f>
        <v/>
      </c>
      <c r="Y269" s="41" t="n"/>
      <c r="Z269" s="77">
        <f>BK59</f>
        <v/>
      </c>
      <c r="AA269" s="41" t="n"/>
      <c r="AB269" s="41" t="n"/>
      <c r="AC269" s="78">
        <f>BM59</f>
        <v/>
      </c>
      <c r="AD269" s="41" t="n"/>
      <c r="AE269" s="41" t="n"/>
      <c r="AF269" s="15" t="n"/>
    </row>
    <row r="270">
      <c r="B270" s="9" t="n"/>
      <c r="C270" s="57" t="n">
        <v>33</v>
      </c>
      <c r="D270" s="41" t="n"/>
      <c r="E270" s="55">
        <f>AI60</f>
        <v/>
      </c>
      <c r="F270" s="41" t="n"/>
      <c r="G270" s="41" t="n"/>
      <c r="H270" s="52">
        <f>AM60</f>
        <v/>
      </c>
      <c r="I270" s="41" t="n"/>
      <c r="J270" s="41" t="n"/>
      <c r="K270" s="53">
        <f>AQ60</f>
        <v/>
      </c>
      <c r="L270" s="41" t="n"/>
      <c r="M270" s="41" t="n"/>
      <c r="N270" s="53">
        <f>BC60</f>
        <v/>
      </c>
      <c r="O270" s="41" t="n"/>
      <c r="P270" s="41" t="n"/>
      <c r="Q270" s="66">
        <f>BJ60</f>
        <v/>
      </c>
      <c r="R270" s="41" t="n"/>
      <c r="S270" s="41" t="n"/>
      <c r="T270" s="55">
        <f>AU60</f>
        <v/>
      </c>
      <c r="U270" s="41" t="n"/>
      <c r="V270" s="76">
        <f>BH60</f>
        <v/>
      </c>
      <c r="W270" s="41" t="n"/>
      <c r="X270" s="76">
        <f>BI60</f>
        <v/>
      </c>
      <c r="Y270" s="41" t="n"/>
      <c r="Z270" s="77">
        <f>BK60</f>
        <v/>
      </c>
      <c r="AA270" s="41" t="n"/>
      <c r="AB270" s="41" t="n"/>
      <c r="AC270" s="78">
        <f>BM60</f>
        <v/>
      </c>
      <c r="AD270" s="41" t="n"/>
      <c r="AE270" s="41" t="n"/>
      <c r="AF270" s="15" t="n"/>
    </row>
    <row r="271">
      <c r="B271" s="9" t="n"/>
      <c r="C271" s="57" t="n">
        <v>34</v>
      </c>
      <c r="D271" s="41" t="n"/>
      <c r="E271" s="55">
        <f>AI61</f>
        <v/>
      </c>
      <c r="F271" s="41" t="n"/>
      <c r="G271" s="41" t="n"/>
      <c r="H271" s="52">
        <f>AM61</f>
        <v/>
      </c>
      <c r="I271" s="41" t="n"/>
      <c r="J271" s="41" t="n"/>
      <c r="K271" s="53">
        <f>AQ61</f>
        <v/>
      </c>
      <c r="L271" s="41" t="n"/>
      <c r="M271" s="41" t="n"/>
      <c r="N271" s="53">
        <f>BC61</f>
        <v/>
      </c>
      <c r="O271" s="41" t="n"/>
      <c r="P271" s="41" t="n"/>
      <c r="Q271" s="66">
        <f>BJ61</f>
        <v/>
      </c>
      <c r="R271" s="41" t="n"/>
      <c r="S271" s="41" t="n"/>
      <c r="T271" s="55">
        <f>AU61</f>
        <v/>
      </c>
      <c r="U271" s="41" t="n"/>
      <c r="V271" s="76">
        <f>BH61</f>
        <v/>
      </c>
      <c r="W271" s="41" t="n"/>
      <c r="X271" s="76">
        <f>BI61</f>
        <v/>
      </c>
      <c r="Y271" s="41" t="n"/>
      <c r="Z271" s="77">
        <f>BK61</f>
        <v/>
      </c>
      <c r="AA271" s="41" t="n"/>
      <c r="AB271" s="41" t="n"/>
      <c r="AC271" s="78">
        <f>BM61</f>
        <v/>
      </c>
      <c r="AD271" s="41" t="n"/>
      <c r="AE271" s="41" t="n"/>
      <c r="AF271" s="15" t="n"/>
    </row>
    <row r="272">
      <c r="B272" s="9" t="n"/>
      <c r="C272" s="57" t="n">
        <v>35</v>
      </c>
      <c r="D272" s="41" t="n"/>
      <c r="E272" s="55">
        <f>AI62</f>
        <v/>
      </c>
      <c r="F272" s="41" t="n"/>
      <c r="G272" s="41" t="n"/>
      <c r="H272" s="52">
        <f>AM62</f>
        <v/>
      </c>
      <c r="I272" s="41" t="n"/>
      <c r="J272" s="41" t="n"/>
      <c r="K272" s="53">
        <f>AQ62</f>
        <v/>
      </c>
      <c r="L272" s="41" t="n"/>
      <c r="M272" s="41" t="n"/>
      <c r="N272" s="53">
        <f>BC62</f>
        <v/>
      </c>
      <c r="O272" s="41" t="n"/>
      <c r="P272" s="41" t="n"/>
      <c r="Q272" s="66">
        <f>BJ62</f>
        <v/>
      </c>
      <c r="R272" s="41" t="n"/>
      <c r="S272" s="41" t="n"/>
      <c r="T272" s="55">
        <f>AU62</f>
        <v/>
      </c>
      <c r="U272" s="41" t="n"/>
      <c r="V272" s="76">
        <f>BH62</f>
        <v/>
      </c>
      <c r="W272" s="41" t="n"/>
      <c r="X272" s="76">
        <f>BI62</f>
        <v/>
      </c>
      <c r="Y272" s="41" t="n"/>
      <c r="Z272" s="77">
        <f>BK62</f>
        <v/>
      </c>
      <c r="AA272" s="41" t="n"/>
      <c r="AB272" s="41" t="n"/>
      <c r="AC272" s="78">
        <f>BM62</f>
        <v/>
      </c>
      <c r="AD272" s="41" t="n"/>
      <c r="AE272" s="41" t="n"/>
      <c r="AF272" s="15" t="n"/>
    </row>
    <row r="273">
      <c r="B273" s="9" t="n"/>
      <c r="C273" s="57" t="n">
        <v>36</v>
      </c>
      <c r="D273" s="41" t="n"/>
      <c r="E273" s="55">
        <f>AI63</f>
        <v/>
      </c>
      <c r="F273" s="41" t="n"/>
      <c r="G273" s="41" t="n"/>
      <c r="H273" s="52">
        <f>AM63</f>
        <v/>
      </c>
      <c r="I273" s="41" t="n"/>
      <c r="J273" s="41" t="n"/>
      <c r="K273" s="53">
        <f>AQ63</f>
        <v/>
      </c>
      <c r="L273" s="41" t="n"/>
      <c r="M273" s="41" t="n"/>
      <c r="N273" s="53">
        <f>BC63</f>
        <v/>
      </c>
      <c r="O273" s="41" t="n"/>
      <c r="P273" s="41" t="n"/>
      <c r="Q273" s="66">
        <f>BJ63</f>
        <v/>
      </c>
      <c r="R273" s="41" t="n"/>
      <c r="S273" s="41" t="n"/>
      <c r="T273" s="55">
        <f>AU63</f>
        <v/>
      </c>
      <c r="U273" s="41" t="n"/>
      <c r="V273" s="76">
        <f>BH63</f>
        <v/>
      </c>
      <c r="W273" s="41" t="n"/>
      <c r="X273" s="76">
        <f>BI63</f>
        <v/>
      </c>
      <c r="Y273" s="41" t="n"/>
      <c r="Z273" s="77">
        <f>BK63</f>
        <v/>
      </c>
      <c r="AA273" s="41" t="n"/>
      <c r="AB273" s="41" t="n"/>
      <c r="AC273" s="78">
        <f>BM63</f>
        <v/>
      </c>
      <c r="AD273" s="41" t="n"/>
      <c r="AE273" s="41" t="n"/>
      <c r="AF273" s="15" t="n"/>
    </row>
    <row r="274">
      <c r="B274" s="9" t="n"/>
      <c r="C274" s="57" t="n">
        <v>37</v>
      </c>
      <c r="D274" s="41" t="n"/>
      <c r="E274" s="55">
        <f>AI64</f>
        <v/>
      </c>
      <c r="F274" s="41" t="n"/>
      <c r="G274" s="41" t="n"/>
      <c r="H274" s="52">
        <f>AM64</f>
        <v/>
      </c>
      <c r="I274" s="41" t="n"/>
      <c r="J274" s="41" t="n"/>
      <c r="K274" s="53">
        <f>AQ64</f>
        <v/>
      </c>
      <c r="L274" s="41" t="n"/>
      <c r="M274" s="41" t="n"/>
      <c r="N274" s="53">
        <f>BC64</f>
        <v/>
      </c>
      <c r="O274" s="41" t="n"/>
      <c r="P274" s="41" t="n"/>
      <c r="Q274" s="66">
        <f>BJ64</f>
        <v/>
      </c>
      <c r="R274" s="41" t="n"/>
      <c r="S274" s="41" t="n"/>
      <c r="T274" s="55">
        <f>AU64</f>
        <v/>
      </c>
      <c r="U274" s="41" t="n"/>
      <c r="V274" s="76">
        <f>BH64</f>
        <v/>
      </c>
      <c r="W274" s="41" t="n"/>
      <c r="X274" s="76">
        <f>BI64</f>
        <v/>
      </c>
      <c r="Y274" s="41" t="n"/>
      <c r="Z274" s="77">
        <f>BK64</f>
        <v/>
      </c>
      <c r="AA274" s="41" t="n"/>
      <c r="AB274" s="41" t="n"/>
      <c r="AC274" s="78">
        <f>BM64</f>
        <v/>
      </c>
      <c r="AD274" s="41" t="n"/>
      <c r="AE274" s="41" t="n"/>
      <c r="AF274" s="15" t="n"/>
    </row>
    <row r="275">
      <c r="B275" s="9" t="n"/>
      <c r="C275" s="57" t="n">
        <v>38</v>
      </c>
      <c r="D275" s="41" t="n"/>
      <c r="E275" s="55">
        <f>AI65</f>
        <v/>
      </c>
      <c r="F275" s="41" t="n"/>
      <c r="G275" s="41" t="n"/>
      <c r="H275" s="52">
        <f>AM65</f>
        <v/>
      </c>
      <c r="I275" s="41" t="n"/>
      <c r="J275" s="41" t="n"/>
      <c r="K275" s="53">
        <f>AQ65</f>
        <v/>
      </c>
      <c r="L275" s="41" t="n"/>
      <c r="M275" s="41" t="n"/>
      <c r="N275" s="53">
        <f>BC65</f>
        <v/>
      </c>
      <c r="O275" s="41" t="n"/>
      <c r="P275" s="41" t="n"/>
      <c r="Q275" s="66">
        <f>BJ65</f>
        <v/>
      </c>
      <c r="R275" s="41" t="n"/>
      <c r="S275" s="41" t="n"/>
      <c r="T275" s="55">
        <f>AU65</f>
        <v/>
      </c>
      <c r="U275" s="41" t="n"/>
      <c r="V275" s="76">
        <f>BH65</f>
        <v/>
      </c>
      <c r="W275" s="41" t="n"/>
      <c r="X275" s="76">
        <f>BI65</f>
        <v/>
      </c>
      <c r="Y275" s="41" t="n"/>
      <c r="Z275" s="77">
        <f>BK65</f>
        <v/>
      </c>
      <c r="AA275" s="41" t="n"/>
      <c r="AB275" s="41" t="n"/>
      <c r="AC275" s="78">
        <f>BM65</f>
        <v/>
      </c>
      <c r="AD275" s="41" t="n"/>
      <c r="AE275" s="41" t="n"/>
      <c r="AF275" s="15" t="n"/>
    </row>
    <row r="276">
      <c r="B276" s="9" t="n"/>
      <c r="C276" s="57" t="n">
        <v>39</v>
      </c>
      <c r="D276" s="41" t="n"/>
      <c r="E276" s="55">
        <f>AI66</f>
        <v/>
      </c>
      <c r="F276" s="41" t="n"/>
      <c r="G276" s="41" t="n"/>
      <c r="H276" s="52">
        <f>AM66</f>
        <v/>
      </c>
      <c r="I276" s="41" t="n"/>
      <c r="J276" s="41" t="n"/>
      <c r="K276" s="53">
        <f>AQ66</f>
        <v/>
      </c>
      <c r="L276" s="41" t="n"/>
      <c r="M276" s="41" t="n"/>
      <c r="N276" s="53">
        <f>BC66</f>
        <v/>
      </c>
      <c r="O276" s="41" t="n"/>
      <c r="P276" s="41" t="n"/>
      <c r="Q276" s="66">
        <f>BJ66</f>
        <v/>
      </c>
      <c r="R276" s="41" t="n"/>
      <c r="S276" s="41" t="n"/>
      <c r="T276" s="55">
        <f>AU66</f>
        <v/>
      </c>
      <c r="U276" s="41" t="n"/>
      <c r="V276" s="76">
        <f>BH66</f>
        <v/>
      </c>
      <c r="W276" s="41" t="n"/>
      <c r="X276" s="76">
        <f>BI66</f>
        <v/>
      </c>
      <c r="Y276" s="41" t="n"/>
      <c r="Z276" s="77">
        <f>BK66</f>
        <v/>
      </c>
      <c r="AA276" s="41" t="n"/>
      <c r="AB276" s="41" t="n"/>
      <c r="AC276" s="78">
        <f>BM66</f>
        <v/>
      </c>
      <c r="AD276" s="41" t="n"/>
      <c r="AE276" s="41" t="n"/>
      <c r="AF276" s="15" t="n"/>
    </row>
    <row r="277">
      <c r="B277" s="9" t="n"/>
      <c r="C277" s="57" t="n">
        <v>40</v>
      </c>
      <c r="D277" s="41" t="n"/>
      <c r="E277" s="55">
        <f>AI67</f>
        <v/>
      </c>
      <c r="F277" s="41" t="n"/>
      <c r="G277" s="41" t="n"/>
      <c r="H277" s="52">
        <f>AM67</f>
        <v/>
      </c>
      <c r="I277" s="41" t="n"/>
      <c r="J277" s="41" t="n"/>
      <c r="K277" s="53">
        <f>AQ67</f>
        <v/>
      </c>
      <c r="L277" s="41" t="n"/>
      <c r="M277" s="41" t="n"/>
      <c r="N277" s="53">
        <f>BC67</f>
        <v/>
      </c>
      <c r="O277" s="41" t="n"/>
      <c r="P277" s="41" t="n"/>
      <c r="Q277" s="66">
        <f>BJ67</f>
        <v/>
      </c>
      <c r="R277" s="41" t="n"/>
      <c r="S277" s="41" t="n"/>
      <c r="T277" s="55">
        <f>AU67</f>
        <v/>
      </c>
      <c r="U277" s="41" t="n"/>
      <c r="V277" s="76">
        <f>BH67</f>
        <v/>
      </c>
      <c r="W277" s="41" t="n"/>
      <c r="X277" s="76">
        <f>BI67</f>
        <v/>
      </c>
      <c r="Y277" s="41" t="n"/>
      <c r="Z277" s="77">
        <f>BK67</f>
        <v/>
      </c>
      <c r="AA277" s="41" t="n"/>
      <c r="AB277" s="41" t="n"/>
      <c r="AC277" s="78">
        <f>BM67</f>
        <v/>
      </c>
      <c r="AD277" s="41" t="n"/>
      <c r="AE277" s="41" t="n"/>
      <c r="AF277" s="15" t="n"/>
    </row>
    <row r="278">
      <c r="B278" s="9" t="n"/>
      <c r="C278" s="69" t="n">
        <v>41</v>
      </c>
      <c r="D278" s="46" t="n"/>
      <c r="E278" s="70">
        <f>AI68</f>
        <v/>
      </c>
      <c r="F278" s="46" t="n"/>
      <c r="G278" s="46" t="n"/>
      <c r="H278" s="59">
        <f>AM68</f>
        <v/>
      </c>
      <c r="I278" s="46" t="n"/>
      <c r="J278" s="46" t="n"/>
      <c r="K278" s="60">
        <f>AQ68</f>
        <v/>
      </c>
      <c r="L278" s="46" t="n"/>
      <c r="M278" s="46" t="n"/>
      <c r="N278" s="60">
        <f>BC68</f>
        <v/>
      </c>
      <c r="O278" s="46" t="n"/>
      <c r="P278" s="46" t="n"/>
      <c r="Q278" s="71">
        <f>BJ68</f>
        <v/>
      </c>
      <c r="R278" s="46" t="n"/>
      <c r="S278" s="46" t="n"/>
      <c r="T278" s="70">
        <f>AU68</f>
        <v/>
      </c>
      <c r="U278" s="46" t="n"/>
      <c r="V278" s="79">
        <f>BH68</f>
        <v/>
      </c>
      <c r="W278" s="46" t="n"/>
      <c r="X278" s="79">
        <f>BI68</f>
        <v/>
      </c>
      <c r="Y278" s="46" t="n"/>
      <c r="Z278" s="80">
        <f>BK68</f>
        <v/>
      </c>
      <c r="AA278" s="46" t="n"/>
      <c r="AB278" s="46" t="n"/>
      <c r="AC278" s="81">
        <f>BM68</f>
        <v/>
      </c>
      <c r="AD278" s="46" t="n"/>
      <c r="AE278" s="46" t="n"/>
      <c r="AF278" s="15" t="n"/>
    </row>
    <row r="279">
      <c r="B279" s="9" t="n"/>
      <c r="AF279" s="15" t="n"/>
    </row>
    <row r="280">
      <c r="B280" s="9" t="n"/>
      <c r="C280" s="25" t="inlineStr">
        <is>
          <t>Total consolidation settlement</t>
        </is>
      </c>
      <c r="O280" s="26" t="inlineStr">
        <is>
          <t>Sc = Σ Sc</t>
        </is>
      </c>
      <c r="X280" s="27" t="inlineStr">
        <is>
          <t>Sc =</t>
        </is>
      </c>
      <c r="Y280" s="13" t="n"/>
      <c r="Z280" s="13" t="n"/>
      <c r="AA280" s="30">
        <f>SUM(BK28:BK68)</f>
        <v/>
      </c>
      <c r="AB280" s="13" t="n"/>
      <c r="AC280" s="13" t="n"/>
      <c r="AD280" s="25" t="inlineStr">
        <is>
          <t>mm</t>
        </is>
      </c>
      <c r="AF280" s="15" t="n"/>
    </row>
    <row r="281">
      <c r="B281" s="9" t="n"/>
      <c r="C281" s="25" t="inlineStr">
        <is>
          <t>Time for 90 % consolidation (slowest layer)</t>
        </is>
      </c>
      <c r="O281" s="26" t="inlineStr">
        <is>
          <t>t90 = max</t>
        </is>
      </c>
      <c r="X281" s="27" t="inlineStr">
        <is>
          <t>t90 =</t>
        </is>
      </c>
      <c r="Y281" s="13" t="n"/>
      <c r="Z281" s="13" t="n"/>
      <c r="AA281" s="61">
        <f>MAX(BM28:BM68)</f>
        <v/>
      </c>
      <c r="AB281" s="13" t="n"/>
      <c r="AC281" s="13" t="n"/>
      <c r="AD281" s="25" t="inlineStr">
        <is>
          <t>year</t>
        </is>
      </c>
      <c r="AF281" s="15" t="n"/>
    </row>
    <row r="282">
      <c r="B282" s="9" t="n"/>
      <c r="AF282" s="15" t="n"/>
    </row>
    <row r="283">
      <c r="B283" s="9" t="n"/>
      <c r="AF283" s="15" t="n"/>
    </row>
    <row r="284">
      <c r="B284" s="9" t="n"/>
      <c r="AF284" s="15" t="n"/>
    </row>
    <row r="285">
      <c r="B285" s="9" t="n"/>
      <c r="AF285" s="15" t="n"/>
    </row>
    <row r="286">
      <c r="B286" s="9" t="n"/>
      <c r="AF286" s="15" t="n"/>
    </row>
    <row r="287">
      <c r="B287" s="9" t="n"/>
      <c r="AF287" s="15" t="n"/>
    </row>
    <row r="288">
      <c r="B288" s="9" t="n"/>
      <c r="AF288" s="15" t="n"/>
    </row>
    <row r="289">
      <c r="B289" s="47" t="n"/>
      <c r="C289" s="48" t="n"/>
      <c r="D289" s="48" t="n"/>
      <c r="E289" s="48" t="n"/>
      <c r="F289" s="48" t="n"/>
      <c r="G289" s="48" t="n"/>
      <c r="H289" s="48" t="n"/>
      <c r="I289" s="48" t="n"/>
      <c r="J289" s="48" t="n"/>
      <c r="K289" s="48" t="n"/>
      <c r="L289" s="48" t="n"/>
      <c r="M289" s="48" t="n"/>
      <c r="N289" s="48" t="n"/>
      <c r="O289" s="48" t="n"/>
      <c r="P289" s="48" t="n"/>
      <c r="Q289" s="48" t="n"/>
      <c r="R289" s="48" t="n"/>
      <c r="S289" s="48" t="n"/>
      <c r="T289" s="48" t="n"/>
      <c r="U289" s="48" t="n"/>
      <c r="V289" s="48" t="n"/>
      <c r="W289" s="48" t="n"/>
      <c r="X289" s="49" t="inlineStr">
        <is>
          <t>Sheet :</t>
        </is>
      </c>
      <c r="Y289" s="48" t="n"/>
      <c r="Z289" s="48" t="n"/>
      <c r="AA289" s="48" t="n"/>
      <c r="AB289" s="49" t="n">
        <v>4</v>
      </c>
      <c r="AC289" s="48" t="n"/>
      <c r="AD289" s="48" t="n"/>
      <c r="AE289" s="48" t="n"/>
      <c r="AF289" s="50" t="n"/>
    </row>
    <row r="290">
      <c r="B290" s="1" t="n"/>
      <c r="C290" s="2" t="inlineStr">
        <is>
          <t>PROJECT :</t>
        </is>
      </c>
      <c r="D290" s="3" t="n"/>
      <c r="E290" s="3" t="n"/>
      <c r="F290" s="3" t="n"/>
      <c r="G290" s="3" t="n"/>
      <c r="H290" s="4" t="inlineStr">
        <is>
          <t>GEOTHERMAL WELLPAD PSPE BORA PULU - SIGI, CENTRAL SULAWESI</t>
        </is>
      </c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5" t="inlineStr">
        <is>
          <t>Prepared by :</t>
        </is>
      </c>
      <c r="Y290" s="6" t="n"/>
      <c r="Z290" s="6" t="n"/>
      <c r="AA290" s="6" t="n"/>
      <c r="AB290" s="7" t="inlineStr">
        <is>
          <t>Date</t>
        </is>
      </c>
      <c r="AC290" s="6" t="n"/>
      <c r="AD290" s="6" t="n"/>
      <c r="AE290" s="6" t="n"/>
      <c r="AF290" s="8" t="n"/>
    </row>
    <row r="291">
      <c r="B291" s="9" t="n"/>
      <c r="C291" s="10" t="inlineStr">
        <is>
          <t>CLIENT :</t>
        </is>
      </c>
      <c r="H291" s="11" t="inlineStr">
        <is>
          <t>PT EDC PANAS BUMI INDONESIA</t>
        </is>
      </c>
      <c r="X291" s="12" t="inlineStr">
        <is>
          <t>DF</t>
        </is>
      </c>
      <c r="Y291" s="13" t="n"/>
      <c r="Z291" s="13" t="n"/>
      <c r="AA291" s="13" t="n"/>
      <c r="AB291" s="14" t="n">
        <v>46301</v>
      </c>
      <c r="AC291" s="13" t="n"/>
      <c r="AD291" s="13" t="n"/>
      <c r="AE291" s="13" t="n"/>
      <c r="AF291" s="15" t="n"/>
    </row>
    <row r="292">
      <c r="B292" s="9" t="n"/>
      <c r="C292" s="10" t="inlineStr">
        <is>
          <t>LOCATION :</t>
        </is>
      </c>
      <c r="H292" s="11" t="inlineStr">
        <is>
          <t>BH-03 (Log Yard)</t>
        </is>
      </c>
      <c r="X292" s="12" t="inlineStr">
        <is>
          <t>Verified by :</t>
        </is>
      </c>
      <c r="Y292" s="13" t="n"/>
      <c r="Z292" s="13" t="n"/>
      <c r="AA292" s="13" t="n"/>
      <c r="AB292" s="14" t="inlineStr">
        <is>
          <t>Date</t>
        </is>
      </c>
      <c r="AC292" s="13" t="n"/>
      <c r="AD292" s="13" t="n"/>
      <c r="AE292" s="13" t="n"/>
      <c r="AF292" s="15" t="n"/>
    </row>
    <row r="293">
      <c r="B293" s="16" t="n"/>
      <c r="C293" s="17" t="inlineStr">
        <is>
          <t>SHEET :</t>
        </is>
      </c>
      <c r="D293" s="18" t="n"/>
      <c r="E293" s="18" t="n"/>
      <c r="F293" s="18" t="n"/>
      <c r="G293" s="18" t="n"/>
      <c r="H293" s="19" t="inlineStr">
        <is>
          <t>BEARING CAPACITY AND SETTLEMENT OF SUBGRADE</t>
        </is>
      </c>
      <c r="I293" s="18" t="n"/>
      <c r="J293" s="18" t="n"/>
      <c r="K293" s="18" t="n"/>
      <c r="L293" s="18" t="n"/>
      <c r="M293" s="18" t="n"/>
      <c r="N293" s="18" t="n"/>
      <c r="O293" s="18" t="n"/>
      <c r="P293" s="18" t="n"/>
      <c r="Q293" s="18" t="n"/>
      <c r="R293" s="18" t="n"/>
      <c r="S293" s="18" t="n"/>
      <c r="T293" s="18" t="n"/>
      <c r="U293" s="18" t="n"/>
      <c r="V293" s="18" t="n"/>
      <c r="W293" s="18" t="n"/>
      <c r="X293" s="20" t="inlineStr">
        <is>
          <t>BC</t>
        </is>
      </c>
      <c r="Y293" s="21" t="n"/>
      <c r="Z293" s="21" t="n"/>
      <c r="AA293" s="21" t="n"/>
      <c r="AB293" s="22" t="n">
        <v>46301</v>
      </c>
      <c r="AC293" s="21" t="n"/>
      <c r="AD293" s="21" t="n"/>
      <c r="AE293" s="21" t="n"/>
      <c r="AF293" s="23" t="n"/>
    </row>
    <row r="294">
      <c r="B294" s="9" t="n"/>
      <c r="AF294" s="15" t="n"/>
    </row>
    <row r="295">
      <c r="B295" s="9" t="n"/>
      <c r="C295" s="11" t="inlineStr">
        <is>
          <t>6. SUMMARY</t>
        </is>
      </c>
      <c r="AF295" s="15" t="n"/>
    </row>
    <row r="296">
      <c r="B296" s="9" t="n"/>
      <c r="AF296" s="15" t="n"/>
    </row>
    <row r="297">
      <c r="B297" s="9" t="n"/>
      <c r="C297" s="25" t="inlineStr">
        <is>
          <t>Allowable bearing capacity - without improvement</t>
        </is>
      </c>
      <c r="O297" s="26" t="inlineStr"/>
      <c r="X297" s="27" t="inlineStr">
        <is>
          <t>qall =</t>
        </is>
      </c>
      <c r="Y297" s="13" t="n"/>
      <c r="Z297" s="13" t="n"/>
      <c r="AA297" s="62">
        <f>$AA$97</f>
        <v/>
      </c>
      <c r="AB297" s="13" t="n"/>
      <c r="AC297" s="13" t="n"/>
      <c r="AD297" s="25" t="inlineStr">
        <is>
          <t>kPa</t>
        </is>
      </c>
      <c r="AF297" s="15" t="n"/>
    </row>
    <row r="298">
      <c r="B298" s="9" t="n"/>
      <c r="C298" s="25" t="inlineStr">
        <is>
          <t xml:space="preserve">   check</t>
        </is>
      </c>
      <c r="X298" s="82">
        <f>$X$101</f>
        <v/>
      </c>
      <c r="AF298" s="15" t="n"/>
    </row>
    <row r="299">
      <c r="B299" s="9" t="n"/>
      <c r="C299" s="25" t="inlineStr">
        <is>
          <t>Allowable bearing capacity - design condition</t>
        </is>
      </c>
      <c r="O299" s="26" t="inlineStr">
        <is>
          <t>Dr from Section 1.2</t>
        </is>
      </c>
      <c r="X299" s="27" t="inlineStr">
        <is>
          <t>qall =</t>
        </is>
      </c>
      <c r="Y299" s="13" t="n"/>
      <c r="Z299" s="13" t="n"/>
      <c r="AA299" s="62">
        <f>$AA$115</f>
        <v/>
      </c>
      <c r="AB299" s="13" t="n"/>
      <c r="AC299" s="13" t="n"/>
      <c r="AD299" s="25" t="inlineStr">
        <is>
          <t>kPa</t>
        </is>
      </c>
      <c r="AF299" s="15" t="n"/>
    </row>
    <row r="300">
      <c r="B300" s="9" t="n"/>
      <c r="C300" s="25" t="inlineStr">
        <is>
          <t xml:space="preserve">   check</t>
        </is>
      </c>
      <c r="X300" s="82">
        <f>$X$119</f>
        <v/>
      </c>
      <c r="AF300" s="15" t="n"/>
    </row>
    <row r="301">
      <c r="B301" s="9" t="n"/>
      <c r="C301" s="25" t="inlineStr">
        <is>
          <t>Immediate settlement (layered elastic)</t>
        </is>
      </c>
      <c r="O301" s="26" t="inlineStr">
        <is>
          <t>Section 4</t>
        </is>
      </c>
      <c r="X301" s="27" t="inlineStr">
        <is>
          <t>Si =</t>
        </is>
      </c>
      <c r="Y301" s="13" t="n"/>
      <c r="Z301" s="13" t="n"/>
      <c r="AA301" s="62">
        <f>$AA$201</f>
        <v/>
      </c>
      <c r="AB301" s="13" t="n"/>
      <c r="AC301" s="13" t="n"/>
      <c r="AD301" s="25" t="inlineStr">
        <is>
          <t>mm</t>
        </is>
      </c>
      <c r="AF301" s="15" t="n"/>
    </row>
    <row r="302">
      <c r="B302" s="9" t="n"/>
      <c r="C302" s="25" t="inlineStr">
        <is>
          <t>Immediate settlement of sand (B&amp;B check)</t>
        </is>
      </c>
      <c r="O302" s="26" t="inlineStr">
        <is>
          <t>Section 4.1</t>
        </is>
      </c>
      <c r="X302" s="27" t="inlineStr">
        <is>
          <t>S =</t>
        </is>
      </c>
      <c r="Y302" s="13" t="n"/>
      <c r="Z302" s="13" t="n"/>
      <c r="AA302" s="62">
        <f>$AA$229</f>
        <v/>
      </c>
      <c r="AB302" s="13" t="n"/>
      <c r="AC302" s="13" t="n"/>
      <c r="AD302" s="25" t="inlineStr">
        <is>
          <t>mm</t>
        </is>
      </c>
      <c r="AF302" s="15" t="n"/>
    </row>
    <row r="303">
      <c r="B303" s="9" t="n"/>
      <c r="C303" s="25" t="inlineStr">
        <is>
          <t>Consolidation settlement</t>
        </is>
      </c>
      <c r="O303" s="26" t="inlineStr">
        <is>
          <t>Section 5</t>
        </is>
      </c>
      <c r="X303" s="27" t="inlineStr">
        <is>
          <t>Sc =</t>
        </is>
      </c>
      <c r="Y303" s="13" t="n"/>
      <c r="Z303" s="13" t="n"/>
      <c r="AA303" s="62">
        <f>$AA$280</f>
        <v/>
      </c>
      <c r="AB303" s="13" t="n"/>
      <c r="AC303" s="13" t="n"/>
      <c r="AD303" s="25" t="inlineStr">
        <is>
          <t>mm</t>
        </is>
      </c>
      <c r="AF303" s="15" t="n"/>
    </row>
    <row r="304">
      <c r="B304" s="9" t="n"/>
      <c r="C304" s="25" t="inlineStr">
        <is>
          <t>Time for 90 % consolidation</t>
        </is>
      </c>
      <c r="O304" s="26" t="inlineStr">
        <is>
          <t>Section 5</t>
        </is>
      </c>
      <c r="X304" s="27" t="inlineStr">
        <is>
          <t>t90 =</t>
        </is>
      </c>
      <c r="Y304" s="13" t="n"/>
      <c r="Z304" s="13" t="n"/>
      <c r="AA304" s="61">
        <f>$AA$281</f>
        <v/>
      </c>
      <c r="AB304" s="13" t="n"/>
      <c r="AC304" s="13" t="n"/>
      <c r="AD304" s="25" t="inlineStr">
        <is>
          <t>year</t>
        </is>
      </c>
      <c r="AF304" s="15" t="n"/>
    </row>
    <row r="305">
      <c r="B305" s="9" t="n"/>
      <c r="C305" s="25" t="inlineStr">
        <is>
          <t>Total long-term settlement</t>
        </is>
      </c>
      <c r="O305" s="26" t="inlineStr">
        <is>
          <t>S = Si + Sc</t>
        </is>
      </c>
      <c r="X305" s="27" t="inlineStr">
        <is>
          <t>S =</t>
        </is>
      </c>
      <c r="Y305" s="13" t="n"/>
      <c r="Z305" s="13" t="n"/>
      <c r="AA305" s="30">
        <f>$AA$201+$AA$280</f>
        <v/>
      </c>
      <c r="AB305" s="13" t="n"/>
      <c r="AC305" s="13" t="n"/>
      <c r="AD305" s="25" t="inlineStr">
        <is>
          <t>mm</t>
        </is>
      </c>
      <c r="AF305" s="15" t="n"/>
    </row>
    <row r="306">
      <c r="B306" s="9" t="n"/>
      <c r="C306" s="11" t="inlineStr">
        <is>
          <t>Settlement check</t>
        </is>
      </c>
      <c r="X306" s="73">
        <f>IF($AA$305&lt;=Input!$AA$22,"S ≤ S all …. OK!!","S &gt; S all …. NG!!")</f>
        <v/>
      </c>
      <c r="Y306" s="13" t="n"/>
      <c r="Z306" s="13" t="n"/>
      <c r="AA306" s="13" t="n"/>
      <c r="AB306" s="13" t="n"/>
      <c r="AC306" s="13" t="n"/>
      <c r="AD306" s="13" t="n"/>
      <c r="AE306" s="13" t="n"/>
      <c r="AF306" s="15" t="n"/>
    </row>
    <row r="307">
      <c r="B307" s="9" t="n"/>
      <c r="AF307" s="15" t="n"/>
    </row>
    <row r="308">
      <c r="B308" s="9" t="n"/>
      <c r="C308" s="24" t="inlineStr">
        <is>
          <t>Post-liquefaction settlement during the design earthquake (liquefaction report, Table 5.4: 100 - 383 mm) is not included</t>
        </is>
      </c>
      <c r="AF308" s="15" t="n"/>
    </row>
    <row r="309">
      <c r="B309" s="9" t="n"/>
      <c r="C309" s="24" t="inlineStr">
        <is>
          <t>and shall be assessed separately.</t>
        </is>
      </c>
      <c r="AF309" s="15" t="n"/>
    </row>
    <row r="310">
      <c r="B310" s="9" t="n"/>
      <c r="AF310" s="15" t="n"/>
    </row>
    <row r="311">
      <c r="B311" s="9" t="n"/>
      <c r="C311" s="11" t="inlineStr">
        <is>
          <t>Figure 1. Settlement per sub-layer - BH-03</t>
        </is>
      </c>
      <c r="AF311" s="15" t="n"/>
    </row>
    <row r="312">
      <c r="B312" s="9" t="n"/>
      <c r="AF312" s="15" t="n"/>
    </row>
    <row r="313">
      <c r="B313" s="9" t="n"/>
      <c r="AF313" s="15" t="n"/>
    </row>
    <row r="314">
      <c r="B314" s="9" t="n"/>
      <c r="AF314" s="15" t="n"/>
    </row>
    <row r="315">
      <c r="B315" s="9" t="n"/>
      <c r="AF315" s="15" t="n"/>
    </row>
    <row r="316">
      <c r="B316" s="9" t="n"/>
      <c r="AF316" s="15" t="n"/>
    </row>
    <row r="317">
      <c r="B317" s="9" t="n"/>
      <c r="AF317" s="15" t="n"/>
    </row>
    <row r="318">
      <c r="B318" s="9" t="n"/>
      <c r="AF318" s="15" t="n"/>
    </row>
    <row r="319">
      <c r="B319" s="9" t="n"/>
      <c r="AF319" s="15" t="n"/>
    </row>
    <row r="320">
      <c r="B320" s="9" t="n"/>
      <c r="AF320" s="15" t="n"/>
    </row>
    <row r="321">
      <c r="B321" s="9" t="n"/>
      <c r="AF321" s="15" t="n"/>
    </row>
    <row r="322">
      <c r="B322" s="9" t="n"/>
      <c r="AF322" s="15" t="n"/>
    </row>
    <row r="323">
      <c r="B323" s="9" t="n"/>
      <c r="AF323" s="15" t="n"/>
    </row>
    <row r="324">
      <c r="B324" s="9" t="n"/>
      <c r="AF324" s="15" t="n"/>
    </row>
    <row r="325">
      <c r="B325" s="9" t="n"/>
      <c r="AF325" s="15" t="n"/>
    </row>
    <row r="326">
      <c r="B326" s="9" t="n"/>
      <c r="AF326" s="15" t="n"/>
    </row>
    <row r="327">
      <c r="B327" s="9" t="n"/>
      <c r="AF327" s="15" t="n"/>
    </row>
    <row r="328">
      <c r="B328" s="9" t="n"/>
      <c r="AF328" s="15" t="n"/>
    </row>
    <row r="329">
      <c r="B329" s="9" t="n"/>
      <c r="AF329" s="15" t="n"/>
    </row>
    <row r="330">
      <c r="B330" s="9" t="n"/>
      <c r="AF330" s="15" t="n"/>
    </row>
    <row r="331">
      <c r="B331" s="9" t="n"/>
      <c r="AF331" s="15" t="n"/>
    </row>
    <row r="332">
      <c r="B332" s="9" t="n"/>
      <c r="AF332" s="15" t="n"/>
    </row>
    <row r="333">
      <c r="B333" s="9" t="n"/>
      <c r="AF333" s="15" t="n"/>
    </row>
    <row r="334">
      <c r="B334" s="9" t="n"/>
      <c r="AF334" s="15" t="n"/>
    </row>
    <row r="335">
      <c r="B335" s="9" t="n"/>
      <c r="AF335" s="15" t="n"/>
    </row>
    <row r="336">
      <c r="B336" s="9" t="n"/>
      <c r="AF336" s="15" t="n"/>
    </row>
    <row r="337">
      <c r="B337" s="9" t="n"/>
      <c r="AF337" s="15" t="n"/>
    </row>
    <row r="338">
      <c r="B338" s="9" t="n"/>
      <c r="AF338" s="15" t="n"/>
    </row>
    <row r="339">
      <c r="B339" s="9" t="n"/>
      <c r="AF339" s="15" t="n"/>
    </row>
    <row r="340">
      <c r="B340" s="9" t="n"/>
      <c r="AF340" s="15" t="n"/>
    </row>
    <row r="341">
      <c r="B341" s="9" t="n"/>
      <c r="AF341" s="15" t="n"/>
    </row>
    <row r="342">
      <c r="B342" s="9" t="n"/>
      <c r="AF342" s="15" t="n"/>
    </row>
    <row r="343">
      <c r="B343" s="9" t="n"/>
      <c r="AF343" s="15" t="n"/>
    </row>
    <row r="344">
      <c r="B344" s="9" t="n"/>
      <c r="AF344" s="15" t="n"/>
    </row>
    <row r="345">
      <c r="B345" s="9" t="n"/>
      <c r="AF345" s="15" t="n"/>
    </row>
    <row r="346">
      <c r="B346" s="9" t="n"/>
      <c r="AF346" s="15" t="n"/>
    </row>
    <row r="347">
      <c r="B347" s="9" t="n"/>
      <c r="AF347" s="15" t="n"/>
    </row>
    <row r="348">
      <c r="B348" s="9" t="n"/>
      <c r="AF348" s="15" t="n"/>
    </row>
    <row r="349">
      <c r="B349" s="9" t="n"/>
      <c r="AF349" s="15" t="n"/>
    </row>
    <row r="350">
      <c r="B350" s="9" t="n"/>
      <c r="AF350" s="15" t="n"/>
    </row>
    <row r="351">
      <c r="B351" s="9" t="n"/>
      <c r="AF351" s="15" t="n"/>
    </row>
    <row r="352">
      <c r="B352" s="9" t="n"/>
      <c r="AF352" s="15" t="n"/>
    </row>
    <row r="353">
      <c r="B353" s="9" t="n"/>
      <c r="AF353" s="15" t="n"/>
    </row>
    <row r="354">
      <c r="B354" s="9" t="n"/>
      <c r="AF354" s="15" t="n"/>
    </row>
    <row r="355">
      <c r="B355" s="9" t="n"/>
      <c r="AF355" s="15" t="n"/>
    </row>
    <row r="356">
      <c r="B356" s="9" t="n"/>
      <c r="AF356" s="15" t="n"/>
    </row>
    <row r="357">
      <c r="B357" s="9" t="n"/>
      <c r="AF357" s="15" t="n"/>
    </row>
    <row r="358">
      <c r="B358" s="9" t="n"/>
      <c r="AF358" s="15" t="n"/>
    </row>
    <row r="359">
      <c r="B359" s="9" t="n"/>
      <c r="AF359" s="15" t="n"/>
    </row>
    <row r="360">
      <c r="B360" s="9" t="n"/>
      <c r="AF360" s="15" t="n"/>
    </row>
    <row r="361">
      <c r="B361" s="47" t="n"/>
      <c r="C361" s="48" t="n"/>
      <c r="D361" s="48" t="n"/>
      <c r="E361" s="48" t="n"/>
      <c r="F361" s="48" t="n"/>
      <c r="G361" s="48" t="n"/>
      <c r="H361" s="48" t="n"/>
      <c r="I361" s="48" t="n"/>
      <c r="J361" s="48" t="n"/>
      <c r="K361" s="48" t="n"/>
      <c r="L361" s="48" t="n"/>
      <c r="M361" s="48" t="n"/>
      <c r="N361" s="48" t="n"/>
      <c r="O361" s="48" t="n"/>
      <c r="P361" s="48" t="n"/>
      <c r="Q361" s="48" t="n"/>
      <c r="R361" s="48" t="n"/>
      <c r="S361" s="48" t="n"/>
      <c r="T361" s="48" t="n"/>
      <c r="U361" s="48" t="n"/>
      <c r="V361" s="48" t="n"/>
      <c r="W361" s="48" t="n"/>
      <c r="X361" s="49" t="inlineStr">
        <is>
          <t>Sheet :</t>
        </is>
      </c>
      <c r="Y361" s="48" t="n"/>
      <c r="Z361" s="48" t="n"/>
      <c r="AA361" s="48" t="n"/>
      <c r="AB361" s="49" t="n">
        <v>5</v>
      </c>
      <c r="AC361" s="48" t="n"/>
      <c r="AD361" s="48" t="n"/>
      <c r="AE361" s="48" t="n"/>
      <c r="AF361" s="50" t="n"/>
    </row>
  </sheetData>
  <mergeCells count="1844">
    <mergeCell ref="Z43:AB43"/>
    <mergeCell ref="N189:P189"/>
    <mergeCell ref="V244:W244"/>
    <mergeCell ref="Q164:R164"/>
    <mergeCell ref="C191:D191"/>
    <mergeCell ref="AA161:AB161"/>
    <mergeCell ref="H238:J238"/>
    <mergeCell ref="AB293:AE293"/>
    <mergeCell ref="C184:D184"/>
    <mergeCell ref="Z68:AB68"/>
    <mergeCell ref="N190:P190"/>
    <mergeCell ref="Z67:AB67"/>
    <mergeCell ref="E250:G250"/>
    <mergeCell ref="C110:N110"/>
    <mergeCell ref="Q197:R197"/>
    <mergeCell ref="C121:AE121"/>
    <mergeCell ref="Q180:R180"/>
    <mergeCell ref="T51:U51"/>
    <mergeCell ref="AA187:AB187"/>
    <mergeCell ref="AB4:AE4"/>
    <mergeCell ref="Q188:R188"/>
    <mergeCell ref="AA91:AC91"/>
    <mergeCell ref="X21:Z21"/>
    <mergeCell ref="V255:W255"/>
    <mergeCell ref="AA189:AB189"/>
    <mergeCell ref="E278:G278"/>
    <mergeCell ref="N32:P32"/>
    <mergeCell ref="Q33:S33"/>
    <mergeCell ref="AA93:AC93"/>
    <mergeCell ref="C237:D237"/>
    <mergeCell ref="C28:D28"/>
    <mergeCell ref="K173:M173"/>
    <mergeCell ref="AA86:AC86"/>
    <mergeCell ref="T67:U67"/>
    <mergeCell ref="X16:Z16"/>
    <mergeCell ref="C239:D239"/>
    <mergeCell ref="H164:J164"/>
    <mergeCell ref="K165:M165"/>
    <mergeCell ref="C100:N100"/>
    <mergeCell ref="C30:D30"/>
    <mergeCell ref="H75:W75"/>
    <mergeCell ref="K44:M44"/>
    <mergeCell ref="T33:U33"/>
    <mergeCell ref="C94:N94"/>
    <mergeCell ref="Y167:Z167"/>
    <mergeCell ref="X119:AE119"/>
    <mergeCell ref="T35:U35"/>
    <mergeCell ref="Q59:S59"/>
    <mergeCell ref="T252:U252"/>
    <mergeCell ref="Y169:Z169"/>
    <mergeCell ref="Q61:S61"/>
    <mergeCell ref="V187:X187"/>
    <mergeCell ref="K191:M191"/>
    <mergeCell ref="V39:W39"/>
    <mergeCell ref="AA104:AC104"/>
    <mergeCell ref="X68:Y68"/>
    <mergeCell ref="O91:W91"/>
    <mergeCell ref="AA114:AC114"/>
    <mergeCell ref="N254:P254"/>
    <mergeCell ref="V189:X189"/>
    <mergeCell ref="K184:M184"/>
    <mergeCell ref="N45:P45"/>
    <mergeCell ref="AA106:AC106"/>
    <mergeCell ref="AA228:AC228"/>
    <mergeCell ref="H175:J175"/>
    <mergeCell ref="V188:X188"/>
    <mergeCell ref="N256:P256"/>
    <mergeCell ref="AC178:AE178"/>
    <mergeCell ref="AA105:AC105"/>
    <mergeCell ref="N47:P47"/>
    <mergeCell ref="S173:U173"/>
    <mergeCell ref="O86:W86"/>
    <mergeCell ref="AC170:AE170"/>
    <mergeCell ref="Y195:Z195"/>
    <mergeCell ref="AD112:AE112"/>
    <mergeCell ref="AC163:AE163"/>
    <mergeCell ref="H176:J176"/>
    <mergeCell ref="V65:W65"/>
    <mergeCell ref="T263:U263"/>
    <mergeCell ref="Y197:Z197"/>
    <mergeCell ref="AD114:AE114"/>
    <mergeCell ref="H178:J178"/>
    <mergeCell ref="T265:U265"/>
    <mergeCell ref="AC196:AE196"/>
    <mergeCell ref="X89:Z89"/>
    <mergeCell ref="O104:W104"/>
    <mergeCell ref="S171:U171"/>
    <mergeCell ref="K245:M245"/>
    <mergeCell ref="X245:Y245"/>
    <mergeCell ref="X88:Z88"/>
    <mergeCell ref="S163:U163"/>
    <mergeCell ref="E246:G246"/>
    <mergeCell ref="X90:Z90"/>
    <mergeCell ref="N269:P269"/>
    <mergeCell ref="E37:G37"/>
    <mergeCell ref="V49:W49"/>
    <mergeCell ref="Z65:AB65"/>
    <mergeCell ref="X292:AA292"/>
    <mergeCell ref="E248:G248"/>
    <mergeCell ref="AA183:AB183"/>
    <mergeCell ref="E247:G247"/>
    <mergeCell ref="AA185:AB185"/>
    <mergeCell ref="AC249:AE249"/>
    <mergeCell ref="AB2:AE2"/>
    <mergeCell ref="X19:Z19"/>
    <mergeCell ref="S191:U191"/>
    <mergeCell ref="H247:J247"/>
    <mergeCell ref="AC244:AE244"/>
    <mergeCell ref="K258:M258"/>
    <mergeCell ref="C26:D26"/>
    <mergeCell ref="C90:N90"/>
    <mergeCell ref="X20:Z20"/>
    <mergeCell ref="T65:U65"/>
    <mergeCell ref="X14:Z14"/>
    <mergeCell ref="AC252:AE252"/>
    <mergeCell ref="K260:M260"/>
    <mergeCell ref="C55:D55"/>
    <mergeCell ref="C119:N119"/>
    <mergeCell ref="AA196:AB196"/>
    <mergeCell ref="Q57:S57"/>
    <mergeCell ref="O299:W299"/>
    <mergeCell ref="C52:D52"/>
    <mergeCell ref="AA198:AB198"/>
    <mergeCell ref="AC262:AE262"/>
    <mergeCell ref="H275:J275"/>
    <mergeCell ref="N41:P41"/>
    <mergeCell ref="C70:AE70"/>
    <mergeCell ref="C37:D37"/>
    <mergeCell ref="N51:P51"/>
    <mergeCell ref="Q52:S52"/>
    <mergeCell ref="K188:M188"/>
    <mergeCell ref="K182:M182"/>
    <mergeCell ref="N43:P43"/>
    <mergeCell ref="AC263:AE263"/>
    <mergeCell ref="C109:N109"/>
    <mergeCell ref="Y193:Z193"/>
    <mergeCell ref="X101:AE101"/>
    <mergeCell ref="AD110:AE110"/>
    <mergeCell ref="H174:J174"/>
    <mergeCell ref="N67:P67"/>
    <mergeCell ref="C63:D63"/>
    <mergeCell ref="AB74:AE74"/>
    <mergeCell ref="AC192:AE192"/>
    <mergeCell ref="AB76:AE76"/>
    <mergeCell ref="O100:W100"/>
    <mergeCell ref="H146:W146"/>
    <mergeCell ref="S197:U197"/>
    <mergeCell ref="X86:Z86"/>
    <mergeCell ref="AC187:AE187"/>
    <mergeCell ref="Y179:Z179"/>
    <mergeCell ref="H44:J44"/>
    <mergeCell ref="AC189:AE189"/>
    <mergeCell ref="E35:G35"/>
    <mergeCell ref="V47:W47"/>
    <mergeCell ref="O97:W97"/>
    <mergeCell ref="E28:G28"/>
    <mergeCell ref="E30:G30"/>
    <mergeCell ref="V48:W48"/>
    <mergeCell ref="X112:Z112"/>
    <mergeCell ref="E59:G59"/>
    <mergeCell ref="AC29:AE29"/>
    <mergeCell ref="X104:Z104"/>
    <mergeCell ref="K254:M254"/>
    <mergeCell ref="E61:G61"/>
    <mergeCell ref="AC31:AE31"/>
    <mergeCell ref="X106:Z106"/>
    <mergeCell ref="O123:W123"/>
    <mergeCell ref="X264:Y264"/>
    <mergeCell ref="E54:G54"/>
    <mergeCell ref="X293:AA293"/>
    <mergeCell ref="E56:G56"/>
    <mergeCell ref="Q170:R170"/>
    <mergeCell ref="V66:W66"/>
    <mergeCell ref="T31:U31"/>
    <mergeCell ref="C165:D165"/>
    <mergeCell ref="Q172:R172"/>
    <mergeCell ref="H271:J271"/>
    <mergeCell ref="V61:W61"/>
    <mergeCell ref="C166:D166"/>
    <mergeCell ref="X4:AA4"/>
    <mergeCell ref="C160:D160"/>
    <mergeCell ref="AC259:AE259"/>
    <mergeCell ref="H266:J266"/>
    <mergeCell ref="K267:M267"/>
    <mergeCell ref="C118:N118"/>
    <mergeCell ref="AC261:AE261"/>
    <mergeCell ref="H268:J268"/>
    <mergeCell ref="K269:M269"/>
    <mergeCell ref="C221:G221"/>
    <mergeCell ref="C59:D59"/>
    <mergeCell ref="N65:P65"/>
    <mergeCell ref="V237:W237"/>
    <mergeCell ref="C61:D61"/>
    <mergeCell ref="Z276:AB276"/>
    <mergeCell ref="K51:M51"/>
    <mergeCell ref="K26:M26"/>
    <mergeCell ref="Z271:AB271"/>
    <mergeCell ref="AC272:AE272"/>
    <mergeCell ref="AD92:AE92"/>
    <mergeCell ref="Z273:AB273"/>
    <mergeCell ref="Y177:Z177"/>
    <mergeCell ref="V167:X167"/>
    <mergeCell ref="AD94:AE94"/>
    <mergeCell ref="E157:G157"/>
    <mergeCell ref="Q252:S252"/>
    <mergeCell ref="V169:X169"/>
    <mergeCell ref="K42:M42"/>
    <mergeCell ref="Y172:Z172"/>
    <mergeCell ref="V162:X162"/>
    <mergeCell ref="Q237:S237"/>
    <mergeCell ref="AD89:AE89"/>
    <mergeCell ref="X227:Z227"/>
    <mergeCell ref="C238:D238"/>
    <mergeCell ref="C148:G148"/>
    <mergeCell ref="AC27:AE27"/>
    <mergeCell ref="V164:X164"/>
    <mergeCell ref="X226:Z226"/>
    <mergeCell ref="K37:M37"/>
    <mergeCell ref="E50:G50"/>
    <mergeCell ref="C304:N304"/>
    <mergeCell ref="H184:J184"/>
    <mergeCell ref="X250:Y250"/>
    <mergeCell ref="X228:Z228"/>
    <mergeCell ref="E175:G175"/>
    <mergeCell ref="E52:G52"/>
    <mergeCell ref="Q263:S263"/>
    <mergeCell ref="X276:Y276"/>
    <mergeCell ref="V180:X180"/>
    <mergeCell ref="X251:Y251"/>
    <mergeCell ref="AC53:AE53"/>
    <mergeCell ref="E170:G170"/>
    <mergeCell ref="Q265:S265"/>
    <mergeCell ref="X278:Y278"/>
    <mergeCell ref="X253:Y253"/>
    <mergeCell ref="AC55:AE55"/>
    <mergeCell ref="AA280:AC280"/>
    <mergeCell ref="AC38:AE38"/>
    <mergeCell ref="C290:G290"/>
    <mergeCell ref="C162:D162"/>
    <mergeCell ref="C201:N201"/>
    <mergeCell ref="X123:Z123"/>
    <mergeCell ref="H237:J237"/>
    <mergeCell ref="AC46:AE46"/>
    <mergeCell ref="AC40:AE40"/>
    <mergeCell ref="C164:D164"/>
    <mergeCell ref="X2:AA2"/>
    <mergeCell ref="C203:N203"/>
    <mergeCell ref="C228:N228"/>
    <mergeCell ref="H239:J239"/>
    <mergeCell ref="AC41:AE41"/>
    <mergeCell ref="X297:Z297"/>
    <mergeCell ref="AC66:AE66"/>
    <mergeCell ref="C190:D190"/>
    <mergeCell ref="Z241:AB241"/>
    <mergeCell ref="E254:G254"/>
    <mergeCell ref="H255:J255"/>
    <mergeCell ref="X299:Z299"/>
    <mergeCell ref="O281:W281"/>
    <mergeCell ref="AC68:AE68"/>
    <mergeCell ref="Z243:AB243"/>
    <mergeCell ref="C175:D175"/>
    <mergeCell ref="N181:P181"/>
    <mergeCell ref="C185:D185"/>
    <mergeCell ref="H250:J250"/>
    <mergeCell ref="Z58:AB58"/>
    <mergeCell ref="C235:AE235"/>
    <mergeCell ref="E241:G241"/>
    <mergeCell ref="V259:W259"/>
    <mergeCell ref="AA176:AB176"/>
    <mergeCell ref="Z244:AB244"/>
    <mergeCell ref="O305:W305"/>
    <mergeCell ref="H277:J277"/>
    <mergeCell ref="T68:U68"/>
    <mergeCell ref="V261:W261"/>
    <mergeCell ref="AA178:AB178"/>
    <mergeCell ref="N178:P178"/>
    <mergeCell ref="AA21:AC21"/>
    <mergeCell ref="AA171:AB171"/>
    <mergeCell ref="N49:P49"/>
    <mergeCell ref="Q32:S32"/>
    <mergeCell ref="K162:M162"/>
    <mergeCell ref="N163:P163"/>
    <mergeCell ref="V256:W256"/>
    <mergeCell ref="E267:G267"/>
    <mergeCell ref="N173:P173"/>
    <mergeCell ref="K33:M33"/>
    <mergeCell ref="K164:M164"/>
    <mergeCell ref="X74:AA74"/>
    <mergeCell ref="E269:G269"/>
    <mergeCell ref="H180:J180"/>
    <mergeCell ref="K35:M35"/>
    <mergeCell ref="E171:G171"/>
    <mergeCell ref="Z255:AB255"/>
    <mergeCell ref="X76:AA76"/>
    <mergeCell ref="C302:N302"/>
    <mergeCell ref="V272:W272"/>
    <mergeCell ref="E173:G173"/>
    <mergeCell ref="AD111:AE111"/>
    <mergeCell ref="Q50:S50"/>
    <mergeCell ref="K180:M180"/>
    <mergeCell ref="V274:W274"/>
    <mergeCell ref="V186:X186"/>
    <mergeCell ref="E166:G166"/>
    <mergeCell ref="K59:M59"/>
    <mergeCell ref="K190:M190"/>
    <mergeCell ref="N191:P191"/>
    <mergeCell ref="X249:Y249"/>
    <mergeCell ref="X243:Y243"/>
    <mergeCell ref="C256:D256"/>
    <mergeCell ref="E168:G168"/>
    <mergeCell ref="K61:M61"/>
    <mergeCell ref="N245:P245"/>
    <mergeCell ref="AC167:AE167"/>
    <mergeCell ref="C247:D247"/>
    <mergeCell ref="E199:G199"/>
    <mergeCell ref="X244:Y244"/>
    <mergeCell ref="C257:D257"/>
    <mergeCell ref="AC169:AE169"/>
    <mergeCell ref="V27:W27"/>
    <mergeCell ref="AA92:AC92"/>
    <mergeCell ref="E192:G192"/>
    <mergeCell ref="H26:J26"/>
    <mergeCell ref="C272:D272"/>
    <mergeCell ref="H53:J53"/>
    <mergeCell ref="E194:G194"/>
    <mergeCell ref="H55:J55"/>
    <mergeCell ref="Q272:S272"/>
    <mergeCell ref="T264:U264"/>
    <mergeCell ref="AA87:AC87"/>
    <mergeCell ref="C267:D267"/>
    <mergeCell ref="AA304:AC304"/>
    <mergeCell ref="V199:X199"/>
    <mergeCell ref="N273:P273"/>
    <mergeCell ref="Q274:S274"/>
    <mergeCell ref="X262:Y262"/>
    <mergeCell ref="C275:D275"/>
    <mergeCell ref="C269:D269"/>
    <mergeCell ref="AC64:AE64"/>
    <mergeCell ref="E252:G252"/>
    <mergeCell ref="H246:J246"/>
    <mergeCell ref="Z29:AB29"/>
    <mergeCell ref="H37:J37"/>
    <mergeCell ref="C270:D270"/>
    <mergeCell ref="AC65:AE65"/>
    <mergeCell ref="V40:W40"/>
    <mergeCell ref="H248:J248"/>
    <mergeCell ref="V257:W257"/>
    <mergeCell ref="AA174:AB174"/>
    <mergeCell ref="O303:W303"/>
    <mergeCell ref="E238:G238"/>
    <mergeCell ref="V41:W41"/>
    <mergeCell ref="AA19:AC19"/>
    <mergeCell ref="AB291:AE291"/>
    <mergeCell ref="V252:W252"/>
    <mergeCell ref="C199:D199"/>
    <mergeCell ref="O304:W304"/>
    <mergeCell ref="AA169:AB169"/>
    <mergeCell ref="C224:AE224"/>
    <mergeCell ref="Z258:AB258"/>
    <mergeCell ref="E265:G265"/>
    <mergeCell ref="AD201:AE201"/>
    <mergeCell ref="Z251:AB251"/>
    <mergeCell ref="O16:W16"/>
    <mergeCell ref="Z253:AB253"/>
    <mergeCell ref="E266:G266"/>
    <mergeCell ref="E260:G260"/>
    <mergeCell ref="X34:Y34"/>
    <mergeCell ref="AA195:AB195"/>
    <mergeCell ref="V270:W270"/>
    <mergeCell ref="X28:Y28"/>
    <mergeCell ref="C41:D41"/>
    <mergeCell ref="Q165:R165"/>
    <mergeCell ref="AA197:AB197"/>
    <mergeCell ref="K275:M275"/>
    <mergeCell ref="X30:Y30"/>
    <mergeCell ref="C43:D43"/>
    <mergeCell ref="K57:M57"/>
    <mergeCell ref="Q41:S41"/>
    <mergeCell ref="X29:Y29"/>
    <mergeCell ref="C36:D36"/>
    <mergeCell ref="Q43:S43"/>
    <mergeCell ref="X54:Y54"/>
    <mergeCell ref="C67:D67"/>
    <mergeCell ref="E188:G188"/>
    <mergeCell ref="K60:M60"/>
    <mergeCell ref="X56:Y56"/>
    <mergeCell ref="E190:G190"/>
    <mergeCell ref="H51:J51"/>
    <mergeCell ref="Q67:S67"/>
    <mergeCell ref="K174:M174"/>
    <mergeCell ref="N58:P58"/>
    <mergeCell ref="H163:J163"/>
    <mergeCell ref="V170:X170"/>
    <mergeCell ref="N244:P244"/>
    <mergeCell ref="K199:M199"/>
    <mergeCell ref="X57:Y57"/>
    <mergeCell ref="C12:N12"/>
    <mergeCell ref="V197:X197"/>
    <mergeCell ref="V172:X172"/>
    <mergeCell ref="AC193:AE193"/>
    <mergeCell ref="AA89:AC89"/>
    <mergeCell ref="AC176:AE176"/>
    <mergeCell ref="T251:U251"/>
    <mergeCell ref="H147:W147"/>
    <mergeCell ref="E32:G32"/>
    <mergeCell ref="H33:J33"/>
    <mergeCell ref="AA122:AC122"/>
    <mergeCell ref="AD304:AE304"/>
    <mergeCell ref="Y170:Z170"/>
    <mergeCell ref="H35:J35"/>
    <mergeCell ref="C268:D268"/>
    <mergeCell ref="Q245:S245"/>
    <mergeCell ref="Y163:Z163"/>
    <mergeCell ref="O117:W117"/>
    <mergeCell ref="N255:P255"/>
    <mergeCell ref="AD297:AE297"/>
    <mergeCell ref="H59:J59"/>
    <mergeCell ref="O112:W112"/>
    <mergeCell ref="Z47:AB47"/>
    <mergeCell ref="H61:J61"/>
    <mergeCell ref="H77:W77"/>
    <mergeCell ref="V64:W64"/>
    <mergeCell ref="O114:W114"/>
    <mergeCell ref="Z38:AB38"/>
    <mergeCell ref="E45:G45"/>
    <mergeCell ref="AD19:AE19"/>
    <mergeCell ref="O109:W109"/>
    <mergeCell ref="Q159:R159"/>
    <mergeCell ref="X305:Z305"/>
    <mergeCell ref="Z63:AB63"/>
    <mergeCell ref="Q167:R167"/>
    <mergeCell ref="Q161:R161"/>
    <mergeCell ref="AA158:AB158"/>
    <mergeCell ref="E264:G264"/>
    <mergeCell ref="AA193:AB193"/>
    <mergeCell ref="Q192:R192"/>
    <mergeCell ref="C32:D32"/>
    <mergeCell ref="C107:N107"/>
    <mergeCell ref="T46:U46"/>
    <mergeCell ref="H219:W219"/>
    <mergeCell ref="Z66:AB66"/>
    <mergeCell ref="Q187:R187"/>
    <mergeCell ref="T48:U48"/>
    <mergeCell ref="AA184:AB184"/>
    <mergeCell ref="Q195:R195"/>
    <mergeCell ref="Q189:R189"/>
    <mergeCell ref="E275:G275"/>
    <mergeCell ref="N29:P29"/>
    <mergeCell ref="H159:J159"/>
    <mergeCell ref="Q65:S65"/>
    <mergeCell ref="X53:Y53"/>
    <mergeCell ref="N31:P31"/>
    <mergeCell ref="X47:Y47"/>
    <mergeCell ref="C236:D236"/>
    <mergeCell ref="AC276:AE276"/>
    <mergeCell ref="C85:AE85"/>
    <mergeCell ref="Z236:AB236"/>
    <mergeCell ref="X55:Y55"/>
    <mergeCell ref="K172:M172"/>
    <mergeCell ref="AC278:AE278"/>
    <mergeCell ref="T247:U247"/>
    <mergeCell ref="N26:P26"/>
    <mergeCell ref="X217:AA217"/>
    <mergeCell ref="H162:J162"/>
    <mergeCell ref="T249:U249"/>
    <mergeCell ref="C92:N92"/>
    <mergeCell ref="AD91:AE91"/>
    <mergeCell ref="Y166:Z166"/>
    <mergeCell ref="AC273:AE273"/>
    <mergeCell ref="V184:X184"/>
    <mergeCell ref="AD302:AE302"/>
    <mergeCell ref="N171:P171"/>
    <mergeCell ref="AD93:AE93"/>
    <mergeCell ref="H157:J157"/>
    <mergeCell ref="N251:P251"/>
    <mergeCell ref="S185:U185"/>
    <mergeCell ref="T244:U244"/>
    <mergeCell ref="N42:P42"/>
    <mergeCell ref="Y161:Z161"/>
    <mergeCell ref="AA225:AC225"/>
    <mergeCell ref="N253:P253"/>
    <mergeCell ref="X66:Y66"/>
    <mergeCell ref="C21:N21"/>
    <mergeCell ref="N44:P44"/>
    <mergeCell ref="AA227:AC227"/>
    <mergeCell ref="Y192:Z192"/>
    <mergeCell ref="AD109:AE109"/>
    <mergeCell ref="AC177:AE177"/>
    <mergeCell ref="S172:U172"/>
    <mergeCell ref="Y187:Z187"/>
    <mergeCell ref="T262:U262"/>
    <mergeCell ref="AD104:AE104"/>
    <mergeCell ref="AB75:AE75"/>
    <mergeCell ref="Y189:Z189"/>
    <mergeCell ref="X242:Y242"/>
    <mergeCell ref="S198:U198"/>
    <mergeCell ref="S170:U170"/>
    <mergeCell ref="K244:M244"/>
    <mergeCell ref="K271:M271"/>
    <mergeCell ref="X87:Z87"/>
    <mergeCell ref="Z62:AB62"/>
    <mergeCell ref="K237:M237"/>
    <mergeCell ref="Z56:AB56"/>
    <mergeCell ref="S199:U199"/>
    <mergeCell ref="AC39:AE39"/>
    <mergeCell ref="K273:M273"/>
    <mergeCell ref="Z64:AB64"/>
    <mergeCell ref="K239:M239"/>
    <mergeCell ref="Q185:R185"/>
    <mergeCell ref="AA182:AB182"/>
    <mergeCell ref="AD305:AE305"/>
    <mergeCell ref="Q193:R193"/>
    <mergeCell ref="AA175:AB175"/>
    <mergeCell ref="AA297:AC297"/>
    <mergeCell ref="Q186:R186"/>
    <mergeCell ref="AA177:AB177"/>
    <mergeCell ref="AC241:AE241"/>
    <mergeCell ref="H254:J254"/>
    <mergeCell ref="K255:M255"/>
    <mergeCell ref="C181:D181"/>
    <mergeCell ref="AC243:AE243"/>
    <mergeCell ref="H256:J256"/>
    <mergeCell ref="C89:N89"/>
    <mergeCell ref="C174:D174"/>
    <mergeCell ref="C116:N116"/>
    <mergeCell ref="AC242:AE242"/>
    <mergeCell ref="C88:N88"/>
    <mergeCell ref="E240:G240"/>
    <mergeCell ref="T57:U57"/>
    <mergeCell ref="T29:U29"/>
    <mergeCell ref="C117:N117"/>
    <mergeCell ref="N167:P167"/>
    <mergeCell ref="Q198:R198"/>
    <mergeCell ref="T58:U58"/>
    <mergeCell ref="C115:N115"/>
    <mergeCell ref="T54:U54"/>
    <mergeCell ref="Q49:S49"/>
    <mergeCell ref="O297:W297"/>
    <mergeCell ref="K39:M39"/>
    <mergeCell ref="N40:P40"/>
    <mergeCell ref="C44:D44"/>
    <mergeCell ref="N162:P162"/>
    <mergeCell ref="V276:W276"/>
    <mergeCell ref="N35:P35"/>
    <mergeCell ref="H171:J171"/>
    <mergeCell ref="H165:J165"/>
    <mergeCell ref="Y183:Z183"/>
    <mergeCell ref="AD100:AE100"/>
    <mergeCell ref="H181:J181"/>
    <mergeCell ref="N66:P66"/>
    <mergeCell ref="Y185:Z185"/>
    <mergeCell ref="C245:D245"/>
    <mergeCell ref="V55:W55"/>
    <mergeCell ref="N68:P68"/>
    <mergeCell ref="K50:M50"/>
    <mergeCell ref="C155:AE155"/>
    <mergeCell ref="K181:M181"/>
    <mergeCell ref="X240:Y240"/>
    <mergeCell ref="S160:U160"/>
    <mergeCell ref="N61:P61"/>
    <mergeCell ref="AC184:AE184"/>
    <mergeCell ref="K58:M58"/>
    <mergeCell ref="K52:M52"/>
    <mergeCell ref="C151:AE151"/>
    <mergeCell ref="S195:U195"/>
    <mergeCell ref="H199:J199"/>
    <mergeCell ref="Q276:S276"/>
    <mergeCell ref="O94:W94"/>
    <mergeCell ref="C146:G146"/>
    <mergeCell ref="K53:M53"/>
    <mergeCell ref="X114:Z114"/>
    <mergeCell ref="X49:Y49"/>
    <mergeCell ref="E183:G183"/>
    <mergeCell ref="Q278:S278"/>
    <mergeCell ref="X260:Y260"/>
    <mergeCell ref="C273:D273"/>
    <mergeCell ref="V45:W45"/>
    <mergeCell ref="Q271:S271"/>
    <mergeCell ref="Y198:Z198"/>
    <mergeCell ref="X259:Y259"/>
    <mergeCell ref="X111:Z111"/>
    <mergeCell ref="C149:G149"/>
    <mergeCell ref="Q273:S273"/>
    <mergeCell ref="AC28:AE28"/>
    <mergeCell ref="H41:J41"/>
    <mergeCell ref="X261:Y261"/>
    <mergeCell ref="S179:U179"/>
    <mergeCell ref="AC239:AE239"/>
    <mergeCell ref="H252:J252"/>
    <mergeCell ref="C81:AE81"/>
    <mergeCell ref="AC30:AE30"/>
    <mergeCell ref="AC238:AE238"/>
    <mergeCell ref="AC240:AE240"/>
    <mergeCell ref="O302:W302"/>
    <mergeCell ref="C163:D163"/>
    <mergeCell ref="AB290:AE290"/>
    <mergeCell ref="AC250:AE250"/>
    <mergeCell ref="H263:J263"/>
    <mergeCell ref="C223:AE223"/>
    <mergeCell ref="X274:Y274"/>
    <mergeCell ref="C229:N229"/>
    <mergeCell ref="V241:W241"/>
    <mergeCell ref="Z257:AB257"/>
    <mergeCell ref="H265:J265"/>
    <mergeCell ref="T56:U56"/>
    <mergeCell ref="C158:D158"/>
    <mergeCell ref="N164:P164"/>
    <mergeCell ref="Z242:AB242"/>
    <mergeCell ref="C220:G220"/>
    <mergeCell ref="AD202:AE202"/>
    <mergeCell ref="Z252:AB252"/>
    <mergeCell ref="N57:P57"/>
    <mergeCell ref="Z269:AB269"/>
    <mergeCell ref="C234:AE234"/>
    <mergeCell ref="Z270:AB270"/>
    <mergeCell ref="E277:G277"/>
    <mergeCell ref="X45:Y45"/>
    <mergeCell ref="T66:U66"/>
    <mergeCell ref="Q243:S243"/>
    <mergeCell ref="Q242:S242"/>
    <mergeCell ref="E181:G181"/>
    <mergeCell ref="V159:X159"/>
    <mergeCell ref="X46:Y46"/>
    <mergeCell ref="K163:M163"/>
    <mergeCell ref="C53:D53"/>
    <mergeCell ref="Q244:S244"/>
    <mergeCell ref="X257:Y257"/>
    <mergeCell ref="V161:X161"/>
    <mergeCell ref="X48:Y48"/>
    <mergeCell ref="H293:W293"/>
    <mergeCell ref="X75:AA75"/>
    <mergeCell ref="C301:N301"/>
    <mergeCell ref="K67:M67"/>
    <mergeCell ref="O118:W118"/>
    <mergeCell ref="X225:Z225"/>
    <mergeCell ref="C303:N303"/>
    <mergeCell ref="H32:J32"/>
    <mergeCell ref="T242:U242"/>
    <mergeCell ref="N259:P259"/>
    <mergeCell ref="C255:D255"/>
    <mergeCell ref="N261:P261"/>
    <mergeCell ref="Q262:S262"/>
    <mergeCell ref="S178:U178"/>
    <mergeCell ref="V179:X179"/>
    <mergeCell ref="H4:W4"/>
    <mergeCell ref="AC52:AE52"/>
    <mergeCell ref="Q255:S255"/>
    <mergeCell ref="AB217:AE217"/>
    <mergeCell ref="AC45:AE45"/>
    <mergeCell ref="AC37:AE37"/>
    <mergeCell ref="H50:J50"/>
    <mergeCell ref="C161:D161"/>
    <mergeCell ref="X270:Y270"/>
    <mergeCell ref="C225:N225"/>
    <mergeCell ref="AC47:AE47"/>
    <mergeCell ref="H236:J236"/>
    <mergeCell ref="E51:G51"/>
    <mergeCell ref="C227:N227"/>
    <mergeCell ref="V239:W239"/>
    <mergeCell ref="C226:N226"/>
    <mergeCell ref="N272:P272"/>
    <mergeCell ref="Z39:AB39"/>
    <mergeCell ref="T47:U47"/>
    <mergeCell ref="V240:W240"/>
    <mergeCell ref="AC63:AE63"/>
    <mergeCell ref="AA305:AC305"/>
    <mergeCell ref="AA157:AB157"/>
    <mergeCell ref="N274:P274"/>
    <mergeCell ref="C180:D180"/>
    <mergeCell ref="C182:D182"/>
    <mergeCell ref="V250:W250"/>
    <mergeCell ref="Z266:AB266"/>
    <mergeCell ref="Q28:S28"/>
    <mergeCell ref="Q178:R178"/>
    <mergeCell ref="Z268:AB268"/>
    <mergeCell ref="C233:AE233"/>
    <mergeCell ref="V251:W251"/>
    <mergeCell ref="Q29:S29"/>
    <mergeCell ref="K159:M159"/>
    <mergeCell ref="V278:W278"/>
    <mergeCell ref="V253:W253"/>
    <mergeCell ref="Q240:S240"/>
    <mergeCell ref="N170:P170"/>
    <mergeCell ref="Q31:S31"/>
    <mergeCell ref="V157:X157"/>
    <mergeCell ref="K161:M161"/>
    <mergeCell ref="N172:P172"/>
    <mergeCell ref="N199:P199"/>
    <mergeCell ref="E172:G172"/>
    <mergeCell ref="AD108:AE108"/>
    <mergeCell ref="C251:D251"/>
    <mergeCell ref="V183:X183"/>
    <mergeCell ref="N257:P257"/>
    <mergeCell ref="K187:M187"/>
    <mergeCell ref="AA100:AC100"/>
    <mergeCell ref="S174:U174"/>
    <mergeCell ref="X246:Y246"/>
    <mergeCell ref="C253:D253"/>
    <mergeCell ref="V185:X185"/>
    <mergeCell ref="C108:N108"/>
    <mergeCell ref="E165:G165"/>
    <mergeCell ref="Q42:S42"/>
    <mergeCell ref="K189:M189"/>
    <mergeCell ref="N252:P252"/>
    <mergeCell ref="Q253:S253"/>
    <mergeCell ref="C20:N20"/>
    <mergeCell ref="X241:Y241"/>
    <mergeCell ref="C254:D254"/>
    <mergeCell ref="AC166:AE166"/>
    <mergeCell ref="C248:D248"/>
    <mergeCell ref="AC160:AE160"/>
    <mergeCell ref="AC43:AE43"/>
    <mergeCell ref="H173:J173"/>
    <mergeCell ref="T260:U260"/>
    <mergeCell ref="H3:W3"/>
    <mergeCell ref="C22:N22"/>
    <mergeCell ref="AC168:AE168"/>
    <mergeCell ref="T259:U259"/>
    <mergeCell ref="Y176:Z176"/>
    <mergeCell ref="E191:G191"/>
    <mergeCell ref="H5:W5"/>
    <mergeCell ref="AC161:AE161"/>
    <mergeCell ref="X148:AA148"/>
    <mergeCell ref="T261:U261"/>
    <mergeCell ref="S158:U158"/>
    <mergeCell ref="N59:P59"/>
    <mergeCell ref="V196:X196"/>
    <mergeCell ref="N270:P270"/>
    <mergeCell ref="AD281:AE281"/>
    <mergeCell ref="S159:U159"/>
    <mergeCell ref="V198:X198"/>
    <mergeCell ref="H67:J67"/>
    <mergeCell ref="N271:P271"/>
    <mergeCell ref="S161:U161"/>
    <mergeCell ref="E33:G33"/>
    <mergeCell ref="S188:U188"/>
    <mergeCell ref="AC62:AE62"/>
    <mergeCell ref="V37:W37"/>
    <mergeCell ref="E244:G244"/>
    <mergeCell ref="T272:U272"/>
    <mergeCell ref="X290:AA290"/>
    <mergeCell ref="V247:W247"/>
    <mergeCell ref="AA181:AB181"/>
    <mergeCell ref="V38:W38"/>
    <mergeCell ref="E245:G245"/>
    <mergeCell ref="T274:U274"/>
    <mergeCell ref="X15:Z15"/>
    <mergeCell ref="V249:W249"/>
    <mergeCell ref="AA166:AB166"/>
    <mergeCell ref="Q27:S27"/>
    <mergeCell ref="V63:W63"/>
    <mergeCell ref="AA168:AB168"/>
    <mergeCell ref="N168:P168"/>
    <mergeCell ref="C122:N122"/>
    <mergeCell ref="N195:P195"/>
    <mergeCell ref="H245:J245"/>
    <mergeCell ref="E255:G255"/>
    <mergeCell ref="C51:D51"/>
    <mergeCell ref="N197:P197"/>
    <mergeCell ref="Z250:AB250"/>
    <mergeCell ref="E263:G263"/>
    <mergeCell ref="AA192:AB192"/>
    <mergeCell ref="C38:D38"/>
    <mergeCell ref="AA194:AB194"/>
    <mergeCell ref="AC258:AE258"/>
    <mergeCell ref="K272:M272"/>
    <mergeCell ref="Q55:S55"/>
    <mergeCell ref="Q38:S38"/>
    <mergeCell ref="K185:M185"/>
    <mergeCell ref="V262:W262"/>
    <mergeCell ref="C33:D33"/>
    <mergeCell ref="AC260:AE260"/>
    <mergeCell ref="K178:M178"/>
    <mergeCell ref="T45:U45"/>
    <mergeCell ref="N179:P179"/>
    <mergeCell ref="N39:P39"/>
    <mergeCell ref="Q40:S40"/>
    <mergeCell ref="C105:N105"/>
    <mergeCell ref="C35:D35"/>
    <mergeCell ref="K186:M186"/>
    <mergeCell ref="AC164:AE164"/>
    <mergeCell ref="E187:G187"/>
    <mergeCell ref="H48:J48"/>
    <mergeCell ref="AC157:AE157"/>
    <mergeCell ref="T257:U257"/>
    <mergeCell ref="Y174:Z174"/>
    <mergeCell ref="E189:G189"/>
    <mergeCell ref="Q66:S66"/>
    <mergeCell ref="K196:M196"/>
    <mergeCell ref="C295:AE295"/>
    <mergeCell ref="O96:W96"/>
    <mergeCell ref="H43:J43"/>
    <mergeCell ref="Q68:S68"/>
    <mergeCell ref="AC190:AE190"/>
    <mergeCell ref="AA117:AC117"/>
    <mergeCell ref="N50:P50"/>
    <mergeCell ref="K198:M198"/>
    <mergeCell ref="N243:P243"/>
    <mergeCell ref="O98:W98"/>
    <mergeCell ref="AC183:AE183"/>
    <mergeCell ref="N236:P236"/>
    <mergeCell ref="E29:G29"/>
    <mergeCell ref="H68:J68"/>
    <mergeCell ref="C263:D263"/>
    <mergeCell ref="AC175:AE175"/>
    <mergeCell ref="H188:J188"/>
    <mergeCell ref="AD117:AE117"/>
    <mergeCell ref="AC185:AE185"/>
    <mergeCell ref="AA112:AC112"/>
    <mergeCell ref="E31:G31"/>
    <mergeCell ref="S186:U186"/>
    <mergeCell ref="O93:W93"/>
    <mergeCell ref="AD303:AE303"/>
    <mergeCell ref="Q236:S236"/>
    <mergeCell ref="V34:W34"/>
    <mergeCell ref="C147:G147"/>
    <mergeCell ref="T270:U270"/>
    <mergeCell ref="V28:W28"/>
    <mergeCell ref="E26:G26"/>
    <mergeCell ref="X100:Z100"/>
    <mergeCell ref="V30:W30"/>
    <mergeCell ref="C91:N91"/>
    <mergeCell ref="C9:AE9"/>
    <mergeCell ref="H74:W74"/>
    <mergeCell ref="O111:W111"/>
    <mergeCell ref="X95:Z95"/>
    <mergeCell ref="C11:AE11"/>
    <mergeCell ref="C86:N86"/>
    <mergeCell ref="E42:G42"/>
    <mergeCell ref="AD16:AE16"/>
    <mergeCell ref="X281:Z281"/>
    <mergeCell ref="X97:Z97"/>
    <mergeCell ref="AC198:AE198"/>
    <mergeCell ref="E44:G44"/>
    <mergeCell ref="T27:U27"/>
    <mergeCell ref="V62:W62"/>
    <mergeCell ref="V56:W56"/>
    <mergeCell ref="O108:W108"/>
    <mergeCell ref="Q158:R158"/>
    <mergeCell ref="C77:G77"/>
    <mergeCell ref="AA190:AB190"/>
    <mergeCell ref="C69:AE69"/>
    <mergeCell ref="Q160:R160"/>
    <mergeCell ref="AA281:AC281"/>
    <mergeCell ref="S196:U196"/>
    <mergeCell ref="AC256:AE256"/>
    <mergeCell ref="K270:M270"/>
    <mergeCell ref="K263:M263"/>
    <mergeCell ref="Q184:R184"/>
    <mergeCell ref="C106:N106"/>
    <mergeCell ref="AC257:AE257"/>
    <mergeCell ref="H264:J264"/>
    <mergeCell ref="K265:M265"/>
    <mergeCell ref="C60:D60"/>
    <mergeCell ref="C219:G219"/>
    <mergeCell ref="C101:N101"/>
    <mergeCell ref="AB149:AE149"/>
    <mergeCell ref="X44:Y44"/>
    <mergeCell ref="C57:D57"/>
    <mergeCell ref="C82:AE82"/>
    <mergeCell ref="AC275:AE275"/>
    <mergeCell ref="AC269:AE269"/>
    <mergeCell ref="C58:D58"/>
    <mergeCell ref="C83:AE83"/>
    <mergeCell ref="AD88:AE88"/>
    <mergeCell ref="AC181:AE181"/>
    <mergeCell ref="K195:M195"/>
    <mergeCell ref="C300:N300"/>
    <mergeCell ref="AC270:AE270"/>
    <mergeCell ref="H65:J65"/>
    <mergeCell ref="AD90:AE90"/>
    <mergeCell ref="K38:M38"/>
    <mergeCell ref="Y158:Z158"/>
    <mergeCell ref="O203:W203"/>
    <mergeCell ref="Y168:Z168"/>
    <mergeCell ref="X63:Y63"/>
    <mergeCell ref="H179:J179"/>
    <mergeCell ref="S177:U177"/>
    <mergeCell ref="X91:Z91"/>
    <mergeCell ref="C7:AE7"/>
    <mergeCell ref="AD12:AE12"/>
    <mergeCell ref="Y184:Z184"/>
    <mergeCell ref="H49:J49"/>
    <mergeCell ref="K252:M252"/>
    <mergeCell ref="AC194:AE194"/>
    <mergeCell ref="AD20:AE20"/>
    <mergeCell ref="Q259:S259"/>
    <mergeCell ref="AD14:AE14"/>
    <mergeCell ref="V176:X176"/>
    <mergeCell ref="AB221:AE221"/>
    <mergeCell ref="AD13:AE13"/>
    <mergeCell ref="C246:D246"/>
    <mergeCell ref="Q261:S261"/>
    <mergeCell ref="V178:X178"/>
    <mergeCell ref="X117:Z117"/>
    <mergeCell ref="AD15:AE15"/>
    <mergeCell ref="E66:G66"/>
    <mergeCell ref="AC36:AE36"/>
    <mergeCell ref="K236:M236"/>
    <mergeCell ref="E68:G68"/>
    <mergeCell ref="Z54:AB54"/>
    <mergeCell ref="E67:G67"/>
    <mergeCell ref="C97:N97"/>
    <mergeCell ref="T36:U36"/>
    <mergeCell ref="Q183:R183"/>
    <mergeCell ref="H251:J251"/>
    <mergeCell ref="C172:D172"/>
    <mergeCell ref="H278:J278"/>
    <mergeCell ref="Z239:AB239"/>
    <mergeCell ref="H253:J253"/>
    <mergeCell ref="C171:D171"/>
    <mergeCell ref="AA202:AC202"/>
    <mergeCell ref="C79:AE79"/>
    <mergeCell ref="C123:N123"/>
    <mergeCell ref="AB148:AE148"/>
    <mergeCell ref="T62:U62"/>
    <mergeCell ref="C173:D173"/>
    <mergeCell ref="K160:M160"/>
    <mergeCell ref="E237:G237"/>
    <mergeCell ref="AC266:AE266"/>
    <mergeCell ref="H273:J273"/>
    <mergeCell ref="T64:U64"/>
    <mergeCell ref="E239:G239"/>
    <mergeCell ref="H220:W220"/>
    <mergeCell ref="AC268:AE268"/>
    <mergeCell ref="K34:M34"/>
    <mergeCell ref="N160:P160"/>
    <mergeCell ref="K36:M36"/>
    <mergeCell ref="N159:P159"/>
    <mergeCell ref="Q196:R196"/>
    <mergeCell ref="K29:M29"/>
    <mergeCell ref="H177:J177"/>
    <mergeCell ref="C113:N113"/>
    <mergeCell ref="N161:P161"/>
    <mergeCell ref="AD226:AE226"/>
    <mergeCell ref="K31:M31"/>
    <mergeCell ref="E167:G167"/>
    <mergeCell ref="V269:W269"/>
    <mergeCell ref="Y180:Z180"/>
    <mergeCell ref="O202:W202"/>
    <mergeCell ref="AC165:AE165"/>
    <mergeCell ref="AD228:AE228"/>
    <mergeCell ref="E169:G169"/>
    <mergeCell ref="Z278:AB278"/>
    <mergeCell ref="Y182:Z182"/>
    <mergeCell ref="Q46:S46"/>
    <mergeCell ref="AD99:AE99"/>
    <mergeCell ref="K176:M176"/>
    <mergeCell ref="X93:Z93"/>
    <mergeCell ref="E162:G162"/>
    <mergeCell ref="C242:D242"/>
    <mergeCell ref="Q257:S257"/>
    <mergeCell ref="N187:P187"/>
    <mergeCell ref="Q48:S48"/>
    <mergeCell ref="V174:X174"/>
    <mergeCell ref="X239:Y239"/>
    <mergeCell ref="C252:D252"/>
    <mergeCell ref="E164:G164"/>
    <mergeCell ref="C244:D244"/>
    <mergeCell ref="K49:M49"/>
    <mergeCell ref="K171:M171"/>
    <mergeCell ref="S192:U192"/>
    <mergeCell ref="X306:AE306"/>
    <mergeCell ref="E195:G195"/>
    <mergeCell ref="H196:J196"/>
    <mergeCell ref="E180:G180"/>
    <mergeCell ref="K261:M261"/>
    <mergeCell ref="H191:J191"/>
    <mergeCell ref="E182:G182"/>
    <mergeCell ref="E65:G65"/>
    <mergeCell ref="X108:Z108"/>
    <mergeCell ref="Q270:S270"/>
    <mergeCell ref="X258:Y258"/>
    <mergeCell ref="C271:D271"/>
    <mergeCell ref="C265:D265"/>
    <mergeCell ref="AC60:AE60"/>
    <mergeCell ref="H249:J249"/>
    <mergeCell ref="E179:G179"/>
    <mergeCell ref="T276:U276"/>
    <mergeCell ref="H242:J242"/>
    <mergeCell ref="C80:AE80"/>
    <mergeCell ref="T278:U278"/>
    <mergeCell ref="V36:W36"/>
    <mergeCell ref="H244:J244"/>
    <mergeCell ref="T60:U60"/>
    <mergeCell ref="AA13:AC13"/>
    <mergeCell ref="S176:U176"/>
    <mergeCell ref="AA15:AC15"/>
    <mergeCell ref="C195:D195"/>
    <mergeCell ref="X304:Z304"/>
    <mergeCell ref="Z37:AB37"/>
    <mergeCell ref="AB289:AE289"/>
    <mergeCell ref="Z254:AB254"/>
    <mergeCell ref="C197:D197"/>
    <mergeCell ref="Z248:AB248"/>
    <mergeCell ref="E261:G261"/>
    <mergeCell ref="H262:J262"/>
    <mergeCell ref="Z247:AB247"/>
    <mergeCell ref="Q166:R166"/>
    <mergeCell ref="N186:P186"/>
    <mergeCell ref="O12:W12"/>
    <mergeCell ref="Z249:AB249"/>
    <mergeCell ref="E256:G256"/>
    <mergeCell ref="V266:W266"/>
    <mergeCell ref="O14:W14"/>
    <mergeCell ref="N183:P183"/>
    <mergeCell ref="X201:Z201"/>
    <mergeCell ref="O13:W13"/>
    <mergeCell ref="V268:W268"/>
    <mergeCell ref="X26:Y26"/>
    <mergeCell ref="C39:D39"/>
    <mergeCell ref="N54:P54"/>
    <mergeCell ref="X203:Z203"/>
    <mergeCell ref="O15:W15"/>
    <mergeCell ref="AB219:AE219"/>
    <mergeCell ref="K55:M55"/>
    <mergeCell ref="N56:P56"/>
    <mergeCell ref="C281:N281"/>
    <mergeCell ref="Q39:S39"/>
    <mergeCell ref="K169:M169"/>
    <mergeCell ref="X27:Y27"/>
    <mergeCell ref="Z267:AB267"/>
    <mergeCell ref="C280:N280"/>
    <mergeCell ref="E274:G274"/>
    <mergeCell ref="K46:M46"/>
    <mergeCell ref="K40:M40"/>
    <mergeCell ref="Q179:R179"/>
    <mergeCell ref="AA88:AC88"/>
    <mergeCell ref="X52:Y52"/>
    <mergeCell ref="E186:G186"/>
    <mergeCell ref="H187:J187"/>
    <mergeCell ref="Z262:AB262"/>
    <mergeCell ref="X37:Y37"/>
    <mergeCell ref="C50:D50"/>
    <mergeCell ref="T246:U246"/>
    <mergeCell ref="Q241:S241"/>
    <mergeCell ref="AD118:AE118"/>
    <mergeCell ref="N196:P196"/>
    <mergeCell ref="S157:U157"/>
    <mergeCell ref="V158:X158"/>
    <mergeCell ref="V193:X193"/>
    <mergeCell ref="K66:M66"/>
    <mergeCell ref="AB361:AE361"/>
    <mergeCell ref="K197:M197"/>
    <mergeCell ref="N198:P198"/>
    <mergeCell ref="H30:J30"/>
    <mergeCell ref="V160:X160"/>
    <mergeCell ref="X256:Y256"/>
    <mergeCell ref="X38:Y38"/>
    <mergeCell ref="X99:Z99"/>
    <mergeCell ref="T241:U241"/>
    <mergeCell ref="H29:J29"/>
    <mergeCell ref="K68:M68"/>
    <mergeCell ref="AC174:AE174"/>
    <mergeCell ref="T243:U243"/>
    <mergeCell ref="H31:J31"/>
    <mergeCell ref="H58:J58"/>
    <mergeCell ref="Y160:Z160"/>
    <mergeCell ref="C264:D264"/>
    <mergeCell ref="C293:G293"/>
    <mergeCell ref="H60:J60"/>
    <mergeCell ref="AC42:AE42"/>
    <mergeCell ref="Z33:AB33"/>
    <mergeCell ref="E46:G46"/>
    <mergeCell ref="X267:Y267"/>
    <mergeCell ref="C274:D274"/>
    <mergeCell ref="AC44:AE44"/>
    <mergeCell ref="H57:J57"/>
    <mergeCell ref="Z35:AB35"/>
    <mergeCell ref="X269:Y269"/>
    <mergeCell ref="O110:W110"/>
    <mergeCell ref="Q162:R162"/>
    <mergeCell ref="Z34:AB34"/>
    <mergeCell ref="Z28:AB28"/>
    <mergeCell ref="E41:G41"/>
    <mergeCell ref="H42:J42"/>
    <mergeCell ref="Z245:AB245"/>
    <mergeCell ref="X149:AA149"/>
    <mergeCell ref="Z36:AB36"/>
    <mergeCell ref="Z30:AB30"/>
    <mergeCell ref="E43:G43"/>
    <mergeCell ref="Q157:R157"/>
    <mergeCell ref="V53:W53"/>
    <mergeCell ref="X303:Z303"/>
    <mergeCell ref="Z61:AB61"/>
    <mergeCell ref="V46:W46"/>
    <mergeCell ref="O92:W92"/>
    <mergeCell ref="C179:D179"/>
    <mergeCell ref="N185:P185"/>
    <mergeCell ref="E276:G276"/>
    <mergeCell ref="E270:G270"/>
    <mergeCell ref="Q175:R175"/>
    <mergeCell ref="X291:AA291"/>
    <mergeCell ref="E271:G271"/>
    <mergeCell ref="Q177:R177"/>
    <mergeCell ref="C46:D46"/>
    <mergeCell ref="Q176:R176"/>
    <mergeCell ref="Z260:AB260"/>
    <mergeCell ref="E273:G273"/>
    <mergeCell ref="N27:P27"/>
    <mergeCell ref="K158:M158"/>
    <mergeCell ref="AD203:AE203"/>
    <mergeCell ref="C48:D48"/>
    <mergeCell ref="C87:N87"/>
    <mergeCell ref="X51:Y51"/>
    <mergeCell ref="X220:AA220"/>
    <mergeCell ref="T34:U34"/>
    <mergeCell ref="T28:U28"/>
    <mergeCell ref="X36:Y36"/>
    <mergeCell ref="C306:N306"/>
    <mergeCell ref="T245:U245"/>
    <mergeCell ref="T239:U239"/>
    <mergeCell ref="Y162:Z162"/>
    <mergeCell ref="AA226:AC226"/>
    <mergeCell ref="X221:AA221"/>
    <mergeCell ref="T30:U30"/>
    <mergeCell ref="X67:Y67"/>
    <mergeCell ref="AD229:AE229"/>
    <mergeCell ref="X61:Y61"/>
    <mergeCell ref="Y164:Z164"/>
    <mergeCell ref="C250:D250"/>
    <mergeCell ref="N247:P247"/>
    <mergeCell ref="V182:X182"/>
    <mergeCell ref="T240:U240"/>
    <mergeCell ref="N38:P38"/>
    <mergeCell ref="AA99:AC99"/>
    <mergeCell ref="Y157:Z157"/>
    <mergeCell ref="E197:G197"/>
    <mergeCell ref="N249:P249"/>
    <mergeCell ref="X62:Y62"/>
    <mergeCell ref="K179:M179"/>
    <mergeCell ref="C309:AE309"/>
    <mergeCell ref="H170:J170"/>
    <mergeCell ref="Y188:Z188"/>
    <mergeCell ref="V177:X177"/>
    <mergeCell ref="AD105:AE105"/>
    <mergeCell ref="X64:Y64"/>
    <mergeCell ref="AA94:AC94"/>
    <mergeCell ref="C19:N19"/>
    <mergeCell ref="S168:U168"/>
    <mergeCell ref="C311:AE311"/>
    <mergeCell ref="H172:J172"/>
    <mergeCell ref="Y190:Z190"/>
    <mergeCell ref="S167:U167"/>
    <mergeCell ref="AC158:AE158"/>
    <mergeCell ref="X145:AA145"/>
    <mergeCell ref="T258:U258"/>
    <mergeCell ref="Z32:AB32"/>
    <mergeCell ref="Y175:Z175"/>
    <mergeCell ref="E39:G39"/>
    <mergeCell ref="S169:U169"/>
    <mergeCell ref="C14:N14"/>
    <mergeCell ref="S165:U165"/>
    <mergeCell ref="N267:P267"/>
    <mergeCell ref="X147:AA147"/>
    <mergeCell ref="C3:G3"/>
    <mergeCell ref="X238:Y238"/>
    <mergeCell ref="S194:U194"/>
    <mergeCell ref="O88:W88"/>
    <mergeCell ref="C5:G5"/>
    <mergeCell ref="O99:W99"/>
    <mergeCell ref="N262:P262"/>
    <mergeCell ref="C24:AE24"/>
    <mergeCell ref="H66:J66"/>
    <mergeCell ref="C177:D177"/>
    <mergeCell ref="E57:G57"/>
    <mergeCell ref="V44:W44"/>
    <mergeCell ref="Z60:AB60"/>
    <mergeCell ref="E243:G243"/>
    <mergeCell ref="AA172:AB172"/>
    <mergeCell ref="X289:AA289"/>
    <mergeCell ref="Z45:AB45"/>
    <mergeCell ref="E58:G58"/>
    <mergeCell ref="X12:Z12"/>
    <mergeCell ref="S184:U184"/>
    <mergeCell ref="Z55:AB55"/>
    <mergeCell ref="AA173:AB173"/>
    <mergeCell ref="AC237:AE237"/>
    <mergeCell ref="K251:M251"/>
    <mergeCell ref="Q174:R174"/>
    <mergeCell ref="Q168:R168"/>
    <mergeCell ref="AA165:AB165"/>
    <mergeCell ref="X13:Z13"/>
    <mergeCell ref="K253:M253"/>
    <mergeCell ref="C112:N112"/>
    <mergeCell ref="Q199:R199"/>
    <mergeCell ref="N194:P194"/>
    <mergeCell ref="C114:N114"/>
    <mergeCell ref="T53:U53"/>
    <mergeCell ref="Q44:S44"/>
    <mergeCell ref="Q194:R194"/>
    <mergeCell ref="H27:J27"/>
    <mergeCell ref="T55:U55"/>
    <mergeCell ref="AA191:AB191"/>
    <mergeCell ref="AC255:AE255"/>
    <mergeCell ref="N34:P34"/>
    <mergeCell ref="AD227:AE227"/>
    <mergeCell ref="Q45:S45"/>
    <mergeCell ref="C124:AE124"/>
    <mergeCell ref="C188:D188"/>
    <mergeCell ref="X58:Y58"/>
    <mergeCell ref="K175:M175"/>
    <mergeCell ref="N36:P36"/>
    <mergeCell ref="H166:J166"/>
    <mergeCell ref="Q47:S47"/>
    <mergeCell ref="AA96:AC96"/>
    <mergeCell ref="X60:Y60"/>
    <mergeCell ref="AA90:AC90"/>
    <mergeCell ref="K177:M177"/>
    <mergeCell ref="H168:J168"/>
    <mergeCell ref="Y186:Z186"/>
    <mergeCell ref="C104:N104"/>
    <mergeCell ref="T37:U37"/>
    <mergeCell ref="H167:J167"/>
    <mergeCell ref="H161:J161"/>
    <mergeCell ref="AD96:AE96"/>
    <mergeCell ref="X361:AA361"/>
    <mergeCell ref="H169:J169"/>
    <mergeCell ref="N62:P62"/>
    <mergeCell ref="Q63:S63"/>
    <mergeCell ref="AA123:AC123"/>
    <mergeCell ref="Y181:Z181"/>
    <mergeCell ref="C99:N99"/>
    <mergeCell ref="T38:U38"/>
    <mergeCell ref="AD98:AE98"/>
    <mergeCell ref="N176:P176"/>
    <mergeCell ref="AA116:AC116"/>
    <mergeCell ref="N64:P64"/>
    <mergeCell ref="H194:J194"/>
    <mergeCell ref="O95:W95"/>
    <mergeCell ref="T63:U63"/>
    <mergeCell ref="O89:W89"/>
    <mergeCell ref="AA118:AC118"/>
    <mergeCell ref="AC180:AE180"/>
    <mergeCell ref="K48:M48"/>
    <mergeCell ref="AC182:AE182"/>
    <mergeCell ref="AA109:AC109"/>
    <mergeCell ref="H195:J195"/>
    <mergeCell ref="H189:J189"/>
    <mergeCell ref="O90:W90"/>
    <mergeCell ref="Y199:Z199"/>
    <mergeCell ref="S193:U193"/>
    <mergeCell ref="AD116:AE116"/>
    <mergeCell ref="H197:J197"/>
    <mergeCell ref="X110:Z110"/>
    <mergeCell ref="S180:U180"/>
    <mergeCell ref="Y194:Z194"/>
    <mergeCell ref="X247:Y247"/>
    <mergeCell ref="K247:M247"/>
    <mergeCell ref="K277:M277"/>
    <mergeCell ref="S175:U175"/>
    <mergeCell ref="K249:M249"/>
    <mergeCell ref="K276:M276"/>
    <mergeCell ref="K243:M243"/>
    <mergeCell ref="X92:Z92"/>
    <mergeCell ref="AC26:AE26"/>
    <mergeCell ref="E49:G49"/>
    <mergeCell ref="K278:M278"/>
    <mergeCell ref="X94:Z94"/>
    <mergeCell ref="V59:W59"/>
    <mergeCell ref="E163:G163"/>
    <mergeCell ref="AC251:AE251"/>
    <mergeCell ref="T26:U26"/>
    <mergeCell ref="E251:G251"/>
    <mergeCell ref="X275:Y275"/>
    <mergeCell ref="C76:G76"/>
    <mergeCell ref="V54:W54"/>
    <mergeCell ref="AC253:AE253"/>
    <mergeCell ref="C159:D159"/>
    <mergeCell ref="X277:Y277"/>
    <mergeCell ref="AC246:AE246"/>
    <mergeCell ref="H259:J259"/>
    <mergeCell ref="C186:D186"/>
    <mergeCell ref="AC254:AE254"/>
    <mergeCell ref="AC248:AE248"/>
    <mergeCell ref="H261:J261"/>
    <mergeCell ref="K262:M262"/>
    <mergeCell ref="Z238:AB238"/>
    <mergeCell ref="AB146:AE146"/>
    <mergeCell ref="C95:N95"/>
    <mergeCell ref="O301:W301"/>
    <mergeCell ref="Z240:AB240"/>
    <mergeCell ref="C54:D54"/>
    <mergeCell ref="C218:G218"/>
    <mergeCell ref="N60:P60"/>
    <mergeCell ref="AA201:AC201"/>
    <mergeCell ref="C56:D56"/>
    <mergeCell ref="C230:AE230"/>
    <mergeCell ref="X42:Y42"/>
    <mergeCell ref="X202:Z202"/>
    <mergeCell ref="AA203:AC203"/>
    <mergeCell ref="H272:J272"/>
    <mergeCell ref="T61:U61"/>
    <mergeCell ref="N55:P55"/>
    <mergeCell ref="Q56:S56"/>
    <mergeCell ref="C232:AE232"/>
    <mergeCell ref="AC267:AE267"/>
    <mergeCell ref="H274:J274"/>
    <mergeCell ref="AD87:AE87"/>
    <mergeCell ref="H193:J193"/>
    <mergeCell ref="AD122:AE122"/>
    <mergeCell ref="H64:J64"/>
    <mergeCell ref="X43:Y43"/>
    <mergeCell ref="Y165:Z165"/>
    <mergeCell ref="AA229:AC229"/>
    <mergeCell ref="AD107:AE107"/>
    <mergeCell ref="O226:W226"/>
    <mergeCell ref="O201:W201"/>
    <mergeCell ref="C297:N297"/>
    <mergeCell ref="AB73:AE73"/>
    <mergeCell ref="O228:W228"/>
    <mergeCell ref="C299:N299"/>
    <mergeCell ref="T238:U238"/>
    <mergeCell ref="AC191:AE191"/>
    <mergeCell ref="AC51:AE51"/>
    <mergeCell ref="K65:M65"/>
    <mergeCell ref="E159:G159"/>
    <mergeCell ref="E47:G47"/>
    <mergeCell ref="Q258:S258"/>
    <mergeCell ref="X271:Y271"/>
    <mergeCell ref="V175:X175"/>
    <mergeCell ref="V50:W50"/>
    <mergeCell ref="AB220:AE220"/>
    <mergeCell ref="Q260:S260"/>
    <mergeCell ref="N242:P242"/>
    <mergeCell ref="X273:Y273"/>
    <mergeCell ref="H2:W2"/>
    <mergeCell ref="X116:Z116"/>
    <mergeCell ref="E63:G63"/>
    <mergeCell ref="AD280:AE280"/>
    <mergeCell ref="AC33:AE33"/>
    <mergeCell ref="H46:J46"/>
    <mergeCell ref="C157:D157"/>
    <mergeCell ref="X266:Y266"/>
    <mergeCell ref="X118:Z118"/>
    <mergeCell ref="H257:J257"/>
    <mergeCell ref="X300:AE300"/>
    <mergeCell ref="AC35:AE35"/>
    <mergeCell ref="X268:Y268"/>
    <mergeCell ref="AC34:AE34"/>
    <mergeCell ref="AA301:AC301"/>
    <mergeCell ref="AC59:AE59"/>
    <mergeCell ref="AA303:AC303"/>
    <mergeCell ref="AC61:AE61"/>
    <mergeCell ref="N174:P174"/>
    <mergeCell ref="AB145:AE145"/>
    <mergeCell ref="C170:D170"/>
    <mergeCell ref="H276:J276"/>
    <mergeCell ref="H270:J270"/>
    <mergeCell ref="Z53:AB53"/>
    <mergeCell ref="E236:G236"/>
    <mergeCell ref="V254:W254"/>
    <mergeCell ref="V248:W248"/>
    <mergeCell ref="N169:P169"/>
    <mergeCell ref="Z264:AB264"/>
    <mergeCell ref="Q26:S26"/>
    <mergeCell ref="AA16:AC16"/>
    <mergeCell ref="C196:D196"/>
    <mergeCell ref="K157:M157"/>
    <mergeCell ref="N158:P158"/>
    <mergeCell ref="C198:D198"/>
    <mergeCell ref="K28:M28"/>
    <mergeCell ref="K30:M30"/>
    <mergeCell ref="Z275:AB275"/>
    <mergeCell ref="E160:G160"/>
    <mergeCell ref="Q37:S37"/>
    <mergeCell ref="V267:W267"/>
    <mergeCell ref="Q254:S254"/>
    <mergeCell ref="Z277:AB277"/>
    <mergeCell ref="AD106:AE106"/>
    <mergeCell ref="N184:P184"/>
    <mergeCell ref="V171:X171"/>
    <mergeCell ref="X236:Y236"/>
    <mergeCell ref="C249:D249"/>
    <mergeCell ref="V181:X181"/>
    <mergeCell ref="E161:G161"/>
    <mergeCell ref="Q256:S256"/>
    <mergeCell ref="AA98:AC98"/>
    <mergeCell ref="N238:P238"/>
    <mergeCell ref="V173:X173"/>
    <mergeCell ref="X229:Z229"/>
    <mergeCell ref="Q249:S249"/>
    <mergeCell ref="K56:M56"/>
    <mergeCell ref="V166:X166"/>
    <mergeCell ref="X237:Y237"/>
    <mergeCell ref="N240:P240"/>
    <mergeCell ref="AC162:AE162"/>
    <mergeCell ref="K170:M170"/>
    <mergeCell ref="V168:X168"/>
    <mergeCell ref="X298:AE298"/>
    <mergeCell ref="AA302:AC302"/>
    <mergeCell ref="V51:W51"/>
    <mergeCell ref="V192:X192"/>
    <mergeCell ref="N266:P266"/>
    <mergeCell ref="Q267:S267"/>
    <mergeCell ref="X255:Y255"/>
    <mergeCell ref="C262:D262"/>
    <mergeCell ref="AA299:AC299"/>
    <mergeCell ref="AC57:AE57"/>
    <mergeCell ref="V194:X194"/>
    <mergeCell ref="C292:G292"/>
    <mergeCell ref="N268:P268"/>
    <mergeCell ref="Q269:S269"/>
    <mergeCell ref="AA111:AC111"/>
    <mergeCell ref="AC58:AE58"/>
    <mergeCell ref="T275:U275"/>
    <mergeCell ref="V33:W33"/>
    <mergeCell ref="H241:J241"/>
    <mergeCell ref="T269:U269"/>
    <mergeCell ref="AA167:AB167"/>
    <mergeCell ref="T277:U277"/>
    <mergeCell ref="V35:W35"/>
    <mergeCell ref="H243:J243"/>
    <mergeCell ref="Z51:AB51"/>
    <mergeCell ref="AA12:AC12"/>
    <mergeCell ref="V245:W245"/>
    <mergeCell ref="C192:D192"/>
    <mergeCell ref="AA162:AB162"/>
    <mergeCell ref="X301:Z301"/>
    <mergeCell ref="AA14:AC14"/>
    <mergeCell ref="C194:D194"/>
    <mergeCell ref="E258:G258"/>
    <mergeCell ref="AA164:AB164"/>
    <mergeCell ref="K242:M242"/>
    <mergeCell ref="X146:AA146"/>
    <mergeCell ref="N193:P193"/>
    <mergeCell ref="Z246:AB246"/>
    <mergeCell ref="E259:G259"/>
    <mergeCell ref="C189:D189"/>
    <mergeCell ref="E253:G253"/>
    <mergeCell ref="AA188:AB188"/>
    <mergeCell ref="V263:W263"/>
    <mergeCell ref="C34:D34"/>
    <mergeCell ref="AA180:AB180"/>
    <mergeCell ref="N180:P180"/>
    <mergeCell ref="Q35:S35"/>
    <mergeCell ref="V265:W265"/>
    <mergeCell ref="Q34:S34"/>
    <mergeCell ref="N182:P182"/>
    <mergeCell ref="V258:W258"/>
    <mergeCell ref="C29:D29"/>
    <mergeCell ref="C65:D65"/>
    <mergeCell ref="Q36:S36"/>
    <mergeCell ref="Q30:S30"/>
    <mergeCell ref="K166:M166"/>
    <mergeCell ref="V260:W260"/>
    <mergeCell ref="C31:D31"/>
    <mergeCell ref="AC247:AE247"/>
    <mergeCell ref="N177:P177"/>
    <mergeCell ref="K168:M168"/>
    <mergeCell ref="K167:M167"/>
    <mergeCell ref="V195:X195"/>
    <mergeCell ref="AD113:AE113"/>
    <mergeCell ref="E272:G272"/>
    <mergeCell ref="E185:G185"/>
    <mergeCell ref="Q62:S62"/>
    <mergeCell ref="AD115:AE115"/>
    <mergeCell ref="X73:AA73"/>
    <mergeCell ref="K192:M192"/>
    <mergeCell ref="N53:P53"/>
    <mergeCell ref="Q54:S54"/>
    <mergeCell ref="C258:D258"/>
    <mergeCell ref="H39:J39"/>
    <mergeCell ref="C49:D49"/>
    <mergeCell ref="Q64:S64"/>
    <mergeCell ref="V190:X190"/>
    <mergeCell ref="K63:M63"/>
    <mergeCell ref="N264:P264"/>
    <mergeCell ref="N46:P46"/>
    <mergeCell ref="K194:M194"/>
    <mergeCell ref="AA107:AC107"/>
    <mergeCell ref="S181:U181"/>
    <mergeCell ref="C266:D266"/>
    <mergeCell ref="C260:D260"/>
    <mergeCell ref="C305:N305"/>
    <mergeCell ref="C42:D42"/>
    <mergeCell ref="N48:P48"/>
    <mergeCell ref="C259:D259"/>
    <mergeCell ref="AC171:AE171"/>
    <mergeCell ref="T271:U271"/>
    <mergeCell ref="V29:W29"/>
    <mergeCell ref="E27:G27"/>
    <mergeCell ref="H28:J28"/>
    <mergeCell ref="X248:Y248"/>
    <mergeCell ref="C261:D261"/>
    <mergeCell ref="AC173:AE173"/>
    <mergeCell ref="H186:J186"/>
    <mergeCell ref="T273:U273"/>
    <mergeCell ref="V31:W31"/>
    <mergeCell ref="AA110:AC110"/>
    <mergeCell ref="E196:G196"/>
    <mergeCell ref="T266:U266"/>
    <mergeCell ref="V60:W60"/>
    <mergeCell ref="E198:G198"/>
    <mergeCell ref="O106:W106"/>
    <mergeCell ref="V32:W32"/>
    <mergeCell ref="X96:Z96"/>
    <mergeCell ref="N250:P250"/>
    <mergeCell ref="V26:W26"/>
    <mergeCell ref="T268:U268"/>
    <mergeCell ref="N275:P275"/>
    <mergeCell ref="O105:W105"/>
    <mergeCell ref="H54:J54"/>
    <mergeCell ref="X98:Z98"/>
    <mergeCell ref="AC199:AE199"/>
    <mergeCell ref="K238:M238"/>
    <mergeCell ref="N277:P277"/>
    <mergeCell ref="V57:W57"/>
    <mergeCell ref="O107:W107"/>
    <mergeCell ref="N276:P276"/>
    <mergeCell ref="H56:J56"/>
    <mergeCell ref="S166:U166"/>
    <mergeCell ref="E38:G38"/>
    <mergeCell ref="K240:M240"/>
    <mergeCell ref="AC67:AE67"/>
    <mergeCell ref="V42:W42"/>
    <mergeCell ref="E249:G249"/>
    <mergeCell ref="N278:P278"/>
    <mergeCell ref="E40:G40"/>
    <mergeCell ref="V58:W58"/>
    <mergeCell ref="V52:W52"/>
    <mergeCell ref="E257:G257"/>
    <mergeCell ref="C4:G4"/>
    <mergeCell ref="AA186:AB186"/>
    <mergeCell ref="AB3:AE3"/>
    <mergeCell ref="AB5:AE5"/>
    <mergeCell ref="X109:Z109"/>
    <mergeCell ref="C25:AE25"/>
    <mergeCell ref="X22:Z22"/>
    <mergeCell ref="K259:M259"/>
    <mergeCell ref="Z59:AB59"/>
    <mergeCell ref="C27:D27"/>
    <mergeCell ref="T41:U41"/>
    <mergeCell ref="AC245:AE245"/>
    <mergeCell ref="Q182:R182"/>
    <mergeCell ref="T43:U43"/>
    <mergeCell ref="E262:G262"/>
    <mergeCell ref="Q58:S58"/>
    <mergeCell ref="X40:Y40"/>
    <mergeCell ref="AA199:AB199"/>
    <mergeCell ref="C45:D45"/>
    <mergeCell ref="Q60:S60"/>
    <mergeCell ref="AB147:AE147"/>
    <mergeCell ref="AC271:AE271"/>
    <mergeCell ref="O21:W21"/>
    <mergeCell ref="AC265:AE265"/>
    <mergeCell ref="C47:D47"/>
    <mergeCell ref="C40:D40"/>
    <mergeCell ref="C75:G75"/>
    <mergeCell ref="T236:U236"/>
    <mergeCell ref="Y159:Z159"/>
    <mergeCell ref="K274:M274"/>
    <mergeCell ref="K62:M62"/>
    <mergeCell ref="AD86:AE86"/>
    <mergeCell ref="K193:M193"/>
    <mergeCell ref="C298:N298"/>
    <mergeCell ref="T237:U237"/>
    <mergeCell ref="N246:P246"/>
    <mergeCell ref="C8:AE8"/>
    <mergeCell ref="X59:Y59"/>
    <mergeCell ref="N37:P37"/>
    <mergeCell ref="C66:D66"/>
    <mergeCell ref="AB77:AE77"/>
    <mergeCell ref="AC195:AE195"/>
    <mergeCell ref="N248:P248"/>
    <mergeCell ref="C308:AE308"/>
    <mergeCell ref="C16:N16"/>
    <mergeCell ref="C68:D68"/>
    <mergeCell ref="H52:J52"/>
    <mergeCell ref="H149:W149"/>
    <mergeCell ref="E34:G34"/>
    <mergeCell ref="AC197:AE197"/>
    <mergeCell ref="H45:J45"/>
    <mergeCell ref="T255:U255"/>
    <mergeCell ref="E36:G36"/>
    <mergeCell ref="H47:J47"/>
    <mergeCell ref="Q247:S247"/>
    <mergeCell ref="T250:U250"/>
    <mergeCell ref="C2:G2"/>
    <mergeCell ref="X105:Z105"/>
    <mergeCell ref="C96:N96"/>
    <mergeCell ref="O87:W87"/>
    <mergeCell ref="Z49:AB49"/>
    <mergeCell ref="E62:G62"/>
    <mergeCell ref="H63:J63"/>
    <mergeCell ref="AC32:AE32"/>
    <mergeCell ref="K266:M266"/>
    <mergeCell ref="X107:Z107"/>
    <mergeCell ref="H291:W291"/>
    <mergeCell ref="C98:N98"/>
    <mergeCell ref="O116:W116"/>
    <mergeCell ref="Z57:AB57"/>
    <mergeCell ref="E64:G64"/>
    <mergeCell ref="T39:U39"/>
    <mergeCell ref="AD21:AE21"/>
    <mergeCell ref="Z50:AB50"/>
    <mergeCell ref="V68:W68"/>
    <mergeCell ref="H292:W292"/>
    <mergeCell ref="C18:AE18"/>
    <mergeCell ref="C93:N93"/>
    <mergeCell ref="V67:W67"/>
    <mergeCell ref="T32:U32"/>
    <mergeCell ref="O113:W113"/>
    <mergeCell ref="Z52:AB52"/>
    <mergeCell ref="H76:W76"/>
    <mergeCell ref="AA170:AB170"/>
    <mergeCell ref="AC50:AE50"/>
    <mergeCell ref="C168:D168"/>
    <mergeCell ref="Q181:R181"/>
    <mergeCell ref="AC236:AE236"/>
    <mergeCell ref="K250:M250"/>
    <mergeCell ref="C103:AE103"/>
    <mergeCell ref="C167:D167"/>
    <mergeCell ref="H221:W221"/>
    <mergeCell ref="C169:D169"/>
    <mergeCell ref="C111:N111"/>
    <mergeCell ref="Q191:R191"/>
    <mergeCell ref="T52:U52"/>
    <mergeCell ref="AC264:AE264"/>
    <mergeCell ref="Q163:R163"/>
    <mergeCell ref="H218:W218"/>
    <mergeCell ref="V238:W238"/>
    <mergeCell ref="K32:M32"/>
    <mergeCell ref="N33:P33"/>
    <mergeCell ref="C62:D62"/>
    <mergeCell ref="T49:U49"/>
    <mergeCell ref="C187:D187"/>
    <mergeCell ref="C64:D64"/>
    <mergeCell ref="N157:P157"/>
    <mergeCell ref="T42:U42"/>
    <mergeCell ref="AC274:AE274"/>
    <mergeCell ref="K27:M27"/>
    <mergeCell ref="N28:P28"/>
    <mergeCell ref="T50:U50"/>
    <mergeCell ref="H158:J158"/>
    <mergeCell ref="T44:U44"/>
    <mergeCell ref="S162:U162"/>
    <mergeCell ref="N30:P30"/>
    <mergeCell ref="H160:J160"/>
    <mergeCell ref="Y178:Z178"/>
    <mergeCell ref="AD95:AE95"/>
    <mergeCell ref="AA113:AC113"/>
    <mergeCell ref="AB218:AE218"/>
    <mergeCell ref="S187:U187"/>
    <mergeCell ref="H148:W148"/>
    <mergeCell ref="AC277:AE277"/>
    <mergeCell ref="AD97:AE97"/>
    <mergeCell ref="N175:P175"/>
    <mergeCell ref="C240:D240"/>
    <mergeCell ref="AA115:AC115"/>
    <mergeCell ref="S189:U189"/>
    <mergeCell ref="Q238:S238"/>
    <mergeCell ref="K45:M45"/>
    <mergeCell ref="S182:U182"/>
    <mergeCell ref="K256:M256"/>
    <mergeCell ref="AC179:AE179"/>
    <mergeCell ref="H192:J192"/>
    <mergeCell ref="K47:M47"/>
    <mergeCell ref="E177:G177"/>
    <mergeCell ref="E60:G60"/>
    <mergeCell ref="S190:U190"/>
    <mergeCell ref="Y196:Z196"/>
    <mergeCell ref="K264:M264"/>
    <mergeCell ref="E176:G176"/>
    <mergeCell ref="AD123:AE123"/>
    <mergeCell ref="K257:M257"/>
    <mergeCell ref="E178:G178"/>
    <mergeCell ref="Z48:AB48"/>
    <mergeCell ref="Y191:Z191"/>
    <mergeCell ref="H290:W290"/>
    <mergeCell ref="Q266:S266"/>
    <mergeCell ref="X254:Y254"/>
    <mergeCell ref="K246:M246"/>
    <mergeCell ref="Q268:S268"/>
    <mergeCell ref="AC48:AE48"/>
    <mergeCell ref="O115:W115"/>
    <mergeCell ref="O229:W229"/>
    <mergeCell ref="AD22:AE22"/>
    <mergeCell ref="X3:AA3"/>
    <mergeCell ref="H240:J240"/>
    <mergeCell ref="K241:M241"/>
    <mergeCell ref="X5:AA5"/>
    <mergeCell ref="X272:Y272"/>
    <mergeCell ref="O280:W280"/>
    <mergeCell ref="AA179:AB179"/>
    <mergeCell ref="C183:D183"/>
    <mergeCell ref="Q190:R190"/>
    <mergeCell ref="C193:D193"/>
    <mergeCell ref="H258:J258"/>
    <mergeCell ref="C176:D176"/>
    <mergeCell ref="X302:Z302"/>
    <mergeCell ref="T40:U40"/>
    <mergeCell ref="H260:J260"/>
    <mergeCell ref="C178:D178"/>
    <mergeCell ref="E242:G242"/>
    <mergeCell ref="Z237:AB237"/>
    <mergeCell ref="V264:W264"/>
    <mergeCell ref="K41:M41"/>
    <mergeCell ref="N52:P52"/>
    <mergeCell ref="H182:J182"/>
    <mergeCell ref="K43:M43"/>
    <mergeCell ref="N166:P166"/>
    <mergeCell ref="Z263:AB263"/>
    <mergeCell ref="H190:J190"/>
    <mergeCell ref="T59:U59"/>
    <mergeCell ref="Z265:AB265"/>
    <mergeCell ref="X77:AA77"/>
    <mergeCell ref="H183:J183"/>
    <mergeCell ref="E174:G174"/>
    <mergeCell ref="AC172:AE172"/>
    <mergeCell ref="H185:J185"/>
    <mergeCell ref="V275:W275"/>
    <mergeCell ref="X33:Y33"/>
    <mergeCell ref="N192:P192"/>
    <mergeCell ref="Q53:S53"/>
    <mergeCell ref="K183:M183"/>
    <mergeCell ref="X41:Y41"/>
    <mergeCell ref="V277:W277"/>
    <mergeCell ref="X35:Y35"/>
    <mergeCell ref="N63:P63"/>
    <mergeCell ref="Q239:S239"/>
    <mergeCell ref="Q264:S264"/>
    <mergeCell ref="X252:Y252"/>
    <mergeCell ref="K54:M54"/>
    <mergeCell ref="C153:AE153"/>
    <mergeCell ref="O225:W225"/>
    <mergeCell ref="K64:M64"/>
    <mergeCell ref="O227:W227"/>
    <mergeCell ref="C202:N202"/>
    <mergeCell ref="C154:AE154"/>
    <mergeCell ref="E158:G158"/>
    <mergeCell ref="C156:AE156"/>
    <mergeCell ref="K268:M268"/>
    <mergeCell ref="H198:J198"/>
    <mergeCell ref="C277:D277"/>
    <mergeCell ref="X113:Z113"/>
    <mergeCell ref="Q275:S275"/>
    <mergeCell ref="Q250:S250"/>
    <mergeCell ref="X263:Y263"/>
    <mergeCell ref="C276:D276"/>
    <mergeCell ref="AC188:AE188"/>
    <mergeCell ref="N241:P241"/>
    <mergeCell ref="X115:Z115"/>
    <mergeCell ref="Q277:S277"/>
    <mergeCell ref="E184:G184"/>
    <mergeCell ref="Z31:AB31"/>
    <mergeCell ref="X265:Y265"/>
    <mergeCell ref="C278:D278"/>
    <mergeCell ref="H38:J38"/>
    <mergeCell ref="AD301:AE301"/>
    <mergeCell ref="Z26:AB26"/>
    <mergeCell ref="H40:J40"/>
    <mergeCell ref="V43:W43"/>
    <mergeCell ref="AA20:AC20"/>
    <mergeCell ref="AB292:AE292"/>
    <mergeCell ref="Z42:AB42"/>
    <mergeCell ref="Z259:AB259"/>
    <mergeCell ref="H267:J267"/>
    <mergeCell ref="Z44:AB44"/>
    <mergeCell ref="Q171:R171"/>
    <mergeCell ref="Z261:AB261"/>
    <mergeCell ref="E268:G268"/>
    <mergeCell ref="H269:J269"/>
    <mergeCell ref="Q173:R173"/>
    <mergeCell ref="V271:W271"/>
    <mergeCell ref="V246:W246"/>
    <mergeCell ref="O19:W19"/>
    <mergeCell ref="AA163:AB163"/>
    <mergeCell ref="N188:P188"/>
    <mergeCell ref="Z256:AB256"/>
    <mergeCell ref="V273:W273"/>
    <mergeCell ref="X31:Y31"/>
    <mergeCell ref="N165:P165"/>
    <mergeCell ref="Q51:S51"/>
    <mergeCell ref="O20:W20"/>
    <mergeCell ref="X39:Y39"/>
    <mergeCell ref="X218:AA218"/>
    <mergeCell ref="X32:Y32"/>
    <mergeCell ref="O22:W22"/>
    <mergeCell ref="C74:G74"/>
    <mergeCell ref="Z272:AB272"/>
    <mergeCell ref="Q251:S251"/>
    <mergeCell ref="Z274:AB274"/>
    <mergeCell ref="AD225:AE225"/>
    <mergeCell ref="X122:Z122"/>
    <mergeCell ref="X219:AA219"/>
    <mergeCell ref="C152:AE152"/>
    <mergeCell ref="X65:Y65"/>
    <mergeCell ref="AA95:AC95"/>
    <mergeCell ref="E193:G193"/>
    <mergeCell ref="Q246:S246"/>
    <mergeCell ref="C13:N13"/>
    <mergeCell ref="V163:X163"/>
    <mergeCell ref="AA97:AC97"/>
    <mergeCell ref="AC159:AE159"/>
    <mergeCell ref="N237:P237"/>
    <mergeCell ref="C241:D241"/>
    <mergeCell ref="X50:Y50"/>
    <mergeCell ref="T253:U253"/>
    <mergeCell ref="Q248:S248"/>
    <mergeCell ref="Z27:AB27"/>
    <mergeCell ref="C15:N15"/>
    <mergeCell ref="S164:U164"/>
    <mergeCell ref="V165:X165"/>
    <mergeCell ref="AC186:AE186"/>
    <mergeCell ref="N239:P239"/>
    <mergeCell ref="C243:D243"/>
    <mergeCell ref="H34:J34"/>
    <mergeCell ref="T254:U254"/>
    <mergeCell ref="T248:U248"/>
    <mergeCell ref="Y171:Z171"/>
    <mergeCell ref="H36:J36"/>
    <mergeCell ref="N263:P263"/>
    <mergeCell ref="T256:U256"/>
    <mergeCell ref="Y173:Z173"/>
    <mergeCell ref="AD299:AE299"/>
    <mergeCell ref="AC54:AE54"/>
    <mergeCell ref="V191:X191"/>
    <mergeCell ref="N265:P265"/>
    <mergeCell ref="AA108:AC108"/>
    <mergeCell ref="AC56:AE56"/>
    <mergeCell ref="N258:P258"/>
    <mergeCell ref="X280:Z280"/>
    <mergeCell ref="C291:G291"/>
    <mergeCell ref="O122:W122"/>
    <mergeCell ref="AC49:AE49"/>
    <mergeCell ref="H62:J62"/>
    <mergeCell ref="Z46:AB46"/>
    <mergeCell ref="N260:P260"/>
    <mergeCell ref="Z40:AB40"/>
    <mergeCell ref="E53:G53"/>
    <mergeCell ref="S183:U183"/>
    <mergeCell ref="AA22:AC22"/>
    <mergeCell ref="E55:G55"/>
    <mergeCell ref="V243:W243"/>
    <mergeCell ref="Q169:R169"/>
    <mergeCell ref="T267:U267"/>
    <mergeCell ref="Z41:AB41"/>
    <mergeCell ref="AA160:AB160"/>
    <mergeCell ref="E48:G48"/>
    <mergeCell ref="V242:W242"/>
    <mergeCell ref="V236:W236"/>
    <mergeCell ref="K248:M248"/>
    <mergeCell ref="AA159:AB159"/>
  </mergeCells>
  <printOptions horizontalCentered="1"/>
  <pageMargins left="0.5" right="0.5" top="0.6" bottom="0.6" header="0.5" footer="0.5"/>
  <pageSetup orientation="portrait" paperSize="9" scale="66" fitToHeight="0"/>
  <rowBreaks count="4" manualBreakCount="4">
    <brk id="73" min="0" max="16383" man="1"/>
    <brk id="145" min="0" max="16383" man="1"/>
    <brk id="217" min="0" max="16383" man="1"/>
    <brk id="289" min="0" max="16383" man="1"/>
  </rowBreaks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BQ361"/>
  <sheetViews>
    <sheetView showGridLines="0" zoomScale="85" workbookViewId="0">
      <selection activeCell="A1" sqref="A1"/>
    </sheetView>
  </sheetViews>
  <sheetFormatPr baseColWidth="8" defaultRowHeight="13.9"/>
  <cols>
    <col width="3.43" customWidth="1" min="1" max="1"/>
    <col width="4" customWidth="1" min="2" max="2"/>
    <col width="3.57" customWidth="1" min="3" max="3"/>
    <col width="3.57" customWidth="1" min="4" max="4"/>
    <col width="3.57" customWidth="1" min="5" max="5"/>
    <col width="3.57" customWidth="1" min="6" max="6"/>
    <col width="3.57" customWidth="1" min="7" max="7"/>
    <col width="3.57" customWidth="1" min="8" max="8"/>
    <col width="3.57" customWidth="1" min="9" max="9"/>
    <col width="3.86" customWidth="1" min="10" max="10"/>
    <col width="4" customWidth="1" min="11" max="11"/>
    <col width="4.57" customWidth="1" min="12" max="12"/>
    <col width="4.57" customWidth="1" min="13" max="13"/>
    <col width="4.57" customWidth="1" min="14" max="14"/>
    <col width="4.57" customWidth="1" min="15" max="15"/>
    <col width="4.57" customWidth="1" min="16" max="16"/>
    <col width="4.57" customWidth="1" min="17" max="17"/>
    <col width="4.57" customWidth="1" min="18" max="18"/>
    <col width="4.57" customWidth="1" min="19" max="19"/>
    <col width="4.57" customWidth="1" min="20" max="20"/>
    <col width="4.57" customWidth="1" min="21" max="21"/>
    <col width="4.57" customWidth="1" min="22" max="22"/>
    <col width="4.57" customWidth="1" min="23" max="23"/>
    <col width="4.57" customWidth="1" min="24" max="24"/>
    <col width="4.57" customWidth="1" min="25" max="25"/>
    <col width="4.57" customWidth="1" min="26" max="26"/>
    <col width="4.57" customWidth="1" min="27" max="27"/>
    <col width="4.57" customWidth="1" min="28" max="28"/>
    <col width="4.57" customWidth="1" min="29" max="29"/>
    <col width="4.57" customWidth="1" min="30" max="30"/>
    <col width="4.57" customWidth="1" min="31" max="31"/>
    <col width="3.43" customWidth="1" min="32" max="32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40" customWidth="1" min="69" max="69"/>
  </cols>
  <sheetData>
    <row r="2">
      <c r="B2" s="1" t="n"/>
      <c r="C2" s="2" t="inlineStr">
        <is>
          <t>PROJECT :</t>
        </is>
      </c>
      <c r="D2" s="3" t="n"/>
      <c r="E2" s="3" t="n"/>
      <c r="F2" s="3" t="n"/>
      <c r="G2" s="3" t="n"/>
      <c r="H2" s="4" t="inlineStr">
        <is>
          <t>GEOTHERMAL WELLPAD PSPE BORA PULU - SIGI, CENTRAL SULAWESI</t>
        </is>
      </c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5" t="inlineStr">
        <is>
          <t>Prepared by :</t>
        </is>
      </c>
      <c r="Y2" s="6" t="n"/>
      <c r="Z2" s="6" t="n"/>
      <c r="AA2" s="6" t="n"/>
      <c r="AB2" s="7" t="inlineStr">
        <is>
          <t>Date</t>
        </is>
      </c>
      <c r="AC2" s="6" t="n"/>
      <c r="AD2" s="6" t="n"/>
      <c r="AE2" s="6" t="n"/>
      <c r="AF2" s="8" t="n"/>
    </row>
    <row r="3">
      <c r="B3" s="9" t="n"/>
      <c r="C3" s="10" t="inlineStr">
        <is>
          <t>CLIENT :</t>
        </is>
      </c>
      <c r="H3" s="11" t="inlineStr">
        <is>
          <t>PT EDC PANAS BUMI INDONESIA</t>
        </is>
      </c>
      <c r="X3" s="12" t="inlineStr">
        <is>
          <t>DF</t>
        </is>
      </c>
      <c r="Y3" s="13" t="n"/>
      <c r="Z3" s="13" t="n"/>
      <c r="AA3" s="13" t="n"/>
      <c r="AB3" s="14" t="n">
        <v>46301</v>
      </c>
      <c r="AC3" s="13" t="n"/>
      <c r="AD3" s="13" t="n"/>
      <c r="AE3" s="13" t="n"/>
      <c r="AF3" s="15" t="n"/>
    </row>
    <row r="4">
      <c r="B4" s="9" t="n"/>
      <c r="C4" s="10" t="inlineStr">
        <is>
          <t>LOCATION :</t>
        </is>
      </c>
      <c r="H4" s="11" t="inlineStr">
        <is>
          <t>BH-04 (Wellpad D)</t>
        </is>
      </c>
      <c r="X4" s="12" t="inlineStr">
        <is>
          <t>Verified by :</t>
        </is>
      </c>
      <c r="Y4" s="13" t="n"/>
      <c r="Z4" s="13" t="n"/>
      <c r="AA4" s="13" t="n"/>
      <c r="AB4" s="14" t="inlineStr">
        <is>
          <t>Date</t>
        </is>
      </c>
      <c r="AC4" s="13" t="n"/>
      <c r="AD4" s="13" t="n"/>
      <c r="AE4" s="13" t="n"/>
      <c r="AF4" s="15" t="n"/>
    </row>
    <row r="5">
      <c r="B5" s="16" t="n"/>
      <c r="C5" s="17" t="inlineStr">
        <is>
          <t>SHEET :</t>
        </is>
      </c>
      <c r="D5" s="18" t="n"/>
      <c r="E5" s="18" t="n"/>
      <c r="F5" s="18" t="n"/>
      <c r="G5" s="18" t="n"/>
      <c r="H5" s="19" t="inlineStr">
        <is>
          <t>BEARING CAPACITY AND SETTLEMENT OF SUBGRADE</t>
        </is>
      </c>
      <c r="I5" s="18" t="n"/>
      <c r="J5" s="18" t="n"/>
      <c r="K5" s="18" t="n"/>
      <c r="L5" s="18" t="n"/>
      <c r="M5" s="18" t="n"/>
      <c r="N5" s="18" t="n"/>
      <c r="O5" s="18" t="n"/>
      <c r="P5" s="18" t="n"/>
      <c r="Q5" s="18" t="n"/>
      <c r="R5" s="18" t="n"/>
      <c r="S5" s="18" t="n"/>
      <c r="T5" s="18" t="n"/>
      <c r="U5" s="18" t="n"/>
      <c r="V5" s="18" t="n"/>
      <c r="W5" s="18" t="n"/>
      <c r="X5" s="20" t="inlineStr">
        <is>
          <t>BC</t>
        </is>
      </c>
      <c r="Y5" s="21" t="n"/>
      <c r="Z5" s="21" t="n"/>
      <c r="AA5" s="21" t="n"/>
      <c r="AB5" s="22" t="n">
        <v>46301</v>
      </c>
      <c r="AC5" s="21" t="n"/>
      <c r="AD5" s="21" t="n"/>
      <c r="AE5" s="21" t="n"/>
      <c r="AF5" s="23" t="n"/>
    </row>
    <row r="6">
      <c r="B6" s="9" t="n"/>
      <c r="AF6" s="15" t="n"/>
    </row>
    <row r="7">
      <c r="B7" s="9" t="n"/>
      <c r="C7" s="11" t="inlineStr">
        <is>
          <t>1. GENERAL</t>
        </is>
      </c>
      <c r="AF7" s="15" t="n"/>
    </row>
    <row r="8">
      <c r="B8" s="9" t="n"/>
      <c r="C8" s="25" t="inlineStr">
        <is>
          <t>This sheet evaluates the bearing capacity, immediate settlement and primary consolidation settlement of the subgrade</t>
        </is>
      </c>
      <c r="AF8" s="15" t="n"/>
    </row>
    <row r="9">
      <c r="B9" s="9" t="n"/>
      <c r="C9" s="25" t="inlineStr">
        <is>
          <t>below the wellpad embankment (2 m fill + 100 kPa uniform surcharge) at the borehole location.</t>
        </is>
      </c>
      <c r="AF9" s="15" t="n"/>
    </row>
    <row r="10">
      <c r="B10" s="9" t="n"/>
      <c r="AF10" s="15" t="n"/>
    </row>
    <row r="11">
      <c r="B11" s="9" t="n"/>
      <c r="C11" s="11" t="inlineStr">
        <is>
          <t>1.1. Load and loaded area</t>
        </is>
      </c>
      <c r="AF11" s="15" t="n"/>
    </row>
    <row r="12">
      <c r="B12" s="9" t="n"/>
      <c r="C12" s="25" t="inlineStr">
        <is>
          <t>Height of embankment fill</t>
        </is>
      </c>
      <c r="O12" s="26" t="inlineStr">
        <is>
          <t>(Input)</t>
        </is>
      </c>
      <c r="X12" s="27" t="inlineStr">
        <is>
          <t>Hf =</t>
        </is>
      </c>
      <c r="Y12" s="13" t="n"/>
      <c r="Z12" s="13" t="n"/>
      <c r="AA12" s="61">
        <f>Input!$AA$11</f>
        <v/>
      </c>
      <c r="AB12" s="13" t="n"/>
      <c r="AC12" s="13" t="n"/>
      <c r="AD12" s="25" t="inlineStr">
        <is>
          <t>m</t>
        </is>
      </c>
      <c r="AF12" s="15" t="n"/>
    </row>
    <row r="13">
      <c r="B13" s="9" t="n"/>
      <c r="C13" s="25" t="inlineStr">
        <is>
          <t>Uniform surcharge</t>
        </is>
      </c>
      <c r="O13" s="26" t="inlineStr">
        <is>
          <t>(Input)</t>
        </is>
      </c>
      <c r="X13" s="27" t="inlineStr">
        <is>
          <t>qs =</t>
        </is>
      </c>
      <c r="Y13" s="13" t="n"/>
      <c r="Z13" s="13" t="n"/>
      <c r="AA13" s="62">
        <f>Input!$AA$13</f>
        <v/>
      </c>
      <c r="AB13" s="13" t="n"/>
      <c r="AC13" s="13" t="n"/>
      <c r="AD13" s="25" t="inlineStr">
        <is>
          <t>kPa</t>
        </is>
      </c>
      <c r="AF13" s="15" t="n"/>
    </row>
    <row r="14">
      <c r="B14" s="9" t="n"/>
      <c r="C14" s="25" t="inlineStr">
        <is>
          <t>Total pressure on subgrade</t>
        </is>
      </c>
      <c r="O14" s="26" t="inlineStr">
        <is>
          <t>q = Hf·γf + qs</t>
        </is>
      </c>
      <c r="X14" s="27" t="inlineStr">
        <is>
          <t>q =</t>
        </is>
      </c>
      <c r="Y14" s="13" t="n"/>
      <c r="Z14" s="13" t="n"/>
      <c r="AA14" s="62">
        <f>Input!$AA$14</f>
        <v/>
      </c>
      <c r="AB14" s="13" t="n"/>
      <c r="AC14" s="13" t="n"/>
      <c r="AD14" s="25" t="inlineStr">
        <is>
          <t>kPa</t>
        </is>
      </c>
      <c r="AF14" s="15" t="n"/>
    </row>
    <row r="15">
      <c r="B15" s="9" t="n"/>
      <c r="C15" s="25" t="inlineStr">
        <is>
          <t>Loaded area (assumed)</t>
        </is>
      </c>
      <c r="O15" s="26" t="inlineStr">
        <is>
          <t>B × L</t>
        </is>
      </c>
      <c r="X15" s="27" t="inlineStr">
        <is>
          <t>B =</t>
        </is>
      </c>
      <c r="Y15" s="13" t="n"/>
      <c r="Z15" s="13" t="n"/>
      <c r="AA15" s="62">
        <f>Input!$AA$15</f>
        <v/>
      </c>
      <c r="AB15" s="13" t="n"/>
      <c r="AC15" s="13" t="n"/>
      <c r="AD15" s="25" t="inlineStr">
        <is>
          <t>m</t>
        </is>
      </c>
      <c r="AF15" s="15" t="n"/>
    </row>
    <row r="16">
      <c r="B16" s="9" t="n"/>
      <c r="C16" s="25" t="inlineStr"/>
      <c r="O16" s="26" t="inlineStr"/>
      <c r="X16" s="27" t="inlineStr">
        <is>
          <t>L =</t>
        </is>
      </c>
      <c r="Y16" s="13" t="n"/>
      <c r="Z16" s="13" t="n"/>
      <c r="AA16" s="62">
        <f>Input!$AA$16</f>
        <v/>
      </c>
      <c r="AB16" s="13" t="n"/>
      <c r="AC16" s="13" t="n"/>
      <c r="AD16" s="25" t="inlineStr">
        <is>
          <t>m</t>
        </is>
      </c>
      <c r="AF16" s="15" t="n"/>
    </row>
    <row r="17">
      <c r="B17" s="9" t="n"/>
      <c r="AF17" s="15" t="n"/>
    </row>
    <row r="18">
      <c r="B18" s="9" t="n"/>
      <c r="C18" s="11" t="inlineStr">
        <is>
          <t>1.2. Borehole data</t>
        </is>
      </c>
      <c r="AF18" s="15" t="n"/>
    </row>
    <row r="19">
      <c r="B19" s="9" t="n"/>
      <c r="C19" s="25" t="inlineStr">
        <is>
          <t>Design groundwater level (below ground)</t>
        </is>
      </c>
      <c r="O19" s="26" t="inlineStr">
        <is>
          <t>liquefaction report</t>
        </is>
      </c>
      <c r="X19" s="27" t="inlineStr">
        <is>
          <t>GWL =</t>
        </is>
      </c>
      <c r="Y19" s="13" t="n"/>
      <c r="Z19" s="13" t="n"/>
      <c r="AA19" s="63" t="n">
        <v>9</v>
      </c>
      <c r="AB19" s="29" t="n"/>
      <c r="AC19" s="29" t="n"/>
      <c r="AD19" s="25" t="inlineStr">
        <is>
          <t>m</t>
        </is>
      </c>
      <c r="AF19" s="15" t="n"/>
    </row>
    <row r="20">
      <c r="B20" s="9" t="n"/>
      <c r="C20" s="25" t="inlineStr">
        <is>
          <t>Unit weight above GWL</t>
        </is>
      </c>
      <c r="O20" s="26" t="inlineStr">
        <is>
          <t>report Table 5.1</t>
        </is>
      </c>
      <c r="X20" s="27" t="inlineStr">
        <is>
          <t>γ =</t>
        </is>
      </c>
      <c r="Y20" s="13" t="n"/>
      <c r="Z20" s="13" t="n"/>
      <c r="AA20" s="63" t="n">
        <v>19.6</v>
      </c>
      <c r="AB20" s="29" t="n"/>
      <c r="AC20" s="29" t="n"/>
      <c r="AD20" s="25" t="inlineStr">
        <is>
          <t>kN/m³</t>
        </is>
      </c>
      <c r="AF20" s="15" t="n"/>
    </row>
    <row r="21">
      <c r="B21" s="9" t="n"/>
      <c r="C21" s="25" t="inlineStr">
        <is>
          <t>Unit weight below GWL</t>
        </is>
      </c>
      <c r="O21" s="26" t="inlineStr">
        <is>
          <t>report Table 5.1</t>
        </is>
      </c>
      <c r="X21" s="27" t="inlineStr">
        <is>
          <t>γsat =</t>
        </is>
      </c>
      <c r="Y21" s="13" t="n"/>
      <c r="Z21" s="13" t="n"/>
      <c r="AA21" s="63" t="n">
        <v>20.2</v>
      </c>
      <c r="AB21" s="29" t="n"/>
      <c r="AC21" s="29" t="n"/>
      <c r="AD21" s="25" t="inlineStr">
        <is>
          <t>kN/m³</t>
        </is>
      </c>
      <c r="AF21" s="15" t="n"/>
    </row>
    <row r="22">
      <c r="B22" s="9" t="n"/>
      <c r="C22" s="25" t="inlineStr">
        <is>
          <t>Replacement depth (design condition)</t>
        </is>
      </c>
      <c r="O22" s="26" t="inlineStr">
        <is>
          <t>0 = no improvement</t>
        </is>
      </c>
      <c r="X22" s="27" t="inlineStr">
        <is>
          <t>Dr =</t>
        </is>
      </c>
      <c r="Y22" s="13" t="n"/>
      <c r="Z22" s="13" t="n"/>
      <c r="AA22" s="63" t="n">
        <v>3</v>
      </c>
      <c r="AB22" s="29" t="n"/>
      <c r="AC22" s="29" t="n"/>
      <c r="AD22" s="25" t="inlineStr">
        <is>
          <t>m</t>
        </is>
      </c>
      <c r="AF22" s="15" t="n"/>
    </row>
    <row r="23">
      <c r="B23" s="9" t="n"/>
      <c r="AF23" s="15" t="n"/>
    </row>
    <row r="24">
      <c r="B24" s="9" t="n"/>
      <c r="C24" s="11" t="inlineStr">
        <is>
          <t>2. SOIL PARAMETERS</t>
        </is>
      </c>
      <c r="AF24" s="15" t="n"/>
    </row>
    <row r="25">
      <c r="B25" s="9" t="n"/>
      <c r="C25" s="25" t="inlineStr">
        <is>
          <t>Table 1. Soil parameters of BH-04 (sub-layers = SPT intervals)</t>
        </is>
      </c>
      <c r="AF25" s="15" t="n"/>
      <c r="AI25" s="64" t="inlineStr">
        <is>
          <t>Helper calculation per sub-layer (not printed)</t>
        </is>
      </c>
    </row>
    <row r="26" ht="27" customHeight="1">
      <c r="B26" s="9" t="n"/>
      <c r="C26" s="33" t="inlineStr">
        <is>
          <t>No</t>
        </is>
      </c>
      <c r="D26" s="34" t="n"/>
      <c r="E26" s="33" t="inlineStr">
        <is>
          <t>Top</t>
        </is>
      </c>
      <c r="F26" s="34" t="n"/>
      <c r="G26" s="34" t="n"/>
      <c r="H26" s="33" t="inlineStr">
        <is>
          <t>Bottom</t>
        </is>
      </c>
      <c r="I26" s="34" t="n"/>
      <c r="J26" s="34" t="n"/>
      <c r="K26" s="33" t="inlineStr">
        <is>
          <t>Soil</t>
        </is>
      </c>
      <c r="L26" s="34" t="n"/>
      <c r="M26" s="34" t="n"/>
      <c r="N26" s="33" t="inlineStr">
        <is>
          <t>N-SPT</t>
        </is>
      </c>
      <c r="O26" s="34" t="n"/>
      <c r="P26" s="34" t="n"/>
      <c r="Q26" s="33" t="inlineStr">
        <is>
          <t>γ</t>
        </is>
      </c>
      <c r="R26" s="34" t="n"/>
      <c r="S26" s="34" t="n"/>
      <c r="T26" s="33" t="inlineStr">
        <is>
          <t>LL</t>
        </is>
      </c>
      <c r="U26" s="34" t="n"/>
      <c r="V26" s="33" t="inlineStr">
        <is>
          <t>PI</t>
        </is>
      </c>
      <c r="W26" s="34" t="n"/>
      <c r="X26" s="33" t="inlineStr">
        <is>
          <t>e0</t>
        </is>
      </c>
      <c r="Y26" s="34" t="n"/>
      <c r="Z26" s="33" t="inlineStr">
        <is>
          <t>cu</t>
        </is>
      </c>
      <c r="AA26" s="34" t="n"/>
      <c r="AB26" s="34" t="n"/>
      <c r="AC26" s="33" t="inlineStr">
        <is>
          <t>φ'</t>
        </is>
      </c>
      <c r="AD26" s="34" t="n"/>
      <c r="AE26" s="34" t="n"/>
      <c r="AF26" s="15" t="n"/>
      <c r="AI26" s="65" t="inlineStr">
        <is>
          <t>top</t>
        </is>
      </c>
      <c r="AJ26" s="65" t="inlineStr">
        <is>
          <t>bot</t>
        </is>
      </c>
      <c r="AK26" s="65" t="inlineStr">
        <is>
          <t>h</t>
        </is>
      </c>
      <c r="AL26" s="65" t="inlineStr">
        <is>
          <t>z</t>
        </is>
      </c>
      <c r="AM26" s="65" t="inlineStr">
        <is>
          <t>typ</t>
        </is>
      </c>
      <c r="AN26" s="65" t="inlineStr">
        <is>
          <t>N</t>
        </is>
      </c>
      <c r="AO26" s="65" t="inlineStr">
        <is>
          <t>g</t>
        </is>
      </c>
      <c r="AP26" s="65" t="inlineStr">
        <is>
          <t>sv</t>
        </is>
      </c>
      <c r="AQ26" s="65" t="inlineStr">
        <is>
          <t>s0</t>
        </is>
      </c>
      <c r="AR26" s="65" t="inlineStr">
        <is>
          <t>LL</t>
        </is>
      </c>
      <c r="AS26" s="65" t="inlineStr">
        <is>
          <t>PL</t>
        </is>
      </c>
      <c r="AT26" s="65" t="inlineStr">
        <is>
          <t>PI</t>
        </is>
      </c>
      <c r="AU26" s="65" t="inlineStr">
        <is>
          <t>e0</t>
        </is>
      </c>
      <c r="AV26" s="65" t="inlineStr">
        <is>
          <t>cu</t>
        </is>
      </c>
      <c r="AW26" s="65" t="inlineStr">
        <is>
          <t>phi</t>
        </is>
      </c>
      <c r="AX26" s="65" t="inlineStr">
        <is>
          <t>E</t>
        </is>
      </c>
      <c r="AY26" s="65" t="inlineStr">
        <is>
          <t>nu</t>
        </is>
      </c>
      <c r="AZ26" s="65" t="inlineStr">
        <is>
          <t>m</t>
        </is>
      </c>
      <c r="BA26" s="65" t="inlineStr">
        <is>
          <t>n</t>
        </is>
      </c>
      <c r="BB26" s="65" t="inlineStr">
        <is>
          <t>I</t>
        </is>
      </c>
      <c r="BC26" s="65" t="inlineStr">
        <is>
          <t>ds</t>
        </is>
      </c>
      <c r="BD26" s="65" t="inlineStr">
        <is>
          <t>F1</t>
        </is>
      </c>
      <c r="BE26" s="65" t="inlineStr">
        <is>
          <t>F2</t>
        </is>
      </c>
      <c r="BF26" s="65" t="inlineStr">
        <is>
          <t>keep</t>
        </is>
      </c>
      <c r="BG26" s="65" t="inlineStr">
        <is>
          <t>Si</t>
        </is>
      </c>
      <c r="BH26" s="65" t="inlineStr">
        <is>
          <t>Cc</t>
        </is>
      </c>
      <c r="BI26" s="65" t="inlineStr">
        <is>
          <t>Cr</t>
        </is>
      </c>
      <c r="BJ26" s="65" t="inlineStr">
        <is>
          <t>sp</t>
        </is>
      </c>
      <c r="BK26" s="65" t="inlineStr">
        <is>
          <t>Sc</t>
        </is>
      </c>
      <c r="BL26" s="65" t="inlineStr">
        <is>
          <t>Cv</t>
        </is>
      </c>
      <c r="BM26" s="65" t="inlineStr">
        <is>
          <t>t90</t>
        </is>
      </c>
      <c r="BN26" s="65" t="inlineStr">
        <is>
          <t>hb0</t>
        </is>
      </c>
      <c r="BO26" s="65" t="inlineStr">
        <is>
          <t>hbr</t>
        </is>
      </c>
      <c r="BP26" s="65" t="inlineStr">
        <is>
          <t>hzi</t>
        </is>
      </c>
      <c r="BQ26" s="65" t="inlineStr">
        <is>
          <t>ket</t>
        </is>
      </c>
    </row>
    <row r="27">
      <c r="B27" s="9" t="n"/>
      <c r="C27" s="35" t="inlineStr"/>
      <c r="D27" s="36" t="n"/>
      <c r="E27" s="35" t="inlineStr">
        <is>
          <t>m</t>
        </is>
      </c>
      <c r="F27" s="36" t="n"/>
      <c r="G27" s="36" t="n"/>
      <c r="H27" s="35" t="inlineStr">
        <is>
          <t>m</t>
        </is>
      </c>
      <c r="I27" s="36" t="n"/>
      <c r="J27" s="36" t="n"/>
      <c r="K27" s="35" t="inlineStr"/>
      <c r="L27" s="36" t="n"/>
      <c r="M27" s="36" t="n"/>
      <c r="N27" s="35" t="inlineStr"/>
      <c r="O27" s="36" t="n"/>
      <c r="P27" s="36" t="n"/>
      <c r="Q27" s="35" t="inlineStr">
        <is>
          <t>kN/m³</t>
        </is>
      </c>
      <c r="R27" s="36" t="n"/>
      <c r="S27" s="36" t="n"/>
      <c r="T27" s="35" t="inlineStr">
        <is>
          <t>%</t>
        </is>
      </c>
      <c r="U27" s="36" t="n"/>
      <c r="V27" s="35" t="inlineStr">
        <is>
          <t>%</t>
        </is>
      </c>
      <c r="W27" s="36" t="n"/>
      <c r="X27" s="35" t="inlineStr">
        <is>
          <t>-</t>
        </is>
      </c>
      <c r="Y27" s="36" t="n"/>
      <c r="Z27" s="35" t="inlineStr">
        <is>
          <t>kPa</t>
        </is>
      </c>
      <c r="AA27" s="36" t="n"/>
      <c r="AB27" s="36" t="n"/>
      <c r="AC27" s="35" t="inlineStr">
        <is>
          <t>°</t>
        </is>
      </c>
      <c r="AD27" s="36" t="n"/>
      <c r="AE27" s="36" t="n"/>
      <c r="AF27" s="15" t="n"/>
    </row>
    <row r="28">
      <c r="B28" s="9" t="n"/>
      <c r="C28" s="57" t="n">
        <v>1</v>
      </c>
      <c r="D28" s="41" t="n"/>
      <c r="E28" s="55">
        <f>AI28</f>
        <v/>
      </c>
      <c r="F28" s="41" t="n"/>
      <c r="G28" s="41" t="n"/>
      <c r="H28" s="55">
        <f>AJ28</f>
        <v/>
      </c>
      <c r="I28" s="41" t="n"/>
      <c r="J28" s="41" t="n"/>
      <c r="K28" s="52">
        <f>AM28</f>
        <v/>
      </c>
      <c r="L28" s="41" t="n"/>
      <c r="M28" s="41" t="n"/>
      <c r="N28" s="57">
        <f>AN28</f>
        <v/>
      </c>
      <c r="O28" s="41" t="n"/>
      <c r="P28" s="41" t="n"/>
      <c r="Q28" s="53">
        <f>AO28</f>
        <v/>
      </c>
      <c r="R28" s="41" t="n"/>
      <c r="S28" s="41" t="n"/>
      <c r="T28" s="57">
        <f>IF(AR28="","-",AR28)</f>
        <v/>
      </c>
      <c r="U28" s="41" t="n"/>
      <c r="V28" s="57">
        <f>IF(AT28="","-",AT28)</f>
        <v/>
      </c>
      <c r="W28" s="41" t="n"/>
      <c r="X28" s="55">
        <f>AU28</f>
        <v/>
      </c>
      <c r="Y28" s="41" t="n"/>
      <c r="Z28" s="66">
        <f>AV28</f>
        <v/>
      </c>
      <c r="AA28" s="41" t="n"/>
      <c r="AB28" s="41" t="n"/>
      <c r="AC28" s="53">
        <f>AW28</f>
        <v/>
      </c>
      <c r="AD28" s="41" t="n"/>
      <c r="AE28" s="41" t="n"/>
      <c r="AF28" s="15" t="n"/>
      <c r="AI28" s="67" t="n">
        <v>0</v>
      </c>
      <c r="AJ28" s="67" t="n">
        <v>1.5</v>
      </c>
      <c r="AK28" s="68">
        <f>AJ28-AI28</f>
        <v/>
      </c>
      <c r="AL28" s="68">
        <f>(AI28+AJ28)/2</f>
        <v/>
      </c>
      <c r="AM28" s="67" t="inlineStr">
        <is>
          <t>Silt</t>
        </is>
      </c>
      <c r="AN28" s="67" t="n">
        <v>5</v>
      </c>
      <c r="AO28" s="68">
        <f>IF(AL28&gt;$AA$19,$AA$21,$AA$20)</f>
        <v/>
      </c>
      <c r="AP28" s="68">
        <f>AO28*AK28</f>
        <v/>
      </c>
      <c r="AQ28" s="68">
        <f>AP28-AO28*AK28/2-10*MAX(AL28-$AA$19,0)</f>
        <v/>
      </c>
      <c r="AR28" s="67" t="n">
        <v>28.071</v>
      </c>
      <c r="AS28" s="67" t="n">
        <v>18.832</v>
      </c>
      <c r="AT28" s="68">
        <f>IF(AR28="","",AR28-AS28)</f>
        <v/>
      </c>
      <c r="AU28" s="67" t="n">
        <v>0.59</v>
      </c>
      <c r="AV28" s="68">
        <f>IF(AM28="Sand",0,Input!$AA$31*AN28)</f>
        <v/>
      </c>
      <c r="AW28" s="68">
        <f>IF(AM28="Sand",27.1+0.3*MIN(Input!$AA$32*AN28,60)-0.00054*MIN(Input!$AA$32*AN28,60)^2,MIN(MAX(DEGREES(ASIN(0.8-0.094*LN(MAX(IF(AT28="",10,AT28),5)))),20),30))</f>
        <v/>
      </c>
      <c r="AX28" s="68">
        <f>IF(AM28="Sand",Input!$AA$33*Input!$AA$32*AN28,Input!$AA$34*AV28)</f>
        <v/>
      </c>
      <c r="AY28" s="68">
        <f>IF(AM28="Sand",Input!$AA$35,0.5)</f>
        <v/>
      </c>
      <c r="AZ28" s="68">
        <f>Input!$AA$15/2/AL28</f>
        <v/>
      </c>
      <c r="BA28" s="68">
        <f>Input!$AA$16/2/AL28</f>
        <v/>
      </c>
      <c r="BB28" s="68">
        <f>1/(4*PI())*(2*AZ28*BA28*SQRT(AZ28^2+BA28^2+1)/(AZ28^2+BA28^2+1+AZ28^2*BA28^2)*(AZ28^2+BA28^2+2)/(AZ28^2+BA28^2+1)+ATAN2(AZ28^2+BA28^2+1-AZ28^2*BA28^2,2*AZ28*BA28*SQRT(AZ28^2+BA28^2+1)))</f>
        <v/>
      </c>
      <c r="BC28" s="68">
        <f>4*Input!$AA$14*BB28</f>
        <v/>
      </c>
      <c r="BD28" s="68">
        <f>((Input!$AA$16/Input!$AA$15)*LN((1+SQRT((Input!$AA$16/Input!$AA$15)^2+1))*SQRT((Input!$AA$16/Input!$AA$15)^2+(AJ28/(Input!$AA$15/2))^2)/((Input!$AA$16/Input!$AA$15)*(1+SQRT((Input!$AA$16/Input!$AA$15)^2+(AJ28/(Input!$AA$15/2))^2+1))))+LN(((Input!$AA$16/Input!$AA$15)+SQRT((Input!$AA$16/Input!$AA$15)^2+1))*SQRT(1+(AJ28/(Input!$AA$15/2))^2)/((Input!$AA$16/Input!$AA$15)+SQRT((Input!$AA$16/Input!$AA$15)^2+(AJ28/(Input!$AA$15/2))^2+1))))/PI()</f>
        <v/>
      </c>
      <c r="BE28" s="68">
        <f>(AJ28/(Input!$AA$15/2))/(2*PI())*ATAN((Input!$AA$16/Input!$AA$15)/((AJ28/(Input!$AA$15/2))*SQRT((Input!$AA$16/Input!$AA$15)^2+(AJ28/(Input!$AA$15/2))^2+1)))</f>
        <v/>
      </c>
      <c r="BF28" s="68">
        <f>MAX(0,AJ28-MAX(AI28,$AA$22))/AK28*IF(BC28&gt;=Input!$AA$21*AQ28,1,0)</f>
        <v/>
      </c>
      <c r="BG28" s="68">
        <f>4*Input!$AA$14*(Input!$AA$15/2)*(1-AY28^2)/AX28*((BD28-0)+(1-2*AY28)/(1-AY28)*(BE28-0))*1000*BF28</f>
        <v/>
      </c>
      <c r="BH28" s="68">
        <f>IF(AM28="Sand",0,0.009*(AR28-10))</f>
        <v/>
      </c>
      <c r="BI28" s="68">
        <f>BH28*Input!$AA$36</f>
        <v/>
      </c>
      <c r="BJ28" s="68">
        <f>IF(AM28="Sand",0,MAX(AV28/Input!$AA$37,AQ28))</f>
        <v/>
      </c>
      <c r="BK28" s="68">
        <f>IF(AM28="Sand",0,1000*AK28/(1+AU28)*IF(AQ28+BC28&lt;=BJ28,BI28*LOG10((AQ28+BC28)/AQ28),BI28*LOG10(BJ28/AQ28)+BH28*LOG10((AQ28+BC28)/BJ28)))*BF28</f>
        <v/>
      </c>
      <c r="BL28" s="68">
        <f>IF(AM28="Sand",0,10^(INDEX(Input!$Q$48:$Q$54,MIN(MATCH(MIN(MAX(AR28,30),120),Input!$C$48:$C$54,1),6))+(MIN(MAX(AR28,30),120)-INDEX(Input!$C$48:$C$54,MIN(MATCH(MIN(MAX(AR28,30),120),Input!$C$48:$C$54,1),6)))/(INDEX(Input!$C$48:$C$54,MIN(MATCH(MIN(MAX(AR28,30),120),Input!$C$48:$C$54,1),6)+1)-INDEX(Input!$C$48:$C$54,MIN(MATCH(MIN(MAX(AR28,30),120),Input!$C$48:$C$54,1),6)))*(INDEX(Input!$Q$48:$Q$54,MIN(MATCH(MIN(MAX(AR28,30),120),Input!$C$48:$C$54,1),6)+1)-INDEX(Input!$Q$48:$Q$54,MIN(MATCH(MIN(MAX(AR28,30),120),Input!$C$48:$C$54,1),6)))))</f>
        <v/>
      </c>
      <c r="BM28" s="68">
        <f>IF(OR(AM28="Sand",BF28=0),0,Input!$AA$38*(AK28/2)^2/(BL28*1E-4*31536000))</f>
        <v/>
      </c>
      <c r="BN28" s="68">
        <f>MAX(0,MIN(AJ28,Input!$AA$20)-AI28)</f>
        <v/>
      </c>
      <c r="BO28" s="68">
        <f>MAX(0,MIN(AJ28,Input!$AA$20)-MAX(AI28,$AA$22))</f>
        <v/>
      </c>
      <c r="BP28" s="68">
        <f>MAX(0,MIN(AJ28,$AA$225)-AI28)</f>
        <v/>
      </c>
      <c r="BQ28" s="68" t="inlineStr">
        <is>
          <t>0-1.5 m not tested: N of next layer; LL/PL/e0 = borehole average</t>
        </is>
      </c>
    </row>
    <row r="29">
      <c r="B29" s="9" t="n"/>
      <c r="C29" s="57" t="n">
        <v>2</v>
      </c>
      <c r="D29" s="41" t="n"/>
      <c r="E29" s="55">
        <f>AI29</f>
        <v/>
      </c>
      <c r="F29" s="41" t="n"/>
      <c r="G29" s="41" t="n"/>
      <c r="H29" s="55">
        <f>AJ29</f>
        <v/>
      </c>
      <c r="I29" s="41" t="n"/>
      <c r="J29" s="41" t="n"/>
      <c r="K29" s="52">
        <f>AM29</f>
        <v/>
      </c>
      <c r="L29" s="41" t="n"/>
      <c r="M29" s="41" t="n"/>
      <c r="N29" s="57">
        <f>AN29</f>
        <v/>
      </c>
      <c r="O29" s="41" t="n"/>
      <c r="P29" s="41" t="n"/>
      <c r="Q29" s="53">
        <f>AO29</f>
        <v/>
      </c>
      <c r="R29" s="41" t="n"/>
      <c r="S29" s="41" t="n"/>
      <c r="T29" s="57">
        <f>IF(AR29="","-",AR29)</f>
        <v/>
      </c>
      <c r="U29" s="41" t="n"/>
      <c r="V29" s="57">
        <f>IF(AT29="","-",AT29)</f>
        <v/>
      </c>
      <c r="W29" s="41" t="n"/>
      <c r="X29" s="55">
        <f>AU29</f>
        <v/>
      </c>
      <c r="Y29" s="41" t="n"/>
      <c r="Z29" s="66">
        <f>AV29</f>
        <v/>
      </c>
      <c r="AA29" s="41" t="n"/>
      <c r="AB29" s="41" t="n"/>
      <c r="AC29" s="53">
        <f>AW29</f>
        <v/>
      </c>
      <c r="AD29" s="41" t="n"/>
      <c r="AE29" s="41" t="n"/>
      <c r="AF29" s="15" t="n"/>
      <c r="AI29" s="67" t="n">
        <v>1.5</v>
      </c>
      <c r="AJ29" s="67" t="n">
        <v>3</v>
      </c>
      <c r="AK29" s="68">
        <f>AJ29-AI29</f>
        <v/>
      </c>
      <c r="AL29" s="68">
        <f>(AI29+AJ29)/2</f>
        <v/>
      </c>
      <c r="AM29" s="67" t="inlineStr">
        <is>
          <t>Silt</t>
        </is>
      </c>
      <c r="AN29" s="67" t="n">
        <v>5</v>
      </c>
      <c r="AO29" s="68">
        <f>IF(AL29&gt;$AA$19,$AA$21,$AA$20)</f>
        <v/>
      </c>
      <c r="AP29" s="68">
        <f>AP28+AO29*AK29</f>
        <v/>
      </c>
      <c r="AQ29" s="68">
        <f>AP29-AO29*AK29/2-10*MAX(AL29-$AA$19,0)</f>
        <v/>
      </c>
      <c r="AR29" s="67" t="n">
        <v>28.11</v>
      </c>
      <c r="AS29" s="67" t="n">
        <v>21.65</v>
      </c>
      <c r="AT29" s="68">
        <f>IF(AR29="","",AR29-AS29)</f>
        <v/>
      </c>
      <c r="AU29" s="67" t="n">
        <v>0.495</v>
      </c>
      <c r="AV29" s="68">
        <f>IF(AM29="Sand",0,Input!$AA$31*AN29)</f>
        <v/>
      </c>
      <c r="AW29" s="68">
        <f>IF(AM29="Sand",27.1+0.3*MIN(Input!$AA$32*AN29,60)-0.00054*MIN(Input!$AA$32*AN29,60)^2,MIN(MAX(DEGREES(ASIN(0.8-0.094*LN(MAX(IF(AT29="",10,AT29),5)))),20),30))</f>
        <v/>
      </c>
      <c r="AX29" s="68">
        <f>IF(AM29="Sand",Input!$AA$33*Input!$AA$32*AN29,Input!$AA$34*AV29)</f>
        <v/>
      </c>
      <c r="AY29" s="68">
        <f>IF(AM29="Sand",Input!$AA$35,0.5)</f>
        <v/>
      </c>
      <c r="AZ29" s="68">
        <f>Input!$AA$15/2/AL29</f>
        <v/>
      </c>
      <c r="BA29" s="68">
        <f>Input!$AA$16/2/AL29</f>
        <v/>
      </c>
      <c r="BB29" s="68">
        <f>1/(4*PI())*(2*AZ29*BA29*SQRT(AZ29^2+BA29^2+1)/(AZ29^2+BA29^2+1+AZ29^2*BA29^2)*(AZ29^2+BA29^2+2)/(AZ29^2+BA29^2+1)+ATAN2(AZ29^2+BA29^2+1-AZ29^2*BA29^2,2*AZ29*BA29*SQRT(AZ29^2+BA29^2+1)))</f>
        <v/>
      </c>
      <c r="BC29" s="68">
        <f>4*Input!$AA$14*BB29</f>
        <v/>
      </c>
      <c r="BD29" s="68">
        <f>((Input!$AA$16/Input!$AA$15)*LN((1+SQRT((Input!$AA$16/Input!$AA$15)^2+1))*SQRT((Input!$AA$16/Input!$AA$15)^2+(AJ29/(Input!$AA$15/2))^2)/((Input!$AA$16/Input!$AA$15)*(1+SQRT((Input!$AA$16/Input!$AA$15)^2+(AJ29/(Input!$AA$15/2))^2+1))))+LN(((Input!$AA$16/Input!$AA$15)+SQRT((Input!$AA$16/Input!$AA$15)^2+1))*SQRT(1+(AJ29/(Input!$AA$15/2))^2)/((Input!$AA$16/Input!$AA$15)+SQRT((Input!$AA$16/Input!$AA$15)^2+(AJ29/(Input!$AA$15/2))^2+1))))/PI()</f>
        <v/>
      </c>
      <c r="BE29" s="68">
        <f>(AJ29/(Input!$AA$15/2))/(2*PI())*ATAN((Input!$AA$16/Input!$AA$15)/((AJ29/(Input!$AA$15/2))*SQRT((Input!$AA$16/Input!$AA$15)^2+(AJ29/(Input!$AA$15/2))^2+1)))</f>
        <v/>
      </c>
      <c r="BF29" s="68">
        <f>MAX(0,AJ29-MAX(AI29,$AA$22))/AK29*IF(BC29&gt;=Input!$AA$21*AQ29,1,0)</f>
        <v/>
      </c>
      <c r="BG29" s="68">
        <f>4*Input!$AA$14*(Input!$AA$15/2)*(1-AY29^2)/AX29*((BD29-BD28)+(1-2*AY29)/(1-AY29)*(BE29-BE28))*1000*BF29</f>
        <v/>
      </c>
      <c r="BH29" s="68">
        <f>IF(AM29="Sand",0,0.009*(AR29-10))</f>
        <v/>
      </c>
      <c r="BI29" s="68">
        <f>BH29*Input!$AA$36</f>
        <v/>
      </c>
      <c r="BJ29" s="68">
        <f>IF(AM29="Sand",0,MAX(AV29/Input!$AA$37,AQ29))</f>
        <v/>
      </c>
      <c r="BK29" s="68">
        <f>IF(AM29="Sand",0,1000*AK29/(1+AU29)*IF(AQ29+BC29&lt;=BJ29,BI29*LOG10((AQ29+BC29)/AQ29),BI29*LOG10(BJ29/AQ29)+BH29*LOG10((AQ29+BC29)/BJ29)))*BF29</f>
        <v/>
      </c>
      <c r="BL29" s="68">
        <f>IF(AM29="Sand",0,10^(INDEX(Input!$Q$48:$Q$54,MIN(MATCH(MIN(MAX(AR29,30),120),Input!$C$48:$C$54,1),6))+(MIN(MAX(AR29,30),120)-INDEX(Input!$C$48:$C$54,MIN(MATCH(MIN(MAX(AR29,30),120),Input!$C$48:$C$54,1),6)))/(INDEX(Input!$C$48:$C$54,MIN(MATCH(MIN(MAX(AR29,30),120),Input!$C$48:$C$54,1),6)+1)-INDEX(Input!$C$48:$C$54,MIN(MATCH(MIN(MAX(AR29,30),120),Input!$C$48:$C$54,1),6)))*(INDEX(Input!$Q$48:$Q$54,MIN(MATCH(MIN(MAX(AR29,30),120),Input!$C$48:$C$54,1),6)+1)-INDEX(Input!$Q$48:$Q$54,MIN(MATCH(MIN(MAX(AR29,30),120),Input!$C$48:$C$54,1),6)))))</f>
        <v/>
      </c>
      <c r="BM29" s="68">
        <f>IF(OR(AM29="Sand",BF29=0),0,Input!$AA$38*(AK29/2)^2/(BL29*1E-4*31536000))</f>
        <v/>
      </c>
      <c r="BN29" s="68">
        <f>MAX(0,MIN(AJ29,Input!$AA$20)-AI29)</f>
        <v/>
      </c>
      <c r="BO29" s="68">
        <f>MAX(0,MIN(AJ29,Input!$AA$20)-MAX(AI29,$AA$22))</f>
        <v/>
      </c>
      <c r="BP29" s="68">
        <f>MAX(0,MIN(AJ29,$AA$225)-AI29)</f>
        <v/>
      </c>
      <c r="BQ29" s="68" t="inlineStr"/>
    </row>
    <row r="30">
      <c r="B30" s="9" t="n"/>
      <c r="C30" s="57" t="n">
        <v>3</v>
      </c>
      <c r="D30" s="41" t="n"/>
      <c r="E30" s="55">
        <f>AI30</f>
        <v/>
      </c>
      <c r="F30" s="41" t="n"/>
      <c r="G30" s="41" t="n"/>
      <c r="H30" s="55">
        <f>AJ30</f>
        <v/>
      </c>
      <c r="I30" s="41" t="n"/>
      <c r="J30" s="41" t="n"/>
      <c r="K30" s="52">
        <f>AM30</f>
        <v/>
      </c>
      <c r="L30" s="41" t="n"/>
      <c r="M30" s="41" t="n"/>
      <c r="N30" s="57">
        <f>AN30</f>
        <v/>
      </c>
      <c r="O30" s="41" t="n"/>
      <c r="P30" s="41" t="n"/>
      <c r="Q30" s="53">
        <f>AO30</f>
        <v/>
      </c>
      <c r="R30" s="41" t="n"/>
      <c r="S30" s="41" t="n"/>
      <c r="T30" s="57">
        <f>IF(AR30="","-",AR30)</f>
        <v/>
      </c>
      <c r="U30" s="41" t="n"/>
      <c r="V30" s="57">
        <f>IF(AT30="","-",AT30)</f>
        <v/>
      </c>
      <c r="W30" s="41" t="n"/>
      <c r="X30" s="55">
        <f>AU30</f>
        <v/>
      </c>
      <c r="Y30" s="41" t="n"/>
      <c r="Z30" s="66">
        <f>AV30</f>
        <v/>
      </c>
      <c r="AA30" s="41" t="n"/>
      <c r="AB30" s="41" t="n"/>
      <c r="AC30" s="53">
        <f>AW30</f>
        <v/>
      </c>
      <c r="AD30" s="41" t="n"/>
      <c r="AE30" s="41" t="n"/>
      <c r="AF30" s="15" t="n"/>
      <c r="AI30" s="67" t="n">
        <v>3</v>
      </c>
      <c r="AJ30" s="67" t="n">
        <v>5.5</v>
      </c>
      <c r="AK30" s="68">
        <f>AJ30-AI30</f>
        <v/>
      </c>
      <c r="AL30" s="68">
        <f>(AI30+AJ30)/2</f>
        <v/>
      </c>
      <c r="AM30" s="67" t="inlineStr">
        <is>
          <t>Sand</t>
        </is>
      </c>
      <c r="AN30" s="67" t="n">
        <v>49</v>
      </c>
      <c r="AO30" s="68">
        <f>IF(AL30&gt;$AA$19,$AA$21,$AA$20)</f>
        <v/>
      </c>
      <c r="AP30" s="68">
        <f>AP29+AO30*AK30</f>
        <v/>
      </c>
      <c r="AQ30" s="68">
        <f>AP30-AO30*AK30/2-10*MAX(AL30-$AA$19,0)</f>
        <v/>
      </c>
      <c r="AR30" s="67" t="n"/>
      <c r="AS30" s="67" t="n"/>
      <c r="AT30" s="68">
        <f>IF(AR30="","",AR30-AS30)</f>
        <v/>
      </c>
      <c r="AU30" s="67" t="n">
        <v>0.65</v>
      </c>
      <c r="AV30" s="68">
        <f>IF(AM30="Sand",0,Input!$AA$31*AN30)</f>
        <v/>
      </c>
      <c r="AW30" s="68">
        <f>IF(AM30="Sand",27.1+0.3*MIN(Input!$AA$32*AN30,60)-0.00054*MIN(Input!$AA$32*AN30,60)^2,MIN(MAX(DEGREES(ASIN(0.8-0.094*LN(MAX(IF(AT30="",10,AT30),5)))),20),30))</f>
        <v/>
      </c>
      <c r="AX30" s="68">
        <f>IF(AM30="Sand",Input!$AA$33*Input!$AA$32*AN30,Input!$AA$34*AV30)</f>
        <v/>
      </c>
      <c r="AY30" s="68">
        <f>IF(AM30="Sand",Input!$AA$35,0.5)</f>
        <v/>
      </c>
      <c r="AZ30" s="68">
        <f>Input!$AA$15/2/AL30</f>
        <v/>
      </c>
      <c r="BA30" s="68">
        <f>Input!$AA$16/2/AL30</f>
        <v/>
      </c>
      <c r="BB30" s="68">
        <f>1/(4*PI())*(2*AZ30*BA30*SQRT(AZ30^2+BA30^2+1)/(AZ30^2+BA30^2+1+AZ30^2*BA30^2)*(AZ30^2+BA30^2+2)/(AZ30^2+BA30^2+1)+ATAN2(AZ30^2+BA30^2+1-AZ30^2*BA30^2,2*AZ30*BA30*SQRT(AZ30^2+BA30^2+1)))</f>
        <v/>
      </c>
      <c r="BC30" s="68">
        <f>4*Input!$AA$14*BB30</f>
        <v/>
      </c>
      <c r="BD30" s="68">
        <f>((Input!$AA$16/Input!$AA$15)*LN((1+SQRT((Input!$AA$16/Input!$AA$15)^2+1))*SQRT((Input!$AA$16/Input!$AA$15)^2+(AJ30/(Input!$AA$15/2))^2)/((Input!$AA$16/Input!$AA$15)*(1+SQRT((Input!$AA$16/Input!$AA$15)^2+(AJ30/(Input!$AA$15/2))^2+1))))+LN(((Input!$AA$16/Input!$AA$15)+SQRT((Input!$AA$16/Input!$AA$15)^2+1))*SQRT(1+(AJ30/(Input!$AA$15/2))^2)/((Input!$AA$16/Input!$AA$15)+SQRT((Input!$AA$16/Input!$AA$15)^2+(AJ30/(Input!$AA$15/2))^2+1))))/PI()</f>
        <v/>
      </c>
      <c r="BE30" s="68">
        <f>(AJ30/(Input!$AA$15/2))/(2*PI())*ATAN((Input!$AA$16/Input!$AA$15)/((AJ30/(Input!$AA$15/2))*SQRT((Input!$AA$16/Input!$AA$15)^2+(AJ30/(Input!$AA$15/2))^2+1)))</f>
        <v/>
      </c>
      <c r="BF30" s="68">
        <f>MAX(0,AJ30-MAX(AI30,$AA$22))/AK30*IF(BC30&gt;=Input!$AA$21*AQ30,1,0)</f>
        <v/>
      </c>
      <c r="BG30" s="68">
        <f>4*Input!$AA$14*(Input!$AA$15/2)*(1-AY30^2)/AX30*((BD30-BD29)+(1-2*AY30)/(1-AY30)*(BE30-BE29))*1000*BF30</f>
        <v/>
      </c>
      <c r="BH30" s="68">
        <f>IF(AM30="Sand",0,0.009*(AR30-10))</f>
        <v/>
      </c>
      <c r="BI30" s="68">
        <f>BH30*Input!$AA$36</f>
        <v/>
      </c>
      <c r="BJ30" s="68">
        <f>IF(AM30="Sand",0,MAX(AV30/Input!$AA$37,AQ30))</f>
        <v/>
      </c>
      <c r="BK30" s="68">
        <f>IF(AM30="Sand",0,1000*AK30/(1+AU30)*IF(AQ30+BC30&lt;=BJ30,BI30*LOG10((AQ30+BC30)/AQ30),BI30*LOG10(BJ30/AQ30)+BH30*LOG10((AQ30+BC30)/BJ30)))*BF30</f>
        <v/>
      </c>
      <c r="BL30" s="68">
        <f>IF(AM30="Sand",0,10^(INDEX(Input!$Q$48:$Q$54,MIN(MATCH(MIN(MAX(AR30,30),120),Input!$C$48:$C$54,1),6))+(MIN(MAX(AR30,30),120)-INDEX(Input!$C$48:$C$54,MIN(MATCH(MIN(MAX(AR30,30),120),Input!$C$48:$C$54,1),6)))/(INDEX(Input!$C$48:$C$54,MIN(MATCH(MIN(MAX(AR30,30),120),Input!$C$48:$C$54,1),6)+1)-INDEX(Input!$C$48:$C$54,MIN(MATCH(MIN(MAX(AR30,30),120),Input!$C$48:$C$54,1),6)))*(INDEX(Input!$Q$48:$Q$54,MIN(MATCH(MIN(MAX(AR30,30),120),Input!$C$48:$C$54,1),6)+1)-INDEX(Input!$Q$48:$Q$54,MIN(MATCH(MIN(MAX(AR30,30),120),Input!$C$48:$C$54,1),6)))))</f>
        <v/>
      </c>
      <c r="BM30" s="68">
        <f>IF(OR(AM30="Sand",BF30=0),0,Input!$AA$38*(AK30/2)^2/(BL30*1E-4*31536000))</f>
        <v/>
      </c>
      <c r="BN30" s="68">
        <f>MAX(0,MIN(AJ30,Input!$AA$20)-AI30)</f>
        <v/>
      </c>
      <c r="BO30" s="68">
        <f>MAX(0,MIN(AJ30,Input!$AA$20)-MAX(AI30,$AA$22))</f>
        <v/>
      </c>
      <c r="BP30" s="68">
        <f>MAX(0,MIN(AJ30,$AA$225)-AI30)</f>
        <v/>
      </c>
      <c r="BQ30" s="68" t="inlineStr"/>
    </row>
    <row r="31">
      <c r="B31" s="9" t="n"/>
      <c r="C31" s="57" t="n">
        <v>4</v>
      </c>
      <c r="D31" s="41" t="n"/>
      <c r="E31" s="55">
        <f>AI31</f>
        <v/>
      </c>
      <c r="F31" s="41" t="n"/>
      <c r="G31" s="41" t="n"/>
      <c r="H31" s="55">
        <f>AJ31</f>
        <v/>
      </c>
      <c r="I31" s="41" t="n"/>
      <c r="J31" s="41" t="n"/>
      <c r="K31" s="52">
        <f>AM31</f>
        <v/>
      </c>
      <c r="L31" s="41" t="n"/>
      <c r="M31" s="41" t="n"/>
      <c r="N31" s="57">
        <f>AN31</f>
        <v/>
      </c>
      <c r="O31" s="41" t="n"/>
      <c r="P31" s="41" t="n"/>
      <c r="Q31" s="53">
        <f>AO31</f>
        <v/>
      </c>
      <c r="R31" s="41" t="n"/>
      <c r="S31" s="41" t="n"/>
      <c r="T31" s="57">
        <f>IF(AR31="","-",AR31)</f>
        <v/>
      </c>
      <c r="U31" s="41" t="n"/>
      <c r="V31" s="57">
        <f>IF(AT31="","-",AT31)</f>
        <v/>
      </c>
      <c r="W31" s="41" t="n"/>
      <c r="X31" s="55">
        <f>AU31</f>
        <v/>
      </c>
      <c r="Y31" s="41" t="n"/>
      <c r="Z31" s="66">
        <f>AV31</f>
        <v/>
      </c>
      <c r="AA31" s="41" t="n"/>
      <c r="AB31" s="41" t="n"/>
      <c r="AC31" s="53">
        <f>AW31</f>
        <v/>
      </c>
      <c r="AD31" s="41" t="n"/>
      <c r="AE31" s="41" t="n"/>
      <c r="AF31" s="15" t="n"/>
      <c r="AI31" s="67" t="n">
        <v>5.5</v>
      </c>
      <c r="AJ31" s="67" t="n">
        <v>6</v>
      </c>
      <c r="AK31" s="68">
        <f>AJ31-AI31</f>
        <v/>
      </c>
      <c r="AL31" s="68">
        <f>(AI31+AJ31)/2</f>
        <v/>
      </c>
      <c r="AM31" s="67" t="inlineStr">
        <is>
          <t>Sand</t>
        </is>
      </c>
      <c r="AN31" s="67" t="n">
        <v>44</v>
      </c>
      <c r="AO31" s="68">
        <f>IF(AL31&gt;$AA$19,$AA$21,$AA$20)</f>
        <v/>
      </c>
      <c r="AP31" s="68">
        <f>AP30+AO31*AK31</f>
        <v/>
      </c>
      <c r="AQ31" s="68">
        <f>AP31-AO31*AK31/2-10*MAX(AL31-$AA$19,0)</f>
        <v/>
      </c>
      <c r="AR31" s="67" t="n"/>
      <c r="AS31" s="67" t="n"/>
      <c r="AT31" s="68">
        <f>IF(AR31="","",AR31-AS31)</f>
        <v/>
      </c>
      <c r="AU31" s="67" t="n">
        <v>0.65</v>
      </c>
      <c r="AV31" s="68">
        <f>IF(AM31="Sand",0,Input!$AA$31*AN31)</f>
        <v/>
      </c>
      <c r="AW31" s="68">
        <f>IF(AM31="Sand",27.1+0.3*MIN(Input!$AA$32*AN31,60)-0.00054*MIN(Input!$AA$32*AN31,60)^2,MIN(MAX(DEGREES(ASIN(0.8-0.094*LN(MAX(IF(AT31="",10,AT31),5)))),20),30))</f>
        <v/>
      </c>
      <c r="AX31" s="68">
        <f>IF(AM31="Sand",Input!$AA$33*Input!$AA$32*AN31,Input!$AA$34*AV31)</f>
        <v/>
      </c>
      <c r="AY31" s="68">
        <f>IF(AM31="Sand",Input!$AA$35,0.5)</f>
        <v/>
      </c>
      <c r="AZ31" s="68">
        <f>Input!$AA$15/2/AL31</f>
        <v/>
      </c>
      <c r="BA31" s="68">
        <f>Input!$AA$16/2/AL31</f>
        <v/>
      </c>
      <c r="BB31" s="68">
        <f>1/(4*PI())*(2*AZ31*BA31*SQRT(AZ31^2+BA31^2+1)/(AZ31^2+BA31^2+1+AZ31^2*BA31^2)*(AZ31^2+BA31^2+2)/(AZ31^2+BA31^2+1)+ATAN2(AZ31^2+BA31^2+1-AZ31^2*BA31^2,2*AZ31*BA31*SQRT(AZ31^2+BA31^2+1)))</f>
        <v/>
      </c>
      <c r="BC31" s="68">
        <f>4*Input!$AA$14*BB31</f>
        <v/>
      </c>
      <c r="BD31" s="68">
        <f>((Input!$AA$16/Input!$AA$15)*LN((1+SQRT((Input!$AA$16/Input!$AA$15)^2+1))*SQRT((Input!$AA$16/Input!$AA$15)^2+(AJ31/(Input!$AA$15/2))^2)/((Input!$AA$16/Input!$AA$15)*(1+SQRT((Input!$AA$16/Input!$AA$15)^2+(AJ31/(Input!$AA$15/2))^2+1))))+LN(((Input!$AA$16/Input!$AA$15)+SQRT((Input!$AA$16/Input!$AA$15)^2+1))*SQRT(1+(AJ31/(Input!$AA$15/2))^2)/((Input!$AA$16/Input!$AA$15)+SQRT((Input!$AA$16/Input!$AA$15)^2+(AJ31/(Input!$AA$15/2))^2+1))))/PI()</f>
        <v/>
      </c>
      <c r="BE31" s="68">
        <f>(AJ31/(Input!$AA$15/2))/(2*PI())*ATAN((Input!$AA$16/Input!$AA$15)/((AJ31/(Input!$AA$15/2))*SQRT((Input!$AA$16/Input!$AA$15)^2+(AJ31/(Input!$AA$15/2))^2+1)))</f>
        <v/>
      </c>
      <c r="BF31" s="68">
        <f>MAX(0,AJ31-MAX(AI31,$AA$22))/AK31*IF(BC31&gt;=Input!$AA$21*AQ31,1,0)</f>
        <v/>
      </c>
      <c r="BG31" s="68">
        <f>4*Input!$AA$14*(Input!$AA$15/2)*(1-AY31^2)/AX31*((BD31-BD30)+(1-2*AY31)/(1-AY31)*(BE31-BE30))*1000*BF31</f>
        <v/>
      </c>
      <c r="BH31" s="68">
        <f>IF(AM31="Sand",0,0.009*(AR31-10))</f>
        <v/>
      </c>
      <c r="BI31" s="68">
        <f>BH31*Input!$AA$36</f>
        <v/>
      </c>
      <c r="BJ31" s="68">
        <f>IF(AM31="Sand",0,MAX(AV31/Input!$AA$37,AQ31))</f>
        <v/>
      </c>
      <c r="BK31" s="68">
        <f>IF(AM31="Sand",0,1000*AK31/(1+AU31)*IF(AQ31+BC31&lt;=BJ31,BI31*LOG10((AQ31+BC31)/AQ31),BI31*LOG10(BJ31/AQ31)+BH31*LOG10((AQ31+BC31)/BJ31)))*BF31</f>
        <v/>
      </c>
      <c r="BL31" s="68">
        <f>IF(AM31="Sand",0,10^(INDEX(Input!$Q$48:$Q$54,MIN(MATCH(MIN(MAX(AR31,30),120),Input!$C$48:$C$54,1),6))+(MIN(MAX(AR31,30),120)-INDEX(Input!$C$48:$C$54,MIN(MATCH(MIN(MAX(AR31,30),120),Input!$C$48:$C$54,1),6)))/(INDEX(Input!$C$48:$C$54,MIN(MATCH(MIN(MAX(AR31,30),120),Input!$C$48:$C$54,1),6)+1)-INDEX(Input!$C$48:$C$54,MIN(MATCH(MIN(MAX(AR31,30),120),Input!$C$48:$C$54,1),6)))*(INDEX(Input!$Q$48:$Q$54,MIN(MATCH(MIN(MAX(AR31,30),120),Input!$C$48:$C$54,1),6)+1)-INDEX(Input!$Q$48:$Q$54,MIN(MATCH(MIN(MAX(AR31,30),120),Input!$C$48:$C$54,1),6)))))</f>
        <v/>
      </c>
      <c r="BM31" s="68">
        <f>IF(OR(AM31="Sand",BF31=0),0,Input!$AA$38*(AK31/2)^2/(BL31*1E-4*31536000))</f>
        <v/>
      </c>
      <c r="BN31" s="68">
        <f>MAX(0,MIN(AJ31,Input!$AA$20)-AI31)</f>
        <v/>
      </c>
      <c r="BO31" s="68">
        <f>MAX(0,MIN(AJ31,Input!$AA$20)-MAX(AI31,$AA$22))</f>
        <v/>
      </c>
      <c r="BP31" s="68">
        <f>MAX(0,MIN(AJ31,$AA$225)-AI31)</f>
        <v/>
      </c>
      <c r="BQ31" s="68" t="inlineStr"/>
    </row>
    <row r="32">
      <c r="B32" s="9" t="n"/>
      <c r="C32" s="57" t="n">
        <v>5</v>
      </c>
      <c r="D32" s="41" t="n"/>
      <c r="E32" s="55">
        <f>AI32</f>
        <v/>
      </c>
      <c r="F32" s="41" t="n"/>
      <c r="G32" s="41" t="n"/>
      <c r="H32" s="55">
        <f>AJ32</f>
        <v/>
      </c>
      <c r="I32" s="41" t="n"/>
      <c r="J32" s="41" t="n"/>
      <c r="K32" s="52">
        <f>AM32</f>
        <v/>
      </c>
      <c r="L32" s="41" t="n"/>
      <c r="M32" s="41" t="n"/>
      <c r="N32" s="57">
        <f>AN32</f>
        <v/>
      </c>
      <c r="O32" s="41" t="n"/>
      <c r="P32" s="41" t="n"/>
      <c r="Q32" s="53">
        <f>AO32</f>
        <v/>
      </c>
      <c r="R32" s="41" t="n"/>
      <c r="S32" s="41" t="n"/>
      <c r="T32" s="57">
        <f>IF(AR32="","-",AR32)</f>
        <v/>
      </c>
      <c r="U32" s="41" t="n"/>
      <c r="V32" s="57">
        <f>IF(AT32="","-",AT32)</f>
        <v/>
      </c>
      <c r="W32" s="41" t="n"/>
      <c r="X32" s="55">
        <f>AU32</f>
        <v/>
      </c>
      <c r="Y32" s="41" t="n"/>
      <c r="Z32" s="66">
        <f>AV32</f>
        <v/>
      </c>
      <c r="AA32" s="41" t="n"/>
      <c r="AB32" s="41" t="n"/>
      <c r="AC32" s="53">
        <f>AW32</f>
        <v/>
      </c>
      <c r="AD32" s="41" t="n"/>
      <c r="AE32" s="41" t="n"/>
      <c r="AF32" s="15" t="n"/>
      <c r="AI32" s="67" t="n">
        <v>6</v>
      </c>
      <c r="AJ32" s="67" t="n">
        <v>7.5</v>
      </c>
      <c r="AK32" s="68">
        <f>AJ32-AI32</f>
        <v/>
      </c>
      <c r="AL32" s="68">
        <f>(AI32+AJ32)/2</f>
        <v/>
      </c>
      <c r="AM32" s="67" t="inlineStr">
        <is>
          <t>Clay</t>
        </is>
      </c>
      <c r="AN32" s="67" t="n">
        <v>30</v>
      </c>
      <c r="AO32" s="68">
        <f>IF(AL32&gt;$AA$19,$AA$21,$AA$20)</f>
        <v/>
      </c>
      <c r="AP32" s="68">
        <f>AP31+AO32*AK32</f>
        <v/>
      </c>
      <c r="AQ32" s="68">
        <f>AP32-AO32*AK32/2-10*MAX(AL32-$AA$19,0)</f>
        <v/>
      </c>
      <c r="AR32" s="67" t="n">
        <v>28.071</v>
      </c>
      <c r="AS32" s="67" t="n">
        <v>18.832</v>
      </c>
      <c r="AT32" s="68">
        <f>IF(AR32="","",AR32-AS32)</f>
        <v/>
      </c>
      <c r="AU32" s="67" t="n">
        <v>0.59</v>
      </c>
      <c r="AV32" s="68">
        <f>IF(AM32="Sand",0,Input!$AA$31*AN32)</f>
        <v/>
      </c>
      <c r="AW32" s="68">
        <f>IF(AM32="Sand",27.1+0.3*MIN(Input!$AA$32*AN32,60)-0.00054*MIN(Input!$AA$32*AN32,60)^2,MIN(MAX(DEGREES(ASIN(0.8-0.094*LN(MAX(IF(AT32="",10,AT32),5)))),20),30))</f>
        <v/>
      </c>
      <c r="AX32" s="68">
        <f>IF(AM32="Sand",Input!$AA$33*Input!$AA$32*AN32,Input!$AA$34*AV32)</f>
        <v/>
      </c>
      <c r="AY32" s="68">
        <f>IF(AM32="Sand",Input!$AA$35,0.5)</f>
        <v/>
      </c>
      <c r="AZ32" s="68">
        <f>Input!$AA$15/2/AL32</f>
        <v/>
      </c>
      <c r="BA32" s="68">
        <f>Input!$AA$16/2/AL32</f>
        <v/>
      </c>
      <c r="BB32" s="68">
        <f>1/(4*PI())*(2*AZ32*BA32*SQRT(AZ32^2+BA32^2+1)/(AZ32^2+BA32^2+1+AZ32^2*BA32^2)*(AZ32^2+BA32^2+2)/(AZ32^2+BA32^2+1)+ATAN2(AZ32^2+BA32^2+1-AZ32^2*BA32^2,2*AZ32*BA32*SQRT(AZ32^2+BA32^2+1)))</f>
        <v/>
      </c>
      <c r="BC32" s="68">
        <f>4*Input!$AA$14*BB32</f>
        <v/>
      </c>
      <c r="BD32" s="68">
        <f>((Input!$AA$16/Input!$AA$15)*LN((1+SQRT((Input!$AA$16/Input!$AA$15)^2+1))*SQRT((Input!$AA$16/Input!$AA$15)^2+(AJ32/(Input!$AA$15/2))^2)/((Input!$AA$16/Input!$AA$15)*(1+SQRT((Input!$AA$16/Input!$AA$15)^2+(AJ32/(Input!$AA$15/2))^2+1))))+LN(((Input!$AA$16/Input!$AA$15)+SQRT((Input!$AA$16/Input!$AA$15)^2+1))*SQRT(1+(AJ32/(Input!$AA$15/2))^2)/((Input!$AA$16/Input!$AA$15)+SQRT((Input!$AA$16/Input!$AA$15)^2+(AJ32/(Input!$AA$15/2))^2+1))))/PI()</f>
        <v/>
      </c>
      <c r="BE32" s="68">
        <f>(AJ32/(Input!$AA$15/2))/(2*PI())*ATAN((Input!$AA$16/Input!$AA$15)/((AJ32/(Input!$AA$15/2))*SQRT((Input!$AA$16/Input!$AA$15)^2+(AJ32/(Input!$AA$15/2))^2+1)))</f>
        <v/>
      </c>
      <c r="BF32" s="68">
        <f>MAX(0,AJ32-MAX(AI32,$AA$22))/AK32*IF(BC32&gt;=Input!$AA$21*AQ32,1,0)</f>
        <v/>
      </c>
      <c r="BG32" s="68">
        <f>4*Input!$AA$14*(Input!$AA$15/2)*(1-AY32^2)/AX32*((BD32-BD31)+(1-2*AY32)/(1-AY32)*(BE32-BE31))*1000*BF32</f>
        <v/>
      </c>
      <c r="BH32" s="68">
        <f>IF(AM32="Sand",0,0.009*(AR32-10))</f>
        <v/>
      </c>
      <c r="BI32" s="68">
        <f>BH32*Input!$AA$36</f>
        <v/>
      </c>
      <c r="BJ32" s="68">
        <f>IF(AM32="Sand",0,MAX(AV32/Input!$AA$37,AQ32))</f>
        <v/>
      </c>
      <c r="BK32" s="68">
        <f>IF(AM32="Sand",0,1000*AK32/(1+AU32)*IF(AQ32+BC32&lt;=BJ32,BI32*LOG10((AQ32+BC32)/AQ32),BI32*LOG10(BJ32/AQ32)+BH32*LOG10((AQ32+BC32)/BJ32)))*BF32</f>
        <v/>
      </c>
      <c r="BL32" s="68">
        <f>IF(AM32="Sand",0,10^(INDEX(Input!$Q$48:$Q$54,MIN(MATCH(MIN(MAX(AR32,30),120),Input!$C$48:$C$54,1),6))+(MIN(MAX(AR32,30),120)-INDEX(Input!$C$48:$C$54,MIN(MATCH(MIN(MAX(AR32,30),120),Input!$C$48:$C$54,1),6)))/(INDEX(Input!$C$48:$C$54,MIN(MATCH(MIN(MAX(AR32,30),120),Input!$C$48:$C$54,1),6)+1)-INDEX(Input!$C$48:$C$54,MIN(MATCH(MIN(MAX(AR32,30),120),Input!$C$48:$C$54,1),6)))*(INDEX(Input!$Q$48:$Q$54,MIN(MATCH(MIN(MAX(AR32,30),120),Input!$C$48:$C$54,1),6)+1)-INDEX(Input!$Q$48:$Q$54,MIN(MATCH(MIN(MAX(AR32,30),120),Input!$C$48:$C$54,1),6)))))</f>
        <v/>
      </c>
      <c r="BM32" s="68">
        <f>IF(OR(AM32="Sand",BF32=0),0,Input!$AA$38*(AK32/2)^2/(BL32*1E-4*31536000))</f>
        <v/>
      </c>
      <c r="BN32" s="68">
        <f>MAX(0,MIN(AJ32,Input!$AA$20)-AI32)</f>
        <v/>
      </c>
      <c r="BO32" s="68">
        <f>MAX(0,MIN(AJ32,Input!$AA$20)-MAX(AI32,$AA$22))</f>
        <v/>
      </c>
      <c r="BP32" s="68">
        <f>MAX(0,MIN(AJ32,$AA$225)-AI32)</f>
        <v/>
      </c>
      <c r="BQ32" s="68" t="inlineStr">
        <is>
          <t>LL/PL/e0 = borehole average</t>
        </is>
      </c>
    </row>
    <row r="33">
      <c r="B33" s="9" t="n"/>
      <c r="C33" s="57" t="n">
        <v>6</v>
      </c>
      <c r="D33" s="41" t="n"/>
      <c r="E33" s="55">
        <f>AI33</f>
        <v/>
      </c>
      <c r="F33" s="41" t="n"/>
      <c r="G33" s="41" t="n"/>
      <c r="H33" s="55">
        <f>AJ33</f>
        <v/>
      </c>
      <c r="I33" s="41" t="n"/>
      <c r="J33" s="41" t="n"/>
      <c r="K33" s="52">
        <f>AM33</f>
        <v/>
      </c>
      <c r="L33" s="41" t="n"/>
      <c r="M33" s="41" t="n"/>
      <c r="N33" s="57">
        <f>AN33</f>
        <v/>
      </c>
      <c r="O33" s="41" t="n"/>
      <c r="P33" s="41" t="n"/>
      <c r="Q33" s="53">
        <f>AO33</f>
        <v/>
      </c>
      <c r="R33" s="41" t="n"/>
      <c r="S33" s="41" t="n"/>
      <c r="T33" s="57">
        <f>IF(AR33="","-",AR33)</f>
        <v/>
      </c>
      <c r="U33" s="41" t="n"/>
      <c r="V33" s="57">
        <f>IF(AT33="","-",AT33)</f>
        <v/>
      </c>
      <c r="W33" s="41" t="n"/>
      <c r="X33" s="55">
        <f>AU33</f>
        <v/>
      </c>
      <c r="Y33" s="41" t="n"/>
      <c r="Z33" s="66">
        <f>AV33</f>
        <v/>
      </c>
      <c r="AA33" s="41" t="n"/>
      <c r="AB33" s="41" t="n"/>
      <c r="AC33" s="53">
        <f>AW33</f>
        <v/>
      </c>
      <c r="AD33" s="41" t="n"/>
      <c r="AE33" s="41" t="n"/>
      <c r="AF33" s="15" t="n"/>
      <c r="AI33" s="67" t="n">
        <v>7.5</v>
      </c>
      <c r="AJ33" s="67" t="n">
        <v>9</v>
      </c>
      <c r="AK33" s="68">
        <f>AJ33-AI33</f>
        <v/>
      </c>
      <c r="AL33" s="68">
        <f>(AI33+AJ33)/2</f>
        <v/>
      </c>
      <c r="AM33" s="67" t="inlineStr">
        <is>
          <t>Clay</t>
        </is>
      </c>
      <c r="AN33" s="67" t="n">
        <v>14</v>
      </c>
      <c r="AO33" s="68">
        <f>IF(AL33&gt;$AA$19,$AA$21,$AA$20)</f>
        <v/>
      </c>
      <c r="AP33" s="68">
        <f>AP32+AO33*AK33</f>
        <v/>
      </c>
      <c r="AQ33" s="68">
        <f>AP33-AO33*AK33/2-10*MAX(AL33-$AA$19,0)</f>
        <v/>
      </c>
      <c r="AR33" s="67" t="n">
        <v>35.93</v>
      </c>
      <c r="AS33" s="67" t="n">
        <v>21.41</v>
      </c>
      <c r="AT33" s="68">
        <f>IF(AR33="","",AR33-AS33)</f>
        <v/>
      </c>
      <c r="AU33" s="67" t="n">
        <v>0.732</v>
      </c>
      <c r="AV33" s="68">
        <f>IF(AM33="Sand",0,Input!$AA$31*AN33)</f>
        <v/>
      </c>
      <c r="AW33" s="68">
        <f>IF(AM33="Sand",27.1+0.3*MIN(Input!$AA$32*AN33,60)-0.00054*MIN(Input!$AA$32*AN33,60)^2,MIN(MAX(DEGREES(ASIN(0.8-0.094*LN(MAX(IF(AT33="",10,AT33),5)))),20),30))</f>
        <v/>
      </c>
      <c r="AX33" s="68">
        <f>IF(AM33="Sand",Input!$AA$33*Input!$AA$32*AN33,Input!$AA$34*AV33)</f>
        <v/>
      </c>
      <c r="AY33" s="68">
        <f>IF(AM33="Sand",Input!$AA$35,0.5)</f>
        <v/>
      </c>
      <c r="AZ33" s="68">
        <f>Input!$AA$15/2/AL33</f>
        <v/>
      </c>
      <c r="BA33" s="68">
        <f>Input!$AA$16/2/AL33</f>
        <v/>
      </c>
      <c r="BB33" s="68">
        <f>1/(4*PI())*(2*AZ33*BA33*SQRT(AZ33^2+BA33^2+1)/(AZ33^2+BA33^2+1+AZ33^2*BA33^2)*(AZ33^2+BA33^2+2)/(AZ33^2+BA33^2+1)+ATAN2(AZ33^2+BA33^2+1-AZ33^2*BA33^2,2*AZ33*BA33*SQRT(AZ33^2+BA33^2+1)))</f>
        <v/>
      </c>
      <c r="BC33" s="68">
        <f>4*Input!$AA$14*BB33</f>
        <v/>
      </c>
      <c r="BD33" s="68">
        <f>((Input!$AA$16/Input!$AA$15)*LN((1+SQRT((Input!$AA$16/Input!$AA$15)^2+1))*SQRT((Input!$AA$16/Input!$AA$15)^2+(AJ33/(Input!$AA$15/2))^2)/((Input!$AA$16/Input!$AA$15)*(1+SQRT((Input!$AA$16/Input!$AA$15)^2+(AJ33/(Input!$AA$15/2))^2+1))))+LN(((Input!$AA$16/Input!$AA$15)+SQRT((Input!$AA$16/Input!$AA$15)^2+1))*SQRT(1+(AJ33/(Input!$AA$15/2))^2)/((Input!$AA$16/Input!$AA$15)+SQRT((Input!$AA$16/Input!$AA$15)^2+(AJ33/(Input!$AA$15/2))^2+1))))/PI()</f>
        <v/>
      </c>
      <c r="BE33" s="68">
        <f>(AJ33/(Input!$AA$15/2))/(2*PI())*ATAN((Input!$AA$16/Input!$AA$15)/((AJ33/(Input!$AA$15/2))*SQRT((Input!$AA$16/Input!$AA$15)^2+(AJ33/(Input!$AA$15/2))^2+1)))</f>
        <v/>
      </c>
      <c r="BF33" s="68">
        <f>MAX(0,AJ33-MAX(AI33,$AA$22))/AK33*IF(BC33&gt;=Input!$AA$21*AQ33,1,0)</f>
        <v/>
      </c>
      <c r="BG33" s="68">
        <f>4*Input!$AA$14*(Input!$AA$15/2)*(1-AY33^2)/AX33*((BD33-BD32)+(1-2*AY33)/(1-AY33)*(BE33-BE32))*1000*BF33</f>
        <v/>
      </c>
      <c r="BH33" s="68">
        <f>IF(AM33="Sand",0,0.009*(AR33-10))</f>
        <v/>
      </c>
      <c r="BI33" s="68">
        <f>BH33*Input!$AA$36</f>
        <v/>
      </c>
      <c r="BJ33" s="68">
        <f>IF(AM33="Sand",0,MAX(AV33/Input!$AA$37,AQ33))</f>
        <v/>
      </c>
      <c r="BK33" s="68">
        <f>IF(AM33="Sand",0,1000*AK33/(1+AU33)*IF(AQ33+BC33&lt;=BJ33,BI33*LOG10((AQ33+BC33)/AQ33),BI33*LOG10(BJ33/AQ33)+BH33*LOG10((AQ33+BC33)/BJ33)))*BF33</f>
        <v/>
      </c>
      <c r="BL33" s="68">
        <f>IF(AM33="Sand",0,10^(INDEX(Input!$Q$48:$Q$54,MIN(MATCH(MIN(MAX(AR33,30),120),Input!$C$48:$C$54,1),6))+(MIN(MAX(AR33,30),120)-INDEX(Input!$C$48:$C$54,MIN(MATCH(MIN(MAX(AR33,30),120),Input!$C$48:$C$54,1),6)))/(INDEX(Input!$C$48:$C$54,MIN(MATCH(MIN(MAX(AR33,30),120),Input!$C$48:$C$54,1),6)+1)-INDEX(Input!$C$48:$C$54,MIN(MATCH(MIN(MAX(AR33,30),120),Input!$C$48:$C$54,1),6)))*(INDEX(Input!$Q$48:$Q$54,MIN(MATCH(MIN(MAX(AR33,30),120),Input!$C$48:$C$54,1),6)+1)-INDEX(Input!$Q$48:$Q$54,MIN(MATCH(MIN(MAX(AR33,30),120),Input!$C$48:$C$54,1),6)))))</f>
        <v/>
      </c>
      <c r="BM33" s="68">
        <f>IF(OR(AM33="Sand",BF33=0),0,Input!$AA$38*(AK33/2)^2/(BL33*1E-4*31536000))</f>
        <v/>
      </c>
      <c r="BN33" s="68">
        <f>MAX(0,MIN(AJ33,Input!$AA$20)-AI33)</f>
        <v/>
      </c>
      <c r="BO33" s="68">
        <f>MAX(0,MIN(AJ33,Input!$AA$20)-MAX(AI33,$AA$22))</f>
        <v/>
      </c>
      <c r="BP33" s="68">
        <f>MAX(0,MIN(AJ33,$AA$225)-AI33)</f>
        <v/>
      </c>
      <c r="BQ33" s="68" t="inlineStr"/>
    </row>
    <row r="34">
      <c r="B34" s="9" t="n"/>
      <c r="C34" s="57" t="n">
        <v>7</v>
      </c>
      <c r="D34" s="41" t="n"/>
      <c r="E34" s="55">
        <f>AI34</f>
        <v/>
      </c>
      <c r="F34" s="41" t="n"/>
      <c r="G34" s="41" t="n"/>
      <c r="H34" s="55">
        <f>AJ34</f>
        <v/>
      </c>
      <c r="I34" s="41" t="n"/>
      <c r="J34" s="41" t="n"/>
      <c r="K34" s="52">
        <f>AM34</f>
        <v/>
      </c>
      <c r="L34" s="41" t="n"/>
      <c r="M34" s="41" t="n"/>
      <c r="N34" s="57">
        <f>AN34</f>
        <v/>
      </c>
      <c r="O34" s="41" t="n"/>
      <c r="P34" s="41" t="n"/>
      <c r="Q34" s="53">
        <f>AO34</f>
        <v/>
      </c>
      <c r="R34" s="41" t="n"/>
      <c r="S34" s="41" t="n"/>
      <c r="T34" s="57">
        <f>IF(AR34="","-",AR34)</f>
        <v/>
      </c>
      <c r="U34" s="41" t="n"/>
      <c r="V34" s="57">
        <f>IF(AT34="","-",AT34)</f>
        <v/>
      </c>
      <c r="W34" s="41" t="n"/>
      <c r="X34" s="55">
        <f>AU34</f>
        <v/>
      </c>
      <c r="Y34" s="41" t="n"/>
      <c r="Z34" s="66">
        <f>AV34</f>
        <v/>
      </c>
      <c r="AA34" s="41" t="n"/>
      <c r="AB34" s="41" t="n"/>
      <c r="AC34" s="53">
        <f>AW34</f>
        <v/>
      </c>
      <c r="AD34" s="41" t="n"/>
      <c r="AE34" s="41" t="n"/>
      <c r="AF34" s="15" t="n"/>
      <c r="AI34" s="67" t="n">
        <v>9</v>
      </c>
      <c r="AJ34" s="67" t="n">
        <v>10.5</v>
      </c>
      <c r="AK34" s="68">
        <f>AJ34-AI34</f>
        <v/>
      </c>
      <c r="AL34" s="68">
        <f>(AI34+AJ34)/2</f>
        <v/>
      </c>
      <c r="AM34" s="67" t="inlineStr">
        <is>
          <t>Clay</t>
        </is>
      </c>
      <c r="AN34" s="67" t="n">
        <v>12</v>
      </c>
      <c r="AO34" s="68">
        <f>IF(AL34&gt;$AA$19,$AA$21,$AA$20)</f>
        <v/>
      </c>
      <c r="AP34" s="68">
        <f>AP33+AO34*AK34</f>
        <v/>
      </c>
      <c r="AQ34" s="68">
        <f>AP34-AO34*AK34/2-10*MAX(AL34-$AA$19,0)</f>
        <v/>
      </c>
      <c r="AR34" s="67" t="n">
        <v>28.071</v>
      </c>
      <c r="AS34" s="67" t="n">
        <v>18.832</v>
      </c>
      <c r="AT34" s="68">
        <f>IF(AR34="","",AR34-AS34)</f>
        <v/>
      </c>
      <c r="AU34" s="67" t="n">
        <v>0.59</v>
      </c>
      <c r="AV34" s="68">
        <f>IF(AM34="Sand",0,Input!$AA$31*AN34)</f>
        <v/>
      </c>
      <c r="AW34" s="68">
        <f>IF(AM34="Sand",27.1+0.3*MIN(Input!$AA$32*AN34,60)-0.00054*MIN(Input!$AA$32*AN34,60)^2,MIN(MAX(DEGREES(ASIN(0.8-0.094*LN(MAX(IF(AT34="",10,AT34),5)))),20),30))</f>
        <v/>
      </c>
      <c r="AX34" s="68">
        <f>IF(AM34="Sand",Input!$AA$33*Input!$AA$32*AN34,Input!$AA$34*AV34)</f>
        <v/>
      </c>
      <c r="AY34" s="68">
        <f>IF(AM34="Sand",Input!$AA$35,0.5)</f>
        <v/>
      </c>
      <c r="AZ34" s="68">
        <f>Input!$AA$15/2/AL34</f>
        <v/>
      </c>
      <c r="BA34" s="68">
        <f>Input!$AA$16/2/AL34</f>
        <v/>
      </c>
      <c r="BB34" s="68">
        <f>1/(4*PI())*(2*AZ34*BA34*SQRT(AZ34^2+BA34^2+1)/(AZ34^2+BA34^2+1+AZ34^2*BA34^2)*(AZ34^2+BA34^2+2)/(AZ34^2+BA34^2+1)+ATAN2(AZ34^2+BA34^2+1-AZ34^2*BA34^2,2*AZ34*BA34*SQRT(AZ34^2+BA34^2+1)))</f>
        <v/>
      </c>
      <c r="BC34" s="68">
        <f>4*Input!$AA$14*BB34</f>
        <v/>
      </c>
      <c r="BD34" s="68">
        <f>((Input!$AA$16/Input!$AA$15)*LN((1+SQRT((Input!$AA$16/Input!$AA$15)^2+1))*SQRT((Input!$AA$16/Input!$AA$15)^2+(AJ34/(Input!$AA$15/2))^2)/((Input!$AA$16/Input!$AA$15)*(1+SQRT((Input!$AA$16/Input!$AA$15)^2+(AJ34/(Input!$AA$15/2))^2+1))))+LN(((Input!$AA$16/Input!$AA$15)+SQRT((Input!$AA$16/Input!$AA$15)^2+1))*SQRT(1+(AJ34/(Input!$AA$15/2))^2)/((Input!$AA$16/Input!$AA$15)+SQRT((Input!$AA$16/Input!$AA$15)^2+(AJ34/(Input!$AA$15/2))^2+1))))/PI()</f>
        <v/>
      </c>
      <c r="BE34" s="68">
        <f>(AJ34/(Input!$AA$15/2))/(2*PI())*ATAN((Input!$AA$16/Input!$AA$15)/((AJ34/(Input!$AA$15/2))*SQRT((Input!$AA$16/Input!$AA$15)^2+(AJ34/(Input!$AA$15/2))^2+1)))</f>
        <v/>
      </c>
      <c r="BF34" s="68">
        <f>MAX(0,AJ34-MAX(AI34,$AA$22))/AK34*IF(BC34&gt;=Input!$AA$21*AQ34,1,0)</f>
        <v/>
      </c>
      <c r="BG34" s="68">
        <f>4*Input!$AA$14*(Input!$AA$15/2)*(1-AY34^2)/AX34*((BD34-BD33)+(1-2*AY34)/(1-AY34)*(BE34-BE33))*1000*BF34</f>
        <v/>
      </c>
      <c r="BH34" s="68">
        <f>IF(AM34="Sand",0,0.009*(AR34-10))</f>
        <v/>
      </c>
      <c r="BI34" s="68">
        <f>BH34*Input!$AA$36</f>
        <v/>
      </c>
      <c r="BJ34" s="68">
        <f>IF(AM34="Sand",0,MAX(AV34/Input!$AA$37,AQ34))</f>
        <v/>
      </c>
      <c r="BK34" s="68">
        <f>IF(AM34="Sand",0,1000*AK34/(1+AU34)*IF(AQ34+BC34&lt;=BJ34,BI34*LOG10((AQ34+BC34)/AQ34),BI34*LOG10(BJ34/AQ34)+BH34*LOG10((AQ34+BC34)/BJ34)))*BF34</f>
        <v/>
      </c>
      <c r="BL34" s="68">
        <f>IF(AM34="Sand",0,10^(INDEX(Input!$Q$48:$Q$54,MIN(MATCH(MIN(MAX(AR34,30),120),Input!$C$48:$C$54,1),6))+(MIN(MAX(AR34,30),120)-INDEX(Input!$C$48:$C$54,MIN(MATCH(MIN(MAX(AR34,30),120),Input!$C$48:$C$54,1),6)))/(INDEX(Input!$C$48:$C$54,MIN(MATCH(MIN(MAX(AR34,30),120),Input!$C$48:$C$54,1),6)+1)-INDEX(Input!$C$48:$C$54,MIN(MATCH(MIN(MAX(AR34,30),120),Input!$C$48:$C$54,1),6)))*(INDEX(Input!$Q$48:$Q$54,MIN(MATCH(MIN(MAX(AR34,30),120),Input!$C$48:$C$54,1),6)+1)-INDEX(Input!$Q$48:$Q$54,MIN(MATCH(MIN(MAX(AR34,30),120),Input!$C$48:$C$54,1),6)))))</f>
        <v/>
      </c>
      <c r="BM34" s="68">
        <f>IF(OR(AM34="Sand",BF34=0),0,Input!$AA$38*(AK34/2)^2/(BL34*1E-4*31536000))</f>
        <v/>
      </c>
      <c r="BN34" s="68">
        <f>MAX(0,MIN(AJ34,Input!$AA$20)-AI34)</f>
        <v/>
      </c>
      <c r="BO34" s="68">
        <f>MAX(0,MIN(AJ34,Input!$AA$20)-MAX(AI34,$AA$22))</f>
        <v/>
      </c>
      <c r="BP34" s="68">
        <f>MAX(0,MIN(AJ34,$AA$225)-AI34)</f>
        <v/>
      </c>
      <c r="BQ34" s="68" t="inlineStr">
        <is>
          <t>LL/PL/e0 = borehole average</t>
        </is>
      </c>
    </row>
    <row r="35">
      <c r="B35" s="9" t="n"/>
      <c r="C35" s="57" t="n">
        <v>8</v>
      </c>
      <c r="D35" s="41" t="n"/>
      <c r="E35" s="55">
        <f>AI35</f>
        <v/>
      </c>
      <c r="F35" s="41" t="n"/>
      <c r="G35" s="41" t="n"/>
      <c r="H35" s="55">
        <f>AJ35</f>
        <v/>
      </c>
      <c r="I35" s="41" t="n"/>
      <c r="J35" s="41" t="n"/>
      <c r="K35" s="52">
        <f>AM35</f>
        <v/>
      </c>
      <c r="L35" s="41" t="n"/>
      <c r="M35" s="41" t="n"/>
      <c r="N35" s="57">
        <f>AN35</f>
        <v/>
      </c>
      <c r="O35" s="41" t="n"/>
      <c r="P35" s="41" t="n"/>
      <c r="Q35" s="53">
        <f>AO35</f>
        <v/>
      </c>
      <c r="R35" s="41" t="n"/>
      <c r="S35" s="41" t="n"/>
      <c r="T35" s="57">
        <f>IF(AR35="","-",AR35)</f>
        <v/>
      </c>
      <c r="U35" s="41" t="n"/>
      <c r="V35" s="57">
        <f>IF(AT35="","-",AT35)</f>
        <v/>
      </c>
      <c r="W35" s="41" t="n"/>
      <c r="X35" s="55">
        <f>AU35</f>
        <v/>
      </c>
      <c r="Y35" s="41" t="n"/>
      <c r="Z35" s="66">
        <f>AV35</f>
        <v/>
      </c>
      <c r="AA35" s="41" t="n"/>
      <c r="AB35" s="41" t="n"/>
      <c r="AC35" s="53">
        <f>AW35</f>
        <v/>
      </c>
      <c r="AD35" s="41" t="n"/>
      <c r="AE35" s="41" t="n"/>
      <c r="AF35" s="15" t="n"/>
      <c r="AI35" s="67" t="n">
        <v>10.5</v>
      </c>
      <c r="AJ35" s="67" t="n">
        <v>12</v>
      </c>
      <c r="AK35" s="68">
        <f>AJ35-AI35</f>
        <v/>
      </c>
      <c r="AL35" s="68">
        <f>(AI35+AJ35)/2</f>
        <v/>
      </c>
      <c r="AM35" s="67" t="inlineStr">
        <is>
          <t>Sand</t>
        </is>
      </c>
      <c r="AN35" s="67" t="n">
        <v>18</v>
      </c>
      <c r="AO35" s="68">
        <f>IF(AL35&gt;$AA$19,$AA$21,$AA$20)</f>
        <v/>
      </c>
      <c r="AP35" s="68">
        <f>AP34+AO35*AK35</f>
        <v/>
      </c>
      <c r="AQ35" s="68">
        <f>AP35-AO35*AK35/2-10*MAX(AL35-$AA$19,0)</f>
        <v/>
      </c>
      <c r="AR35" s="67" t="n"/>
      <c r="AS35" s="67" t="n"/>
      <c r="AT35" s="68">
        <f>IF(AR35="","",AR35-AS35)</f>
        <v/>
      </c>
      <c r="AU35" s="67" t="n">
        <v>0.435</v>
      </c>
      <c r="AV35" s="68">
        <f>IF(AM35="Sand",0,Input!$AA$31*AN35)</f>
        <v/>
      </c>
      <c r="AW35" s="68">
        <f>IF(AM35="Sand",27.1+0.3*MIN(Input!$AA$32*AN35,60)-0.00054*MIN(Input!$AA$32*AN35,60)^2,MIN(MAX(DEGREES(ASIN(0.8-0.094*LN(MAX(IF(AT35="",10,AT35),5)))),20),30))</f>
        <v/>
      </c>
      <c r="AX35" s="68">
        <f>IF(AM35="Sand",Input!$AA$33*Input!$AA$32*AN35,Input!$AA$34*AV35)</f>
        <v/>
      </c>
      <c r="AY35" s="68">
        <f>IF(AM35="Sand",Input!$AA$35,0.5)</f>
        <v/>
      </c>
      <c r="AZ35" s="68">
        <f>Input!$AA$15/2/AL35</f>
        <v/>
      </c>
      <c r="BA35" s="68">
        <f>Input!$AA$16/2/AL35</f>
        <v/>
      </c>
      <c r="BB35" s="68">
        <f>1/(4*PI())*(2*AZ35*BA35*SQRT(AZ35^2+BA35^2+1)/(AZ35^2+BA35^2+1+AZ35^2*BA35^2)*(AZ35^2+BA35^2+2)/(AZ35^2+BA35^2+1)+ATAN2(AZ35^2+BA35^2+1-AZ35^2*BA35^2,2*AZ35*BA35*SQRT(AZ35^2+BA35^2+1)))</f>
        <v/>
      </c>
      <c r="BC35" s="68">
        <f>4*Input!$AA$14*BB35</f>
        <v/>
      </c>
      <c r="BD35" s="68">
        <f>((Input!$AA$16/Input!$AA$15)*LN((1+SQRT((Input!$AA$16/Input!$AA$15)^2+1))*SQRT((Input!$AA$16/Input!$AA$15)^2+(AJ35/(Input!$AA$15/2))^2)/((Input!$AA$16/Input!$AA$15)*(1+SQRT((Input!$AA$16/Input!$AA$15)^2+(AJ35/(Input!$AA$15/2))^2+1))))+LN(((Input!$AA$16/Input!$AA$15)+SQRT((Input!$AA$16/Input!$AA$15)^2+1))*SQRT(1+(AJ35/(Input!$AA$15/2))^2)/((Input!$AA$16/Input!$AA$15)+SQRT((Input!$AA$16/Input!$AA$15)^2+(AJ35/(Input!$AA$15/2))^2+1))))/PI()</f>
        <v/>
      </c>
      <c r="BE35" s="68">
        <f>(AJ35/(Input!$AA$15/2))/(2*PI())*ATAN((Input!$AA$16/Input!$AA$15)/((AJ35/(Input!$AA$15/2))*SQRT((Input!$AA$16/Input!$AA$15)^2+(AJ35/(Input!$AA$15/2))^2+1)))</f>
        <v/>
      </c>
      <c r="BF35" s="68">
        <f>MAX(0,AJ35-MAX(AI35,$AA$22))/AK35*IF(BC35&gt;=Input!$AA$21*AQ35,1,0)</f>
        <v/>
      </c>
      <c r="BG35" s="68">
        <f>4*Input!$AA$14*(Input!$AA$15/2)*(1-AY35^2)/AX35*((BD35-BD34)+(1-2*AY35)/(1-AY35)*(BE35-BE34))*1000*BF35</f>
        <v/>
      </c>
      <c r="BH35" s="68">
        <f>IF(AM35="Sand",0,0.009*(AR35-10))</f>
        <v/>
      </c>
      <c r="BI35" s="68">
        <f>BH35*Input!$AA$36</f>
        <v/>
      </c>
      <c r="BJ35" s="68">
        <f>IF(AM35="Sand",0,MAX(AV35/Input!$AA$37,AQ35))</f>
        <v/>
      </c>
      <c r="BK35" s="68">
        <f>IF(AM35="Sand",0,1000*AK35/(1+AU35)*IF(AQ35+BC35&lt;=BJ35,BI35*LOG10((AQ35+BC35)/AQ35),BI35*LOG10(BJ35/AQ35)+BH35*LOG10((AQ35+BC35)/BJ35)))*BF35</f>
        <v/>
      </c>
      <c r="BL35" s="68">
        <f>IF(AM35="Sand",0,10^(INDEX(Input!$Q$48:$Q$54,MIN(MATCH(MIN(MAX(AR35,30),120),Input!$C$48:$C$54,1),6))+(MIN(MAX(AR35,30),120)-INDEX(Input!$C$48:$C$54,MIN(MATCH(MIN(MAX(AR35,30),120),Input!$C$48:$C$54,1),6)))/(INDEX(Input!$C$48:$C$54,MIN(MATCH(MIN(MAX(AR35,30),120),Input!$C$48:$C$54,1),6)+1)-INDEX(Input!$C$48:$C$54,MIN(MATCH(MIN(MAX(AR35,30),120),Input!$C$48:$C$54,1),6)))*(INDEX(Input!$Q$48:$Q$54,MIN(MATCH(MIN(MAX(AR35,30),120),Input!$C$48:$C$54,1),6)+1)-INDEX(Input!$Q$48:$Q$54,MIN(MATCH(MIN(MAX(AR35,30),120),Input!$C$48:$C$54,1),6)))))</f>
        <v/>
      </c>
      <c r="BM35" s="68">
        <f>IF(OR(AM35="Sand",BF35=0),0,Input!$AA$38*(AK35/2)^2/(BL35*1E-4*31536000))</f>
        <v/>
      </c>
      <c r="BN35" s="68">
        <f>MAX(0,MIN(AJ35,Input!$AA$20)-AI35)</f>
        <v/>
      </c>
      <c r="BO35" s="68">
        <f>MAX(0,MIN(AJ35,Input!$AA$20)-MAX(AI35,$AA$22))</f>
        <v/>
      </c>
      <c r="BP35" s="68">
        <f>MAX(0,MIN(AJ35,$AA$225)-AI35)</f>
        <v/>
      </c>
      <c r="BQ35" s="68" t="inlineStr"/>
    </row>
    <row r="36">
      <c r="B36" s="9" t="n"/>
      <c r="C36" s="57" t="n">
        <v>9</v>
      </c>
      <c r="D36" s="41" t="n"/>
      <c r="E36" s="55">
        <f>AI36</f>
        <v/>
      </c>
      <c r="F36" s="41" t="n"/>
      <c r="G36" s="41" t="n"/>
      <c r="H36" s="55">
        <f>AJ36</f>
        <v/>
      </c>
      <c r="I36" s="41" t="n"/>
      <c r="J36" s="41" t="n"/>
      <c r="K36" s="52">
        <f>AM36</f>
        <v/>
      </c>
      <c r="L36" s="41" t="n"/>
      <c r="M36" s="41" t="n"/>
      <c r="N36" s="57">
        <f>AN36</f>
        <v/>
      </c>
      <c r="O36" s="41" t="n"/>
      <c r="P36" s="41" t="n"/>
      <c r="Q36" s="53">
        <f>AO36</f>
        <v/>
      </c>
      <c r="R36" s="41" t="n"/>
      <c r="S36" s="41" t="n"/>
      <c r="T36" s="57">
        <f>IF(AR36="","-",AR36)</f>
        <v/>
      </c>
      <c r="U36" s="41" t="n"/>
      <c r="V36" s="57">
        <f>IF(AT36="","-",AT36)</f>
        <v/>
      </c>
      <c r="W36" s="41" t="n"/>
      <c r="X36" s="55">
        <f>AU36</f>
        <v/>
      </c>
      <c r="Y36" s="41" t="n"/>
      <c r="Z36" s="66">
        <f>AV36</f>
        <v/>
      </c>
      <c r="AA36" s="41" t="n"/>
      <c r="AB36" s="41" t="n"/>
      <c r="AC36" s="53">
        <f>AW36</f>
        <v/>
      </c>
      <c r="AD36" s="41" t="n"/>
      <c r="AE36" s="41" t="n"/>
      <c r="AF36" s="15" t="n"/>
      <c r="AI36" s="67" t="n">
        <v>12</v>
      </c>
      <c r="AJ36" s="67" t="n">
        <v>13.5</v>
      </c>
      <c r="AK36" s="68">
        <f>AJ36-AI36</f>
        <v/>
      </c>
      <c r="AL36" s="68">
        <f>(AI36+AJ36)/2</f>
        <v/>
      </c>
      <c r="AM36" s="67" t="inlineStr">
        <is>
          <t>Sand</t>
        </is>
      </c>
      <c r="AN36" s="67" t="n">
        <v>26</v>
      </c>
      <c r="AO36" s="68">
        <f>IF(AL36&gt;$AA$19,$AA$21,$AA$20)</f>
        <v/>
      </c>
      <c r="AP36" s="68">
        <f>AP35+AO36*AK36</f>
        <v/>
      </c>
      <c r="AQ36" s="68">
        <f>AP36-AO36*AK36/2-10*MAX(AL36-$AA$19,0)</f>
        <v/>
      </c>
      <c r="AR36" s="67" t="n"/>
      <c r="AS36" s="67" t="n"/>
      <c r="AT36" s="68">
        <f>IF(AR36="","",AR36-AS36)</f>
        <v/>
      </c>
      <c r="AU36" s="67" t="n">
        <v>0.65</v>
      </c>
      <c r="AV36" s="68">
        <f>IF(AM36="Sand",0,Input!$AA$31*AN36)</f>
        <v/>
      </c>
      <c r="AW36" s="68">
        <f>IF(AM36="Sand",27.1+0.3*MIN(Input!$AA$32*AN36,60)-0.00054*MIN(Input!$AA$32*AN36,60)^2,MIN(MAX(DEGREES(ASIN(0.8-0.094*LN(MAX(IF(AT36="",10,AT36),5)))),20),30))</f>
        <v/>
      </c>
      <c r="AX36" s="68">
        <f>IF(AM36="Sand",Input!$AA$33*Input!$AA$32*AN36,Input!$AA$34*AV36)</f>
        <v/>
      </c>
      <c r="AY36" s="68">
        <f>IF(AM36="Sand",Input!$AA$35,0.5)</f>
        <v/>
      </c>
      <c r="AZ36" s="68">
        <f>Input!$AA$15/2/AL36</f>
        <v/>
      </c>
      <c r="BA36" s="68">
        <f>Input!$AA$16/2/AL36</f>
        <v/>
      </c>
      <c r="BB36" s="68">
        <f>1/(4*PI())*(2*AZ36*BA36*SQRT(AZ36^2+BA36^2+1)/(AZ36^2+BA36^2+1+AZ36^2*BA36^2)*(AZ36^2+BA36^2+2)/(AZ36^2+BA36^2+1)+ATAN2(AZ36^2+BA36^2+1-AZ36^2*BA36^2,2*AZ36*BA36*SQRT(AZ36^2+BA36^2+1)))</f>
        <v/>
      </c>
      <c r="BC36" s="68">
        <f>4*Input!$AA$14*BB36</f>
        <v/>
      </c>
      <c r="BD36" s="68">
        <f>((Input!$AA$16/Input!$AA$15)*LN((1+SQRT((Input!$AA$16/Input!$AA$15)^2+1))*SQRT((Input!$AA$16/Input!$AA$15)^2+(AJ36/(Input!$AA$15/2))^2)/((Input!$AA$16/Input!$AA$15)*(1+SQRT((Input!$AA$16/Input!$AA$15)^2+(AJ36/(Input!$AA$15/2))^2+1))))+LN(((Input!$AA$16/Input!$AA$15)+SQRT((Input!$AA$16/Input!$AA$15)^2+1))*SQRT(1+(AJ36/(Input!$AA$15/2))^2)/((Input!$AA$16/Input!$AA$15)+SQRT((Input!$AA$16/Input!$AA$15)^2+(AJ36/(Input!$AA$15/2))^2+1))))/PI()</f>
        <v/>
      </c>
      <c r="BE36" s="68">
        <f>(AJ36/(Input!$AA$15/2))/(2*PI())*ATAN((Input!$AA$16/Input!$AA$15)/((AJ36/(Input!$AA$15/2))*SQRT((Input!$AA$16/Input!$AA$15)^2+(AJ36/(Input!$AA$15/2))^2+1)))</f>
        <v/>
      </c>
      <c r="BF36" s="68">
        <f>MAX(0,AJ36-MAX(AI36,$AA$22))/AK36*IF(BC36&gt;=Input!$AA$21*AQ36,1,0)</f>
        <v/>
      </c>
      <c r="BG36" s="68">
        <f>4*Input!$AA$14*(Input!$AA$15/2)*(1-AY36^2)/AX36*((BD36-BD35)+(1-2*AY36)/(1-AY36)*(BE36-BE35))*1000*BF36</f>
        <v/>
      </c>
      <c r="BH36" s="68">
        <f>IF(AM36="Sand",0,0.009*(AR36-10))</f>
        <v/>
      </c>
      <c r="BI36" s="68">
        <f>BH36*Input!$AA$36</f>
        <v/>
      </c>
      <c r="BJ36" s="68">
        <f>IF(AM36="Sand",0,MAX(AV36/Input!$AA$37,AQ36))</f>
        <v/>
      </c>
      <c r="BK36" s="68">
        <f>IF(AM36="Sand",0,1000*AK36/(1+AU36)*IF(AQ36+BC36&lt;=BJ36,BI36*LOG10((AQ36+BC36)/AQ36),BI36*LOG10(BJ36/AQ36)+BH36*LOG10((AQ36+BC36)/BJ36)))*BF36</f>
        <v/>
      </c>
      <c r="BL36" s="68">
        <f>IF(AM36="Sand",0,10^(INDEX(Input!$Q$48:$Q$54,MIN(MATCH(MIN(MAX(AR36,30),120),Input!$C$48:$C$54,1),6))+(MIN(MAX(AR36,30),120)-INDEX(Input!$C$48:$C$54,MIN(MATCH(MIN(MAX(AR36,30),120),Input!$C$48:$C$54,1),6)))/(INDEX(Input!$C$48:$C$54,MIN(MATCH(MIN(MAX(AR36,30),120),Input!$C$48:$C$54,1),6)+1)-INDEX(Input!$C$48:$C$54,MIN(MATCH(MIN(MAX(AR36,30),120),Input!$C$48:$C$54,1),6)))*(INDEX(Input!$Q$48:$Q$54,MIN(MATCH(MIN(MAX(AR36,30),120),Input!$C$48:$C$54,1),6)+1)-INDEX(Input!$Q$48:$Q$54,MIN(MATCH(MIN(MAX(AR36,30),120),Input!$C$48:$C$54,1),6)))))</f>
        <v/>
      </c>
      <c r="BM36" s="68">
        <f>IF(OR(AM36="Sand",BF36=0),0,Input!$AA$38*(AK36/2)^2/(BL36*1E-4*31536000))</f>
        <v/>
      </c>
      <c r="BN36" s="68">
        <f>MAX(0,MIN(AJ36,Input!$AA$20)-AI36)</f>
        <v/>
      </c>
      <c r="BO36" s="68">
        <f>MAX(0,MIN(AJ36,Input!$AA$20)-MAX(AI36,$AA$22))</f>
        <v/>
      </c>
      <c r="BP36" s="68">
        <f>MAX(0,MIN(AJ36,$AA$225)-AI36)</f>
        <v/>
      </c>
      <c r="BQ36" s="68" t="inlineStr"/>
    </row>
    <row r="37">
      <c r="B37" s="9" t="n"/>
      <c r="C37" s="57" t="n">
        <v>10</v>
      </c>
      <c r="D37" s="41" t="n"/>
      <c r="E37" s="55">
        <f>AI37</f>
        <v/>
      </c>
      <c r="F37" s="41" t="n"/>
      <c r="G37" s="41" t="n"/>
      <c r="H37" s="55">
        <f>AJ37</f>
        <v/>
      </c>
      <c r="I37" s="41" t="n"/>
      <c r="J37" s="41" t="n"/>
      <c r="K37" s="52">
        <f>AM37</f>
        <v/>
      </c>
      <c r="L37" s="41" t="n"/>
      <c r="M37" s="41" t="n"/>
      <c r="N37" s="57">
        <f>AN37</f>
        <v/>
      </c>
      <c r="O37" s="41" t="n"/>
      <c r="P37" s="41" t="n"/>
      <c r="Q37" s="53">
        <f>AO37</f>
        <v/>
      </c>
      <c r="R37" s="41" t="n"/>
      <c r="S37" s="41" t="n"/>
      <c r="T37" s="57">
        <f>IF(AR37="","-",AR37)</f>
        <v/>
      </c>
      <c r="U37" s="41" t="n"/>
      <c r="V37" s="57">
        <f>IF(AT37="","-",AT37)</f>
        <v/>
      </c>
      <c r="W37" s="41" t="n"/>
      <c r="X37" s="55">
        <f>AU37</f>
        <v/>
      </c>
      <c r="Y37" s="41" t="n"/>
      <c r="Z37" s="66">
        <f>AV37</f>
        <v/>
      </c>
      <c r="AA37" s="41" t="n"/>
      <c r="AB37" s="41" t="n"/>
      <c r="AC37" s="53">
        <f>AW37</f>
        <v/>
      </c>
      <c r="AD37" s="41" t="n"/>
      <c r="AE37" s="41" t="n"/>
      <c r="AF37" s="15" t="n"/>
      <c r="AI37" s="67" t="n">
        <v>13.5</v>
      </c>
      <c r="AJ37" s="67" t="n">
        <v>15</v>
      </c>
      <c r="AK37" s="68">
        <f>AJ37-AI37</f>
        <v/>
      </c>
      <c r="AL37" s="68">
        <f>(AI37+AJ37)/2</f>
        <v/>
      </c>
      <c r="AM37" s="67" t="inlineStr">
        <is>
          <t>Clay</t>
        </is>
      </c>
      <c r="AN37" s="67" t="n">
        <v>15</v>
      </c>
      <c r="AO37" s="68">
        <f>IF(AL37&gt;$AA$19,$AA$21,$AA$20)</f>
        <v/>
      </c>
      <c r="AP37" s="68">
        <f>AP36+AO37*AK37</f>
        <v/>
      </c>
      <c r="AQ37" s="68">
        <f>AP37-AO37*AK37/2-10*MAX(AL37-$AA$19,0)</f>
        <v/>
      </c>
      <c r="AR37" s="67" t="n">
        <v>27.215</v>
      </c>
      <c r="AS37" s="67" t="n">
        <v>16.985</v>
      </c>
      <c r="AT37" s="68">
        <f>IF(AR37="","",AR37-AS37)</f>
        <v/>
      </c>
      <c r="AU37" s="67" t="n">
        <v>0.572</v>
      </c>
      <c r="AV37" s="68">
        <f>IF(AM37="Sand",0,Input!$AA$31*AN37)</f>
        <v/>
      </c>
      <c r="AW37" s="68">
        <f>IF(AM37="Sand",27.1+0.3*MIN(Input!$AA$32*AN37,60)-0.00054*MIN(Input!$AA$32*AN37,60)^2,MIN(MAX(DEGREES(ASIN(0.8-0.094*LN(MAX(IF(AT37="",10,AT37),5)))),20),30))</f>
        <v/>
      </c>
      <c r="AX37" s="68">
        <f>IF(AM37="Sand",Input!$AA$33*Input!$AA$32*AN37,Input!$AA$34*AV37)</f>
        <v/>
      </c>
      <c r="AY37" s="68">
        <f>IF(AM37="Sand",Input!$AA$35,0.5)</f>
        <v/>
      </c>
      <c r="AZ37" s="68">
        <f>Input!$AA$15/2/AL37</f>
        <v/>
      </c>
      <c r="BA37" s="68">
        <f>Input!$AA$16/2/AL37</f>
        <v/>
      </c>
      <c r="BB37" s="68">
        <f>1/(4*PI())*(2*AZ37*BA37*SQRT(AZ37^2+BA37^2+1)/(AZ37^2+BA37^2+1+AZ37^2*BA37^2)*(AZ37^2+BA37^2+2)/(AZ37^2+BA37^2+1)+ATAN2(AZ37^2+BA37^2+1-AZ37^2*BA37^2,2*AZ37*BA37*SQRT(AZ37^2+BA37^2+1)))</f>
        <v/>
      </c>
      <c r="BC37" s="68">
        <f>4*Input!$AA$14*BB37</f>
        <v/>
      </c>
      <c r="BD37" s="68">
        <f>((Input!$AA$16/Input!$AA$15)*LN((1+SQRT((Input!$AA$16/Input!$AA$15)^2+1))*SQRT((Input!$AA$16/Input!$AA$15)^2+(AJ37/(Input!$AA$15/2))^2)/((Input!$AA$16/Input!$AA$15)*(1+SQRT((Input!$AA$16/Input!$AA$15)^2+(AJ37/(Input!$AA$15/2))^2+1))))+LN(((Input!$AA$16/Input!$AA$15)+SQRT((Input!$AA$16/Input!$AA$15)^2+1))*SQRT(1+(AJ37/(Input!$AA$15/2))^2)/((Input!$AA$16/Input!$AA$15)+SQRT((Input!$AA$16/Input!$AA$15)^2+(AJ37/(Input!$AA$15/2))^2+1))))/PI()</f>
        <v/>
      </c>
      <c r="BE37" s="68">
        <f>(AJ37/(Input!$AA$15/2))/(2*PI())*ATAN((Input!$AA$16/Input!$AA$15)/((AJ37/(Input!$AA$15/2))*SQRT((Input!$AA$16/Input!$AA$15)^2+(AJ37/(Input!$AA$15/2))^2+1)))</f>
        <v/>
      </c>
      <c r="BF37" s="68">
        <f>MAX(0,AJ37-MAX(AI37,$AA$22))/AK37*IF(BC37&gt;=Input!$AA$21*AQ37,1,0)</f>
        <v/>
      </c>
      <c r="BG37" s="68">
        <f>4*Input!$AA$14*(Input!$AA$15/2)*(1-AY37^2)/AX37*((BD37-BD36)+(1-2*AY37)/(1-AY37)*(BE37-BE36))*1000*BF37</f>
        <v/>
      </c>
      <c r="BH37" s="68">
        <f>IF(AM37="Sand",0,0.009*(AR37-10))</f>
        <v/>
      </c>
      <c r="BI37" s="68">
        <f>BH37*Input!$AA$36</f>
        <v/>
      </c>
      <c r="BJ37" s="68">
        <f>IF(AM37="Sand",0,MAX(AV37/Input!$AA$37,AQ37))</f>
        <v/>
      </c>
      <c r="BK37" s="68">
        <f>IF(AM37="Sand",0,1000*AK37/(1+AU37)*IF(AQ37+BC37&lt;=BJ37,BI37*LOG10((AQ37+BC37)/AQ37),BI37*LOG10(BJ37/AQ37)+BH37*LOG10((AQ37+BC37)/BJ37)))*BF37</f>
        <v/>
      </c>
      <c r="BL37" s="68">
        <f>IF(AM37="Sand",0,10^(INDEX(Input!$Q$48:$Q$54,MIN(MATCH(MIN(MAX(AR37,30),120),Input!$C$48:$C$54,1),6))+(MIN(MAX(AR37,30),120)-INDEX(Input!$C$48:$C$54,MIN(MATCH(MIN(MAX(AR37,30),120),Input!$C$48:$C$54,1),6)))/(INDEX(Input!$C$48:$C$54,MIN(MATCH(MIN(MAX(AR37,30),120),Input!$C$48:$C$54,1),6)+1)-INDEX(Input!$C$48:$C$54,MIN(MATCH(MIN(MAX(AR37,30),120),Input!$C$48:$C$54,1),6)))*(INDEX(Input!$Q$48:$Q$54,MIN(MATCH(MIN(MAX(AR37,30),120),Input!$C$48:$C$54,1),6)+1)-INDEX(Input!$Q$48:$Q$54,MIN(MATCH(MIN(MAX(AR37,30),120),Input!$C$48:$C$54,1),6)))))</f>
        <v/>
      </c>
      <c r="BM37" s="68">
        <f>IF(OR(AM37="Sand",BF37=0),0,Input!$AA$38*(AK37/2)^2/(BL37*1E-4*31536000))</f>
        <v/>
      </c>
      <c r="BN37" s="68">
        <f>MAX(0,MIN(AJ37,Input!$AA$20)-AI37)</f>
        <v/>
      </c>
      <c r="BO37" s="68">
        <f>MAX(0,MIN(AJ37,Input!$AA$20)-MAX(AI37,$AA$22))</f>
        <v/>
      </c>
      <c r="BP37" s="68">
        <f>MAX(0,MIN(AJ37,$AA$225)-AI37)</f>
        <v/>
      </c>
      <c r="BQ37" s="68" t="inlineStr"/>
    </row>
    <row r="38">
      <c r="B38" s="9" t="n"/>
      <c r="C38" s="57" t="n">
        <v>11</v>
      </c>
      <c r="D38" s="41" t="n"/>
      <c r="E38" s="55">
        <f>AI38</f>
        <v/>
      </c>
      <c r="F38" s="41" t="n"/>
      <c r="G38" s="41" t="n"/>
      <c r="H38" s="55">
        <f>AJ38</f>
        <v/>
      </c>
      <c r="I38" s="41" t="n"/>
      <c r="J38" s="41" t="n"/>
      <c r="K38" s="52">
        <f>AM38</f>
        <v/>
      </c>
      <c r="L38" s="41" t="n"/>
      <c r="M38" s="41" t="n"/>
      <c r="N38" s="57">
        <f>AN38</f>
        <v/>
      </c>
      <c r="O38" s="41" t="n"/>
      <c r="P38" s="41" t="n"/>
      <c r="Q38" s="53">
        <f>AO38</f>
        <v/>
      </c>
      <c r="R38" s="41" t="n"/>
      <c r="S38" s="41" t="n"/>
      <c r="T38" s="57">
        <f>IF(AR38="","-",AR38)</f>
        <v/>
      </c>
      <c r="U38" s="41" t="n"/>
      <c r="V38" s="57">
        <f>IF(AT38="","-",AT38)</f>
        <v/>
      </c>
      <c r="W38" s="41" t="n"/>
      <c r="X38" s="55">
        <f>AU38</f>
        <v/>
      </c>
      <c r="Y38" s="41" t="n"/>
      <c r="Z38" s="66">
        <f>AV38</f>
        <v/>
      </c>
      <c r="AA38" s="41" t="n"/>
      <c r="AB38" s="41" t="n"/>
      <c r="AC38" s="53">
        <f>AW38</f>
        <v/>
      </c>
      <c r="AD38" s="41" t="n"/>
      <c r="AE38" s="41" t="n"/>
      <c r="AF38" s="15" t="n"/>
      <c r="AI38" s="67" t="n">
        <v>15</v>
      </c>
      <c r="AJ38" s="67" t="n">
        <v>16.5</v>
      </c>
      <c r="AK38" s="68">
        <f>AJ38-AI38</f>
        <v/>
      </c>
      <c r="AL38" s="68">
        <f>(AI38+AJ38)/2</f>
        <v/>
      </c>
      <c r="AM38" s="67" t="inlineStr">
        <is>
          <t>Clay</t>
        </is>
      </c>
      <c r="AN38" s="67" t="n">
        <v>15</v>
      </c>
      <c r="AO38" s="68">
        <f>IF(AL38&gt;$AA$19,$AA$21,$AA$20)</f>
        <v/>
      </c>
      <c r="AP38" s="68">
        <f>AP37+AO38*AK38</f>
        <v/>
      </c>
      <c r="AQ38" s="68">
        <f>AP38-AO38*AK38/2-10*MAX(AL38-$AA$19,0)</f>
        <v/>
      </c>
      <c r="AR38" s="67" t="n">
        <v>28.071</v>
      </c>
      <c r="AS38" s="67" t="n">
        <v>18.832</v>
      </c>
      <c r="AT38" s="68">
        <f>IF(AR38="","",AR38-AS38)</f>
        <v/>
      </c>
      <c r="AU38" s="67" t="n">
        <v>0.59</v>
      </c>
      <c r="AV38" s="68">
        <f>IF(AM38="Sand",0,Input!$AA$31*AN38)</f>
        <v/>
      </c>
      <c r="AW38" s="68">
        <f>IF(AM38="Sand",27.1+0.3*MIN(Input!$AA$32*AN38,60)-0.00054*MIN(Input!$AA$32*AN38,60)^2,MIN(MAX(DEGREES(ASIN(0.8-0.094*LN(MAX(IF(AT38="",10,AT38),5)))),20),30))</f>
        <v/>
      </c>
      <c r="AX38" s="68">
        <f>IF(AM38="Sand",Input!$AA$33*Input!$AA$32*AN38,Input!$AA$34*AV38)</f>
        <v/>
      </c>
      <c r="AY38" s="68">
        <f>IF(AM38="Sand",Input!$AA$35,0.5)</f>
        <v/>
      </c>
      <c r="AZ38" s="68">
        <f>Input!$AA$15/2/AL38</f>
        <v/>
      </c>
      <c r="BA38" s="68">
        <f>Input!$AA$16/2/AL38</f>
        <v/>
      </c>
      <c r="BB38" s="68">
        <f>1/(4*PI())*(2*AZ38*BA38*SQRT(AZ38^2+BA38^2+1)/(AZ38^2+BA38^2+1+AZ38^2*BA38^2)*(AZ38^2+BA38^2+2)/(AZ38^2+BA38^2+1)+ATAN2(AZ38^2+BA38^2+1-AZ38^2*BA38^2,2*AZ38*BA38*SQRT(AZ38^2+BA38^2+1)))</f>
        <v/>
      </c>
      <c r="BC38" s="68">
        <f>4*Input!$AA$14*BB38</f>
        <v/>
      </c>
      <c r="BD38" s="68">
        <f>((Input!$AA$16/Input!$AA$15)*LN((1+SQRT((Input!$AA$16/Input!$AA$15)^2+1))*SQRT((Input!$AA$16/Input!$AA$15)^2+(AJ38/(Input!$AA$15/2))^2)/((Input!$AA$16/Input!$AA$15)*(1+SQRT((Input!$AA$16/Input!$AA$15)^2+(AJ38/(Input!$AA$15/2))^2+1))))+LN(((Input!$AA$16/Input!$AA$15)+SQRT((Input!$AA$16/Input!$AA$15)^2+1))*SQRT(1+(AJ38/(Input!$AA$15/2))^2)/((Input!$AA$16/Input!$AA$15)+SQRT((Input!$AA$16/Input!$AA$15)^2+(AJ38/(Input!$AA$15/2))^2+1))))/PI()</f>
        <v/>
      </c>
      <c r="BE38" s="68">
        <f>(AJ38/(Input!$AA$15/2))/(2*PI())*ATAN((Input!$AA$16/Input!$AA$15)/((AJ38/(Input!$AA$15/2))*SQRT((Input!$AA$16/Input!$AA$15)^2+(AJ38/(Input!$AA$15/2))^2+1)))</f>
        <v/>
      </c>
      <c r="BF38" s="68">
        <f>MAX(0,AJ38-MAX(AI38,$AA$22))/AK38*IF(BC38&gt;=Input!$AA$21*AQ38,1,0)</f>
        <v/>
      </c>
      <c r="BG38" s="68">
        <f>4*Input!$AA$14*(Input!$AA$15/2)*(1-AY38^2)/AX38*((BD38-BD37)+(1-2*AY38)/(1-AY38)*(BE38-BE37))*1000*BF38</f>
        <v/>
      </c>
      <c r="BH38" s="68">
        <f>IF(AM38="Sand",0,0.009*(AR38-10))</f>
        <v/>
      </c>
      <c r="BI38" s="68">
        <f>BH38*Input!$AA$36</f>
        <v/>
      </c>
      <c r="BJ38" s="68">
        <f>IF(AM38="Sand",0,MAX(AV38/Input!$AA$37,AQ38))</f>
        <v/>
      </c>
      <c r="BK38" s="68">
        <f>IF(AM38="Sand",0,1000*AK38/(1+AU38)*IF(AQ38+BC38&lt;=BJ38,BI38*LOG10((AQ38+BC38)/AQ38),BI38*LOG10(BJ38/AQ38)+BH38*LOG10((AQ38+BC38)/BJ38)))*BF38</f>
        <v/>
      </c>
      <c r="BL38" s="68">
        <f>IF(AM38="Sand",0,10^(INDEX(Input!$Q$48:$Q$54,MIN(MATCH(MIN(MAX(AR38,30),120),Input!$C$48:$C$54,1),6))+(MIN(MAX(AR38,30),120)-INDEX(Input!$C$48:$C$54,MIN(MATCH(MIN(MAX(AR38,30),120),Input!$C$48:$C$54,1),6)))/(INDEX(Input!$C$48:$C$54,MIN(MATCH(MIN(MAX(AR38,30),120),Input!$C$48:$C$54,1),6)+1)-INDEX(Input!$C$48:$C$54,MIN(MATCH(MIN(MAX(AR38,30),120),Input!$C$48:$C$54,1),6)))*(INDEX(Input!$Q$48:$Q$54,MIN(MATCH(MIN(MAX(AR38,30),120),Input!$C$48:$C$54,1),6)+1)-INDEX(Input!$Q$48:$Q$54,MIN(MATCH(MIN(MAX(AR38,30),120),Input!$C$48:$C$54,1),6)))))</f>
        <v/>
      </c>
      <c r="BM38" s="68">
        <f>IF(OR(AM38="Sand",BF38=0),0,Input!$AA$38*(AK38/2)^2/(BL38*1E-4*31536000))</f>
        <v/>
      </c>
      <c r="BN38" s="68">
        <f>MAX(0,MIN(AJ38,Input!$AA$20)-AI38)</f>
        <v/>
      </c>
      <c r="BO38" s="68">
        <f>MAX(0,MIN(AJ38,Input!$AA$20)-MAX(AI38,$AA$22))</f>
        <v/>
      </c>
      <c r="BP38" s="68">
        <f>MAX(0,MIN(AJ38,$AA$225)-AI38)</f>
        <v/>
      </c>
      <c r="BQ38" s="68" t="inlineStr">
        <is>
          <t>LL/PL/e0 = borehole average</t>
        </is>
      </c>
    </row>
    <row r="39">
      <c r="B39" s="9" t="n"/>
      <c r="C39" s="57" t="n">
        <v>12</v>
      </c>
      <c r="D39" s="41" t="n"/>
      <c r="E39" s="55">
        <f>AI39</f>
        <v/>
      </c>
      <c r="F39" s="41" t="n"/>
      <c r="G39" s="41" t="n"/>
      <c r="H39" s="55">
        <f>AJ39</f>
        <v/>
      </c>
      <c r="I39" s="41" t="n"/>
      <c r="J39" s="41" t="n"/>
      <c r="K39" s="52">
        <f>AM39</f>
        <v/>
      </c>
      <c r="L39" s="41" t="n"/>
      <c r="M39" s="41" t="n"/>
      <c r="N39" s="57">
        <f>AN39</f>
        <v/>
      </c>
      <c r="O39" s="41" t="n"/>
      <c r="P39" s="41" t="n"/>
      <c r="Q39" s="53">
        <f>AO39</f>
        <v/>
      </c>
      <c r="R39" s="41" t="n"/>
      <c r="S39" s="41" t="n"/>
      <c r="T39" s="57">
        <f>IF(AR39="","-",AR39)</f>
        <v/>
      </c>
      <c r="U39" s="41" t="n"/>
      <c r="V39" s="57">
        <f>IF(AT39="","-",AT39)</f>
        <v/>
      </c>
      <c r="W39" s="41" t="n"/>
      <c r="X39" s="55">
        <f>AU39</f>
        <v/>
      </c>
      <c r="Y39" s="41" t="n"/>
      <c r="Z39" s="66">
        <f>AV39</f>
        <v/>
      </c>
      <c r="AA39" s="41" t="n"/>
      <c r="AB39" s="41" t="n"/>
      <c r="AC39" s="53">
        <f>AW39</f>
        <v/>
      </c>
      <c r="AD39" s="41" t="n"/>
      <c r="AE39" s="41" t="n"/>
      <c r="AF39" s="15" t="n"/>
      <c r="AI39" s="67" t="n">
        <v>16.5</v>
      </c>
      <c r="AJ39" s="67" t="n">
        <v>18</v>
      </c>
      <c r="AK39" s="68">
        <f>AJ39-AI39</f>
        <v/>
      </c>
      <c r="AL39" s="68">
        <f>(AI39+AJ39)/2</f>
        <v/>
      </c>
      <c r="AM39" s="67" t="inlineStr">
        <is>
          <t>Silt</t>
        </is>
      </c>
      <c r="AN39" s="67" t="n">
        <v>21</v>
      </c>
      <c r="AO39" s="68">
        <f>IF(AL39&gt;$AA$19,$AA$21,$AA$20)</f>
        <v/>
      </c>
      <c r="AP39" s="68">
        <f>AP38+AO39*AK39</f>
        <v/>
      </c>
      <c r="AQ39" s="68">
        <f>AP39-AO39*AK39/2-10*MAX(AL39-$AA$19,0)</f>
        <v/>
      </c>
      <c r="AR39" s="67" t="n">
        <v>22.65</v>
      </c>
      <c r="AS39" s="67" t="n">
        <v>16.37</v>
      </c>
      <c r="AT39" s="68">
        <f>IF(AR39="","",AR39-AS39)</f>
        <v/>
      </c>
      <c r="AU39" s="67" t="n">
        <v>0.571</v>
      </c>
      <c r="AV39" s="68">
        <f>IF(AM39="Sand",0,Input!$AA$31*AN39)</f>
        <v/>
      </c>
      <c r="AW39" s="68">
        <f>IF(AM39="Sand",27.1+0.3*MIN(Input!$AA$32*AN39,60)-0.00054*MIN(Input!$AA$32*AN39,60)^2,MIN(MAX(DEGREES(ASIN(0.8-0.094*LN(MAX(IF(AT39="",10,AT39),5)))),20),30))</f>
        <v/>
      </c>
      <c r="AX39" s="68">
        <f>IF(AM39="Sand",Input!$AA$33*Input!$AA$32*AN39,Input!$AA$34*AV39)</f>
        <v/>
      </c>
      <c r="AY39" s="68">
        <f>IF(AM39="Sand",Input!$AA$35,0.5)</f>
        <v/>
      </c>
      <c r="AZ39" s="68">
        <f>Input!$AA$15/2/AL39</f>
        <v/>
      </c>
      <c r="BA39" s="68">
        <f>Input!$AA$16/2/AL39</f>
        <v/>
      </c>
      <c r="BB39" s="68">
        <f>1/(4*PI())*(2*AZ39*BA39*SQRT(AZ39^2+BA39^2+1)/(AZ39^2+BA39^2+1+AZ39^2*BA39^2)*(AZ39^2+BA39^2+2)/(AZ39^2+BA39^2+1)+ATAN2(AZ39^2+BA39^2+1-AZ39^2*BA39^2,2*AZ39*BA39*SQRT(AZ39^2+BA39^2+1)))</f>
        <v/>
      </c>
      <c r="BC39" s="68">
        <f>4*Input!$AA$14*BB39</f>
        <v/>
      </c>
      <c r="BD39" s="68">
        <f>((Input!$AA$16/Input!$AA$15)*LN((1+SQRT((Input!$AA$16/Input!$AA$15)^2+1))*SQRT((Input!$AA$16/Input!$AA$15)^2+(AJ39/(Input!$AA$15/2))^2)/((Input!$AA$16/Input!$AA$15)*(1+SQRT((Input!$AA$16/Input!$AA$15)^2+(AJ39/(Input!$AA$15/2))^2+1))))+LN(((Input!$AA$16/Input!$AA$15)+SQRT((Input!$AA$16/Input!$AA$15)^2+1))*SQRT(1+(AJ39/(Input!$AA$15/2))^2)/((Input!$AA$16/Input!$AA$15)+SQRT((Input!$AA$16/Input!$AA$15)^2+(AJ39/(Input!$AA$15/2))^2+1))))/PI()</f>
        <v/>
      </c>
      <c r="BE39" s="68">
        <f>(AJ39/(Input!$AA$15/2))/(2*PI())*ATAN((Input!$AA$16/Input!$AA$15)/((AJ39/(Input!$AA$15/2))*SQRT((Input!$AA$16/Input!$AA$15)^2+(AJ39/(Input!$AA$15/2))^2+1)))</f>
        <v/>
      </c>
      <c r="BF39" s="68">
        <f>MAX(0,AJ39-MAX(AI39,$AA$22))/AK39*IF(BC39&gt;=Input!$AA$21*AQ39,1,0)</f>
        <v/>
      </c>
      <c r="BG39" s="68">
        <f>4*Input!$AA$14*(Input!$AA$15/2)*(1-AY39^2)/AX39*((BD39-BD38)+(1-2*AY39)/(1-AY39)*(BE39-BE38))*1000*BF39</f>
        <v/>
      </c>
      <c r="BH39" s="68">
        <f>IF(AM39="Sand",0,0.009*(AR39-10))</f>
        <v/>
      </c>
      <c r="BI39" s="68">
        <f>BH39*Input!$AA$36</f>
        <v/>
      </c>
      <c r="BJ39" s="68">
        <f>IF(AM39="Sand",0,MAX(AV39/Input!$AA$37,AQ39))</f>
        <v/>
      </c>
      <c r="BK39" s="68">
        <f>IF(AM39="Sand",0,1000*AK39/(1+AU39)*IF(AQ39+BC39&lt;=BJ39,BI39*LOG10((AQ39+BC39)/AQ39),BI39*LOG10(BJ39/AQ39)+BH39*LOG10((AQ39+BC39)/BJ39)))*BF39</f>
        <v/>
      </c>
      <c r="BL39" s="68">
        <f>IF(AM39="Sand",0,10^(INDEX(Input!$Q$48:$Q$54,MIN(MATCH(MIN(MAX(AR39,30),120),Input!$C$48:$C$54,1),6))+(MIN(MAX(AR39,30),120)-INDEX(Input!$C$48:$C$54,MIN(MATCH(MIN(MAX(AR39,30),120),Input!$C$48:$C$54,1),6)))/(INDEX(Input!$C$48:$C$54,MIN(MATCH(MIN(MAX(AR39,30),120),Input!$C$48:$C$54,1),6)+1)-INDEX(Input!$C$48:$C$54,MIN(MATCH(MIN(MAX(AR39,30),120),Input!$C$48:$C$54,1),6)))*(INDEX(Input!$Q$48:$Q$54,MIN(MATCH(MIN(MAX(AR39,30),120),Input!$C$48:$C$54,1),6)+1)-INDEX(Input!$Q$48:$Q$54,MIN(MATCH(MIN(MAX(AR39,30),120),Input!$C$48:$C$54,1),6)))))</f>
        <v/>
      </c>
      <c r="BM39" s="68">
        <f>IF(OR(AM39="Sand",BF39=0),0,Input!$AA$38*(AK39/2)^2/(BL39*1E-4*31536000))</f>
        <v/>
      </c>
      <c r="BN39" s="68">
        <f>MAX(0,MIN(AJ39,Input!$AA$20)-AI39)</f>
        <v/>
      </c>
      <c r="BO39" s="68">
        <f>MAX(0,MIN(AJ39,Input!$AA$20)-MAX(AI39,$AA$22))</f>
        <v/>
      </c>
      <c r="BP39" s="68">
        <f>MAX(0,MIN(AJ39,$AA$225)-AI39)</f>
        <v/>
      </c>
      <c r="BQ39" s="68" t="inlineStr"/>
    </row>
    <row r="40">
      <c r="B40" s="9" t="n"/>
      <c r="C40" s="57" t="n">
        <v>13</v>
      </c>
      <c r="D40" s="41" t="n"/>
      <c r="E40" s="55">
        <f>AI40</f>
        <v/>
      </c>
      <c r="F40" s="41" t="n"/>
      <c r="G40" s="41" t="n"/>
      <c r="H40" s="55">
        <f>AJ40</f>
        <v/>
      </c>
      <c r="I40" s="41" t="n"/>
      <c r="J40" s="41" t="n"/>
      <c r="K40" s="52">
        <f>AM40</f>
        <v/>
      </c>
      <c r="L40" s="41" t="n"/>
      <c r="M40" s="41" t="n"/>
      <c r="N40" s="57">
        <f>AN40</f>
        <v/>
      </c>
      <c r="O40" s="41" t="n"/>
      <c r="P40" s="41" t="n"/>
      <c r="Q40" s="53">
        <f>AO40</f>
        <v/>
      </c>
      <c r="R40" s="41" t="n"/>
      <c r="S40" s="41" t="n"/>
      <c r="T40" s="57">
        <f>IF(AR40="","-",AR40)</f>
        <v/>
      </c>
      <c r="U40" s="41" t="n"/>
      <c r="V40" s="57">
        <f>IF(AT40="","-",AT40)</f>
        <v/>
      </c>
      <c r="W40" s="41" t="n"/>
      <c r="X40" s="55">
        <f>AU40</f>
        <v/>
      </c>
      <c r="Y40" s="41" t="n"/>
      <c r="Z40" s="66">
        <f>AV40</f>
        <v/>
      </c>
      <c r="AA40" s="41" t="n"/>
      <c r="AB40" s="41" t="n"/>
      <c r="AC40" s="53">
        <f>AW40</f>
        <v/>
      </c>
      <c r="AD40" s="41" t="n"/>
      <c r="AE40" s="41" t="n"/>
      <c r="AF40" s="15" t="n"/>
      <c r="AI40" s="67" t="n">
        <v>18</v>
      </c>
      <c r="AJ40" s="67" t="n">
        <v>19.5</v>
      </c>
      <c r="AK40" s="68">
        <f>AJ40-AI40</f>
        <v/>
      </c>
      <c r="AL40" s="68">
        <f>(AI40+AJ40)/2</f>
        <v/>
      </c>
      <c r="AM40" s="67" t="inlineStr">
        <is>
          <t>Sand</t>
        </is>
      </c>
      <c r="AN40" s="67" t="n">
        <v>18</v>
      </c>
      <c r="AO40" s="68">
        <f>IF(AL40&gt;$AA$19,$AA$21,$AA$20)</f>
        <v/>
      </c>
      <c r="AP40" s="68">
        <f>AP39+AO40*AK40</f>
        <v/>
      </c>
      <c r="AQ40" s="68">
        <f>AP40-AO40*AK40/2-10*MAX(AL40-$AA$19,0)</f>
        <v/>
      </c>
      <c r="AR40" s="67" t="n"/>
      <c r="AS40" s="67" t="n"/>
      <c r="AT40" s="68">
        <f>IF(AR40="","",AR40-AS40)</f>
        <v/>
      </c>
      <c r="AU40" s="67" t="n">
        <v>0.497</v>
      </c>
      <c r="AV40" s="68">
        <f>IF(AM40="Sand",0,Input!$AA$31*AN40)</f>
        <v/>
      </c>
      <c r="AW40" s="68">
        <f>IF(AM40="Sand",27.1+0.3*MIN(Input!$AA$32*AN40,60)-0.00054*MIN(Input!$AA$32*AN40,60)^2,MIN(MAX(DEGREES(ASIN(0.8-0.094*LN(MAX(IF(AT40="",10,AT40),5)))),20),30))</f>
        <v/>
      </c>
      <c r="AX40" s="68">
        <f>IF(AM40="Sand",Input!$AA$33*Input!$AA$32*AN40,Input!$AA$34*AV40)</f>
        <v/>
      </c>
      <c r="AY40" s="68">
        <f>IF(AM40="Sand",Input!$AA$35,0.5)</f>
        <v/>
      </c>
      <c r="AZ40" s="68">
        <f>Input!$AA$15/2/AL40</f>
        <v/>
      </c>
      <c r="BA40" s="68">
        <f>Input!$AA$16/2/AL40</f>
        <v/>
      </c>
      <c r="BB40" s="68">
        <f>1/(4*PI())*(2*AZ40*BA40*SQRT(AZ40^2+BA40^2+1)/(AZ40^2+BA40^2+1+AZ40^2*BA40^2)*(AZ40^2+BA40^2+2)/(AZ40^2+BA40^2+1)+ATAN2(AZ40^2+BA40^2+1-AZ40^2*BA40^2,2*AZ40*BA40*SQRT(AZ40^2+BA40^2+1)))</f>
        <v/>
      </c>
      <c r="BC40" s="68">
        <f>4*Input!$AA$14*BB40</f>
        <v/>
      </c>
      <c r="BD40" s="68">
        <f>((Input!$AA$16/Input!$AA$15)*LN((1+SQRT((Input!$AA$16/Input!$AA$15)^2+1))*SQRT((Input!$AA$16/Input!$AA$15)^2+(AJ40/(Input!$AA$15/2))^2)/((Input!$AA$16/Input!$AA$15)*(1+SQRT((Input!$AA$16/Input!$AA$15)^2+(AJ40/(Input!$AA$15/2))^2+1))))+LN(((Input!$AA$16/Input!$AA$15)+SQRT((Input!$AA$16/Input!$AA$15)^2+1))*SQRT(1+(AJ40/(Input!$AA$15/2))^2)/((Input!$AA$16/Input!$AA$15)+SQRT((Input!$AA$16/Input!$AA$15)^2+(AJ40/(Input!$AA$15/2))^2+1))))/PI()</f>
        <v/>
      </c>
      <c r="BE40" s="68">
        <f>(AJ40/(Input!$AA$15/2))/(2*PI())*ATAN((Input!$AA$16/Input!$AA$15)/((AJ40/(Input!$AA$15/2))*SQRT((Input!$AA$16/Input!$AA$15)^2+(AJ40/(Input!$AA$15/2))^2+1)))</f>
        <v/>
      </c>
      <c r="BF40" s="68">
        <f>MAX(0,AJ40-MAX(AI40,$AA$22))/AK40*IF(BC40&gt;=Input!$AA$21*AQ40,1,0)</f>
        <v/>
      </c>
      <c r="BG40" s="68">
        <f>4*Input!$AA$14*(Input!$AA$15/2)*(1-AY40^2)/AX40*((BD40-BD39)+(1-2*AY40)/(1-AY40)*(BE40-BE39))*1000*BF40</f>
        <v/>
      </c>
      <c r="BH40" s="68">
        <f>IF(AM40="Sand",0,0.009*(AR40-10))</f>
        <v/>
      </c>
      <c r="BI40" s="68">
        <f>BH40*Input!$AA$36</f>
        <v/>
      </c>
      <c r="BJ40" s="68">
        <f>IF(AM40="Sand",0,MAX(AV40/Input!$AA$37,AQ40))</f>
        <v/>
      </c>
      <c r="BK40" s="68">
        <f>IF(AM40="Sand",0,1000*AK40/(1+AU40)*IF(AQ40+BC40&lt;=BJ40,BI40*LOG10((AQ40+BC40)/AQ40),BI40*LOG10(BJ40/AQ40)+BH40*LOG10((AQ40+BC40)/BJ40)))*BF40</f>
        <v/>
      </c>
      <c r="BL40" s="68">
        <f>IF(AM40="Sand",0,10^(INDEX(Input!$Q$48:$Q$54,MIN(MATCH(MIN(MAX(AR40,30),120),Input!$C$48:$C$54,1),6))+(MIN(MAX(AR40,30),120)-INDEX(Input!$C$48:$C$54,MIN(MATCH(MIN(MAX(AR40,30),120),Input!$C$48:$C$54,1),6)))/(INDEX(Input!$C$48:$C$54,MIN(MATCH(MIN(MAX(AR40,30),120),Input!$C$48:$C$54,1),6)+1)-INDEX(Input!$C$48:$C$54,MIN(MATCH(MIN(MAX(AR40,30),120),Input!$C$48:$C$54,1),6)))*(INDEX(Input!$Q$48:$Q$54,MIN(MATCH(MIN(MAX(AR40,30),120),Input!$C$48:$C$54,1),6)+1)-INDEX(Input!$Q$48:$Q$54,MIN(MATCH(MIN(MAX(AR40,30),120),Input!$C$48:$C$54,1),6)))))</f>
        <v/>
      </c>
      <c r="BM40" s="68">
        <f>IF(OR(AM40="Sand",BF40=0),0,Input!$AA$38*(AK40/2)^2/(BL40*1E-4*31536000))</f>
        <v/>
      </c>
      <c r="BN40" s="68">
        <f>MAX(0,MIN(AJ40,Input!$AA$20)-AI40)</f>
        <v/>
      </c>
      <c r="BO40" s="68">
        <f>MAX(0,MIN(AJ40,Input!$AA$20)-MAX(AI40,$AA$22))</f>
        <v/>
      </c>
      <c r="BP40" s="68">
        <f>MAX(0,MIN(AJ40,$AA$225)-AI40)</f>
        <v/>
      </c>
      <c r="BQ40" s="68" t="inlineStr"/>
    </row>
    <row r="41">
      <c r="B41" s="9" t="n"/>
      <c r="C41" s="57" t="n">
        <v>14</v>
      </c>
      <c r="D41" s="41" t="n"/>
      <c r="E41" s="55">
        <f>AI41</f>
        <v/>
      </c>
      <c r="F41" s="41" t="n"/>
      <c r="G41" s="41" t="n"/>
      <c r="H41" s="55">
        <f>AJ41</f>
        <v/>
      </c>
      <c r="I41" s="41" t="n"/>
      <c r="J41" s="41" t="n"/>
      <c r="K41" s="52">
        <f>AM41</f>
        <v/>
      </c>
      <c r="L41" s="41" t="n"/>
      <c r="M41" s="41" t="n"/>
      <c r="N41" s="57">
        <f>AN41</f>
        <v/>
      </c>
      <c r="O41" s="41" t="n"/>
      <c r="P41" s="41" t="n"/>
      <c r="Q41" s="53">
        <f>AO41</f>
        <v/>
      </c>
      <c r="R41" s="41" t="n"/>
      <c r="S41" s="41" t="n"/>
      <c r="T41" s="57">
        <f>IF(AR41="","-",AR41)</f>
        <v/>
      </c>
      <c r="U41" s="41" t="n"/>
      <c r="V41" s="57">
        <f>IF(AT41="","-",AT41)</f>
        <v/>
      </c>
      <c r="W41" s="41" t="n"/>
      <c r="X41" s="55">
        <f>AU41</f>
        <v/>
      </c>
      <c r="Y41" s="41" t="n"/>
      <c r="Z41" s="66">
        <f>AV41</f>
        <v/>
      </c>
      <c r="AA41" s="41" t="n"/>
      <c r="AB41" s="41" t="n"/>
      <c r="AC41" s="53">
        <f>AW41</f>
        <v/>
      </c>
      <c r="AD41" s="41" t="n"/>
      <c r="AE41" s="41" t="n"/>
      <c r="AF41" s="15" t="n"/>
      <c r="AI41" s="67" t="n">
        <v>19.5</v>
      </c>
      <c r="AJ41" s="67" t="n">
        <v>21</v>
      </c>
      <c r="AK41" s="68">
        <f>AJ41-AI41</f>
        <v/>
      </c>
      <c r="AL41" s="68">
        <f>(AI41+AJ41)/2</f>
        <v/>
      </c>
      <c r="AM41" s="67" t="inlineStr">
        <is>
          <t>Sand</t>
        </is>
      </c>
      <c r="AN41" s="67" t="n">
        <v>41</v>
      </c>
      <c r="AO41" s="68">
        <f>IF(AL41&gt;$AA$19,$AA$21,$AA$20)</f>
        <v/>
      </c>
      <c r="AP41" s="68">
        <f>AP40+AO41*AK41</f>
        <v/>
      </c>
      <c r="AQ41" s="68">
        <f>AP41-AO41*AK41/2-10*MAX(AL41-$AA$19,0)</f>
        <v/>
      </c>
      <c r="AR41" s="67" t="n"/>
      <c r="AS41" s="67" t="n"/>
      <c r="AT41" s="68">
        <f>IF(AR41="","",AR41-AS41)</f>
        <v/>
      </c>
      <c r="AU41" s="67" t="n">
        <v>0.476</v>
      </c>
      <c r="AV41" s="68">
        <f>IF(AM41="Sand",0,Input!$AA$31*AN41)</f>
        <v/>
      </c>
      <c r="AW41" s="68">
        <f>IF(AM41="Sand",27.1+0.3*MIN(Input!$AA$32*AN41,60)-0.00054*MIN(Input!$AA$32*AN41,60)^2,MIN(MAX(DEGREES(ASIN(0.8-0.094*LN(MAX(IF(AT41="",10,AT41),5)))),20),30))</f>
        <v/>
      </c>
      <c r="AX41" s="68">
        <f>IF(AM41="Sand",Input!$AA$33*Input!$AA$32*AN41,Input!$AA$34*AV41)</f>
        <v/>
      </c>
      <c r="AY41" s="68">
        <f>IF(AM41="Sand",Input!$AA$35,0.5)</f>
        <v/>
      </c>
      <c r="AZ41" s="68">
        <f>Input!$AA$15/2/AL41</f>
        <v/>
      </c>
      <c r="BA41" s="68">
        <f>Input!$AA$16/2/AL41</f>
        <v/>
      </c>
      <c r="BB41" s="68">
        <f>1/(4*PI())*(2*AZ41*BA41*SQRT(AZ41^2+BA41^2+1)/(AZ41^2+BA41^2+1+AZ41^2*BA41^2)*(AZ41^2+BA41^2+2)/(AZ41^2+BA41^2+1)+ATAN2(AZ41^2+BA41^2+1-AZ41^2*BA41^2,2*AZ41*BA41*SQRT(AZ41^2+BA41^2+1)))</f>
        <v/>
      </c>
      <c r="BC41" s="68">
        <f>4*Input!$AA$14*BB41</f>
        <v/>
      </c>
      <c r="BD41" s="68">
        <f>((Input!$AA$16/Input!$AA$15)*LN((1+SQRT((Input!$AA$16/Input!$AA$15)^2+1))*SQRT((Input!$AA$16/Input!$AA$15)^2+(AJ41/(Input!$AA$15/2))^2)/((Input!$AA$16/Input!$AA$15)*(1+SQRT((Input!$AA$16/Input!$AA$15)^2+(AJ41/(Input!$AA$15/2))^2+1))))+LN(((Input!$AA$16/Input!$AA$15)+SQRT((Input!$AA$16/Input!$AA$15)^2+1))*SQRT(1+(AJ41/(Input!$AA$15/2))^2)/((Input!$AA$16/Input!$AA$15)+SQRT((Input!$AA$16/Input!$AA$15)^2+(AJ41/(Input!$AA$15/2))^2+1))))/PI()</f>
        <v/>
      </c>
      <c r="BE41" s="68">
        <f>(AJ41/(Input!$AA$15/2))/(2*PI())*ATAN((Input!$AA$16/Input!$AA$15)/((AJ41/(Input!$AA$15/2))*SQRT((Input!$AA$16/Input!$AA$15)^2+(AJ41/(Input!$AA$15/2))^2+1)))</f>
        <v/>
      </c>
      <c r="BF41" s="68">
        <f>MAX(0,AJ41-MAX(AI41,$AA$22))/AK41*IF(BC41&gt;=Input!$AA$21*AQ41,1,0)</f>
        <v/>
      </c>
      <c r="BG41" s="68">
        <f>4*Input!$AA$14*(Input!$AA$15/2)*(1-AY41^2)/AX41*((BD41-BD40)+(1-2*AY41)/(1-AY41)*(BE41-BE40))*1000*BF41</f>
        <v/>
      </c>
      <c r="BH41" s="68">
        <f>IF(AM41="Sand",0,0.009*(AR41-10))</f>
        <v/>
      </c>
      <c r="BI41" s="68">
        <f>BH41*Input!$AA$36</f>
        <v/>
      </c>
      <c r="BJ41" s="68">
        <f>IF(AM41="Sand",0,MAX(AV41/Input!$AA$37,AQ41))</f>
        <v/>
      </c>
      <c r="BK41" s="68">
        <f>IF(AM41="Sand",0,1000*AK41/(1+AU41)*IF(AQ41+BC41&lt;=BJ41,BI41*LOG10((AQ41+BC41)/AQ41),BI41*LOG10(BJ41/AQ41)+BH41*LOG10((AQ41+BC41)/BJ41)))*BF41</f>
        <v/>
      </c>
      <c r="BL41" s="68">
        <f>IF(AM41="Sand",0,10^(INDEX(Input!$Q$48:$Q$54,MIN(MATCH(MIN(MAX(AR41,30),120),Input!$C$48:$C$54,1),6))+(MIN(MAX(AR41,30),120)-INDEX(Input!$C$48:$C$54,MIN(MATCH(MIN(MAX(AR41,30),120),Input!$C$48:$C$54,1),6)))/(INDEX(Input!$C$48:$C$54,MIN(MATCH(MIN(MAX(AR41,30),120),Input!$C$48:$C$54,1),6)+1)-INDEX(Input!$C$48:$C$54,MIN(MATCH(MIN(MAX(AR41,30),120),Input!$C$48:$C$54,1),6)))*(INDEX(Input!$Q$48:$Q$54,MIN(MATCH(MIN(MAX(AR41,30),120),Input!$C$48:$C$54,1),6)+1)-INDEX(Input!$Q$48:$Q$54,MIN(MATCH(MIN(MAX(AR41,30),120),Input!$C$48:$C$54,1),6)))))</f>
        <v/>
      </c>
      <c r="BM41" s="68">
        <f>IF(OR(AM41="Sand",BF41=0),0,Input!$AA$38*(AK41/2)^2/(BL41*1E-4*31536000))</f>
        <v/>
      </c>
      <c r="BN41" s="68">
        <f>MAX(0,MIN(AJ41,Input!$AA$20)-AI41)</f>
        <v/>
      </c>
      <c r="BO41" s="68">
        <f>MAX(0,MIN(AJ41,Input!$AA$20)-MAX(AI41,$AA$22))</f>
        <v/>
      </c>
      <c r="BP41" s="68">
        <f>MAX(0,MIN(AJ41,$AA$225)-AI41)</f>
        <v/>
      </c>
      <c r="BQ41" s="68" t="inlineStr"/>
    </row>
    <row r="42">
      <c r="B42" s="9" t="n"/>
      <c r="C42" s="57" t="n">
        <v>15</v>
      </c>
      <c r="D42" s="41" t="n"/>
      <c r="E42" s="55">
        <f>AI42</f>
        <v/>
      </c>
      <c r="F42" s="41" t="n"/>
      <c r="G42" s="41" t="n"/>
      <c r="H42" s="55">
        <f>AJ42</f>
        <v/>
      </c>
      <c r="I42" s="41" t="n"/>
      <c r="J42" s="41" t="n"/>
      <c r="K42" s="52">
        <f>AM42</f>
        <v/>
      </c>
      <c r="L42" s="41" t="n"/>
      <c r="M42" s="41" t="n"/>
      <c r="N42" s="57">
        <f>AN42</f>
        <v/>
      </c>
      <c r="O42" s="41" t="n"/>
      <c r="P42" s="41" t="n"/>
      <c r="Q42" s="53">
        <f>AO42</f>
        <v/>
      </c>
      <c r="R42" s="41" t="n"/>
      <c r="S42" s="41" t="n"/>
      <c r="T42" s="57">
        <f>IF(AR42="","-",AR42)</f>
        <v/>
      </c>
      <c r="U42" s="41" t="n"/>
      <c r="V42" s="57">
        <f>IF(AT42="","-",AT42)</f>
        <v/>
      </c>
      <c r="W42" s="41" t="n"/>
      <c r="X42" s="55">
        <f>AU42</f>
        <v/>
      </c>
      <c r="Y42" s="41" t="n"/>
      <c r="Z42" s="66">
        <f>AV42</f>
        <v/>
      </c>
      <c r="AA42" s="41" t="n"/>
      <c r="AB42" s="41" t="n"/>
      <c r="AC42" s="53">
        <f>AW42</f>
        <v/>
      </c>
      <c r="AD42" s="41" t="n"/>
      <c r="AE42" s="41" t="n"/>
      <c r="AF42" s="15" t="n"/>
      <c r="AI42" s="67" t="n">
        <v>21</v>
      </c>
      <c r="AJ42" s="67" t="n">
        <v>22.5</v>
      </c>
      <c r="AK42" s="68">
        <f>AJ42-AI42</f>
        <v/>
      </c>
      <c r="AL42" s="68">
        <f>(AI42+AJ42)/2</f>
        <v/>
      </c>
      <c r="AM42" s="67" t="inlineStr">
        <is>
          <t>Sand</t>
        </is>
      </c>
      <c r="AN42" s="67" t="n">
        <v>36</v>
      </c>
      <c r="AO42" s="68">
        <f>IF(AL42&gt;$AA$19,$AA$21,$AA$20)</f>
        <v/>
      </c>
      <c r="AP42" s="68">
        <f>AP41+AO42*AK42</f>
        <v/>
      </c>
      <c r="AQ42" s="68">
        <f>AP42-AO42*AK42/2-10*MAX(AL42-$AA$19,0)</f>
        <v/>
      </c>
      <c r="AR42" s="67" t="n"/>
      <c r="AS42" s="67" t="n"/>
      <c r="AT42" s="68">
        <f>IF(AR42="","",AR42-AS42)</f>
        <v/>
      </c>
      <c r="AU42" s="67" t="n">
        <v>0.65</v>
      </c>
      <c r="AV42" s="68">
        <f>IF(AM42="Sand",0,Input!$AA$31*AN42)</f>
        <v/>
      </c>
      <c r="AW42" s="68">
        <f>IF(AM42="Sand",27.1+0.3*MIN(Input!$AA$32*AN42,60)-0.00054*MIN(Input!$AA$32*AN42,60)^2,MIN(MAX(DEGREES(ASIN(0.8-0.094*LN(MAX(IF(AT42="",10,AT42),5)))),20),30))</f>
        <v/>
      </c>
      <c r="AX42" s="68">
        <f>IF(AM42="Sand",Input!$AA$33*Input!$AA$32*AN42,Input!$AA$34*AV42)</f>
        <v/>
      </c>
      <c r="AY42" s="68">
        <f>IF(AM42="Sand",Input!$AA$35,0.5)</f>
        <v/>
      </c>
      <c r="AZ42" s="68">
        <f>Input!$AA$15/2/AL42</f>
        <v/>
      </c>
      <c r="BA42" s="68">
        <f>Input!$AA$16/2/AL42</f>
        <v/>
      </c>
      <c r="BB42" s="68">
        <f>1/(4*PI())*(2*AZ42*BA42*SQRT(AZ42^2+BA42^2+1)/(AZ42^2+BA42^2+1+AZ42^2*BA42^2)*(AZ42^2+BA42^2+2)/(AZ42^2+BA42^2+1)+ATAN2(AZ42^2+BA42^2+1-AZ42^2*BA42^2,2*AZ42*BA42*SQRT(AZ42^2+BA42^2+1)))</f>
        <v/>
      </c>
      <c r="BC42" s="68">
        <f>4*Input!$AA$14*BB42</f>
        <v/>
      </c>
      <c r="BD42" s="68">
        <f>((Input!$AA$16/Input!$AA$15)*LN((1+SQRT((Input!$AA$16/Input!$AA$15)^2+1))*SQRT((Input!$AA$16/Input!$AA$15)^2+(AJ42/(Input!$AA$15/2))^2)/((Input!$AA$16/Input!$AA$15)*(1+SQRT((Input!$AA$16/Input!$AA$15)^2+(AJ42/(Input!$AA$15/2))^2+1))))+LN(((Input!$AA$16/Input!$AA$15)+SQRT((Input!$AA$16/Input!$AA$15)^2+1))*SQRT(1+(AJ42/(Input!$AA$15/2))^2)/((Input!$AA$16/Input!$AA$15)+SQRT((Input!$AA$16/Input!$AA$15)^2+(AJ42/(Input!$AA$15/2))^2+1))))/PI()</f>
        <v/>
      </c>
      <c r="BE42" s="68">
        <f>(AJ42/(Input!$AA$15/2))/(2*PI())*ATAN((Input!$AA$16/Input!$AA$15)/((AJ42/(Input!$AA$15/2))*SQRT((Input!$AA$16/Input!$AA$15)^2+(AJ42/(Input!$AA$15/2))^2+1)))</f>
        <v/>
      </c>
      <c r="BF42" s="68">
        <f>MAX(0,AJ42-MAX(AI42,$AA$22))/AK42*IF(BC42&gt;=Input!$AA$21*AQ42,1,0)</f>
        <v/>
      </c>
      <c r="BG42" s="68">
        <f>4*Input!$AA$14*(Input!$AA$15/2)*(1-AY42^2)/AX42*((BD42-BD41)+(1-2*AY42)/(1-AY42)*(BE42-BE41))*1000*BF42</f>
        <v/>
      </c>
      <c r="BH42" s="68">
        <f>IF(AM42="Sand",0,0.009*(AR42-10))</f>
        <v/>
      </c>
      <c r="BI42" s="68">
        <f>BH42*Input!$AA$36</f>
        <v/>
      </c>
      <c r="BJ42" s="68">
        <f>IF(AM42="Sand",0,MAX(AV42/Input!$AA$37,AQ42))</f>
        <v/>
      </c>
      <c r="BK42" s="68">
        <f>IF(AM42="Sand",0,1000*AK42/(1+AU42)*IF(AQ42+BC42&lt;=BJ42,BI42*LOG10((AQ42+BC42)/AQ42),BI42*LOG10(BJ42/AQ42)+BH42*LOG10((AQ42+BC42)/BJ42)))*BF42</f>
        <v/>
      </c>
      <c r="BL42" s="68">
        <f>IF(AM42="Sand",0,10^(INDEX(Input!$Q$48:$Q$54,MIN(MATCH(MIN(MAX(AR42,30),120),Input!$C$48:$C$54,1),6))+(MIN(MAX(AR42,30),120)-INDEX(Input!$C$48:$C$54,MIN(MATCH(MIN(MAX(AR42,30),120),Input!$C$48:$C$54,1),6)))/(INDEX(Input!$C$48:$C$54,MIN(MATCH(MIN(MAX(AR42,30),120),Input!$C$48:$C$54,1),6)+1)-INDEX(Input!$C$48:$C$54,MIN(MATCH(MIN(MAX(AR42,30),120),Input!$C$48:$C$54,1),6)))*(INDEX(Input!$Q$48:$Q$54,MIN(MATCH(MIN(MAX(AR42,30),120),Input!$C$48:$C$54,1),6)+1)-INDEX(Input!$Q$48:$Q$54,MIN(MATCH(MIN(MAX(AR42,30),120),Input!$C$48:$C$54,1),6)))))</f>
        <v/>
      </c>
      <c r="BM42" s="68">
        <f>IF(OR(AM42="Sand",BF42=0),0,Input!$AA$38*(AK42/2)^2/(BL42*1E-4*31536000))</f>
        <v/>
      </c>
      <c r="BN42" s="68">
        <f>MAX(0,MIN(AJ42,Input!$AA$20)-AI42)</f>
        <v/>
      </c>
      <c r="BO42" s="68">
        <f>MAX(0,MIN(AJ42,Input!$AA$20)-MAX(AI42,$AA$22))</f>
        <v/>
      </c>
      <c r="BP42" s="68">
        <f>MAX(0,MIN(AJ42,$AA$225)-AI42)</f>
        <v/>
      </c>
      <c r="BQ42" s="68" t="inlineStr"/>
    </row>
    <row r="43">
      <c r="B43" s="9" t="n"/>
      <c r="C43" s="57" t="n">
        <v>16</v>
      </c>
      <c r="D43" s="41" t="n"/>
      <c r="E43" s="55">
        <f>AI43</f>
        <v/>
      </c>
      <c r="F43" s="41" t="n"/>
      <c r="G43" s="41" t="n"/>
      <c r="H43" s="55">
        <f>AJ43</f>
        <v/>
      </c>
      <c r="I43" s="41" t="n"/>
      <c r="J43" s="41" t="n"/>
      <c r="K43" s="52">
        <f>AM43</f>
        <v/>
      </c>
      <c r="L43" s="41" t="n"/>
      <c r="M43" s="41" t="n"/>
      <c r="N43" s="57">
        <f>AN43</f>
        <v/>
      </c>
      <c r="O43" s="41" t="n"/>
      <c r="P43" s="41" t="n"/>
      <c r="Q43" s="53">
        <f>AO43</f>
        <v/>
      </c>
      <c r="R43" s="41" t="n"/>
      <c r="S43" s="41" t="n"/>
      <c r="T43" s="57">
        <f>IF(AR43="","-",AR43)</f>
        <v/>
      </c>
      <c r="U43" s="41" t="n"/>
      <c r="V43" s="57">
        <f>IF(AT43="","-",AT43)</f>
        <v/>
      </c>
      <c r="W43" s="41" t="n"/>
      <c r="X43" s="55">
        <f>AU43</f>
        <v/>
      </c>
      <c r="Y43" s="41" t="n"/>
      <c r="Z43" s="66">
        <f>AV43</f>
        <v/>
      </c>
      <c r="AA43" s="41" t="n"/>
      <c r="AB43" s="41" t="n"/>
      <c r="AC43" s="53">
        <f>AW43</f>
        <v/>
      </c>
      <c r="AD43" s="41" t="n"/>
      <c r="AE43" s="41" t="n"/>
      <c r="AF43" s="15" t="n"/>
      <c r="AI43" s="67" t="n">
        <v>22.5</v>
      </c>
      <c r="AJ43" s="67" t="n">
        <v>24</v>
      </c>
      <c r="AK43" s="68">
        <f>AJ43-AI43</f>
        <v/>
      </c>
      <c r="AL43" s="68">
        <f>(AI43+AJ43)/2</f>
        <v/>
      </c>
      <c r="AM43" s="67" t="inlineStr">
        <is>
          <t>Clay</t>
        </is>
      </c>
      <c r="AN43" s="67" t="n">
        <v>35</v>
      </c>
      <c r="AO43" s="68">
        <f>IF(AL43&gt;$AA$19,$AA$21,$AA$20)</f>
        <v/>
      </c>
      <c r="AP43" s="68">
        <f>AP42+AO43*AK43</f>
        <v/>
      </c>
      <c r="AQ43" s="68">
        <f>AP43-AO43*AK43/2-10*MAX(AL43-$AA$19,0)</f>
        <v/>
      </c>
      <c r="AR43" s="67" t="n">
        <v>33.79</v>
      </c>
      <c r="AS43" s="67" t="n">
        <v>24.33</v>
      </c>
      <c r="AT43" s="68">
        <f>IF(AR43="","",AR43-AS43)</f>
        <v/>
      </c>
      <c r="AU43" s="67" t="n">
        <v>0.715</v>
      </c>
      <c r="AV43" s="68">
        <f>IF(AM43="Sand",0,Input!$AA$31*AN43)</f>
        <v/>
      </c>
      <c r="AW43" s="68">
        <f>IF(AM43="Sand",27.1+0.3*MIN(Input!$AA$32*AN43,60)-0.00054*MIN(Input!$AA$32*AN43,60)^2,MIN(MAX(DEGREES(ASIN(0.8-0.094*LN(MAX(IF(AT43="",10,AT43),5)))),20),30))</f>
        <v/>
      </c>
      <c r="AX43" s="68">
        <f>IF(AM43="Sand",Input!$AA$33*Input!$AA$32*AN43,Input!$AA$34*AV43)</f>
        <v/>
      </c>
      <c r="AY43" s="68">
        <f>IF(AM43="Sand",Input!$AA$35,0.5)</f>
        <v/>
      </c>
      <c r="AZ43" s="68">
        <f>Input!$AA$15/2/AL43</f>
        <v/>
      </c>
      <c r="BA43" s="68">
        <f>Input!$AA$16/2/AL43</f>
        <v/>
      </c>
      <c r="BB43" s="68">
        <f>1/(4*PI())*(2*AZ43*BA43*SQRT(AZ43^2+BA43^2+1)/(AZ43^2+BA43^2+1+AZ43^2*BA43^2)*(AZ43^2+BA43^2+2)/(AZ43^2+BA43^2+1)+ATAN2(AZ43^2+BA43^2+1-AZ43^2*BA43^2,2*AZ43*BA43*SQRT(AZ43^2+BA43^2+1)))</f>
        <v/>
      </c>
      <c r="BC43" s="68">
        <f>4*Input!$AA$14*BB43</f>
        <v/>
      </c>
      <c r="BD43" s="68">
        <f>((Input!$AA$16/Input!$AA$15)*LN((1+SQRT((Input!$AA$16/Input!$AA$15)^2+1))*SQRT((Input!$AA$16/Input!$AA$15)^2+(AJ43/(Input!$AA$15/2))^2)/((Input!$AA$16/Input!$AA$15)*(1+SQRT((Input!$AA$16/Input!$AA$15)^2+(AJ43/(Input!$AA$15/2))^2+1))))+LN(((Input!$AA$16/Input!$AA$15)+SQRT((Input!$AA$16/Input!$AA$15)^2+1))*SQRT(1+(AJ43/(Input!$AA$15/2))^2)/((Input!$AA$16/Input!$AA$15)+SQRT((Input!$AA$16/Input!$AA$15)^2+(AJ43/(Input!$AA$15/2))^2+1))))/PI()</f>
        <v/>
      </c>
      <c r="BE43" s="68">
        <f>(AJ43/(Input!$AA$15/2))/(2*PI())*ATAN((Input!$AA$16/Input!$AA$15)/((AJ43/(Input!$AA$15/2))*SQRT((Input!$AA$16/Input!$AA$15)^2+(AJ43/(Input!$AA$15/2))^2+1)))</f>
        <v/>
      </c>
      <c r="BF43" s="68">
        <f>MAX(0,AJ43-MAX(AI43,$AA$22))/AK43*IF(BC43&gt;=Input!$AA$21*AQ43,1,0)</f>
        <v/>
      </c>
      <c r="BG43" s="68">
        <f>4*Input!$AA$14*(Input!$AA$15/2)*(1-AY43^2)/AX43*((BD43-BD42)+(1-2*AY43)/(1-AY43)*(BE43-BE42))*1000*BF43</f>
        <v/>
      </c>
      <c r="BH43" s="68">
        <f>IF(AM43="Sand",0,0.009*(AR43-10))</f>
        <v/>
      </c>
      <c r="BI43" s="68">
        <f>BH43*Input!$AA$36</f>
        <v/>
      </c>
      <c r="BJ43" s="68">
        <f>IF(AM43="Sand",0,MAX(AV43/Input!$AA$37,AQ43))</f>
        <v/>
      </c>
      <c r="BK43" s="68">
        <f>IF(AM43="Sand",0,1000*AK43/(1+AU43)*IF(AQ43+BC43&lt;=BJ43,BI43*LOG10((AQ43+BC43)/AQ43),BI43*LOG10(BJ43/AQ43)+BH43*LOG10((AQ43+BC43)/BJ43)))*BF43</f>
        <v/>
      </c>
      <c r="BL43" s="68">
        <f>IF(AM43="Sand",0,10^(INDEX(Input!$Q$48:$Q$54,MIN(MATCH(MIN(MAX(AR43,30),120),Input!$C$48:$C$54,1),6))+(MIN(MAX(AR43,30),120)-INDEX(Input!$C$48:$C$54,MIN(MATCH(MIN(MAX(AR43,30),120),Input!$C$48:$C$54,1),6)))/(INDEX(Input!$C$48:$C$54,MIN(MATCH(MIN(MAX(AR43,30),120),Input!$C$48:$C$54,1),6)+1)-INDEX(Input!$C$48:$C$54,MIN(MATCH(MIN(MAX(AR43,30),120),Input!$C$48:$C$54,1),6)))*(INDEX(Input!$Q$48:$Q$54,MIN(MATCH(MIN(MAX(AR43,30),120),Input!$C$48:$C$54,1),6)+1)-INDEX(Input!$Q$48:$Q$54,MIN(MATCH(MIN(MAX(AR43,30),120),Input!$C$48:$C$54,1),6)))))</f>
        <v/>
      </c>
      <c r="BM43" s="68">
        <f>IF(OR(AM43="Sand",BF43=0),0,Input!$AA$38*(AK43/2)^2/(BL43*1E-4*31536000))</f>
        <v/>
      </c>
      <c r="BN43" s="68">
        <f>MAX(0,MIN(AJ43,Input!$AA$20)-AI43)</f>
        <v/>
      </c>
      <c r="BO43" s="68">
        <f>MAX(0,MIN(AJ43,Input!$AA$20)-MAX(AI43,$AA$22))</f>
        <v/>
      </c>
      <c r="BP43" s="68">
        <f>MAX(0,MIN(AJ43,$AA$225)-AI43)</f>
        <v/>
      </c>
      <c r="BQ43" s="68" t="inlineStr"/>
    </row>
    <row r="44">
      <c r="B44" s="9" t="n"/>
      <c r="C44" s="57" t="n">
        <v>17</v>
      </c>
      <c r="D44" s="41" t="n"/>
      <c r="E44" s="55">
        <f>AI44</f>
        <v/>
      </c>
      <c r="F44" s="41" t="n"/>
      <c r="G44" s="41" t="n"/>
      <c r="H44" s="55">
        <f>AJ44</f>
        <v/>
      </c>
      <c r="I44" s="41" t="n"/>
      <c r="J44" s="41" t="n"/>
      <c r="K44" s="52">
        <f>AM44</f>
        <v/>
      </c>
      <c r="L44" s="41" t="n"/>
      <c r="M44" s="41" t="n"/>
      <c r="N44" s="57">
        <f>AN44</f>
        <v/>
      </c>
      <c r="O44" s="41" t="n"/>
      <c r="P44" s="41" t="n"/>
      <c r="Q44" s="53">
        <f>AO44</f>
        <v/>
      </c>
      <c r="R44" s="41" t="n"/>
      <c r="S44" s="41" t="n"/>
      <c r="T44" s="57">
        <f>IF(AR44="","-",AR44)</f>
        <v/>
      </c>
      <c r="U44" s="41" t="n"/>
      <c r="V44" s="57">
        <f>IF(AT44="","-",AT44)</f>
        <v/>
      </c>
      <c r="W44" s="41" t="n"/>
      <c r="X44" s="55">
        <f>AU44</f>
        <v/>
      </c>
      <c r="Y44" s="41" t="n"/>
      <c r="Z44" s="66">
        <f>AV44</f>
        <v/>
      </c>
      <c r="AA44" s="41" t="n"/>
      <c r="AB44" s="41" t="n"/>
      <c r="AC44" s="53">
        <f>AW44</f>
        <v/>
      </c>
      <c r="AD44" s="41" t="n"/>
      <c r="AE44" s="41" t="n"/>
      <c r="AF44" s="15" t="n"/>
      <c r="AI44" s="67" t="n">
        <v>24</v>
      </c>
      <c r="AJ44" s="67" t="n">
        <v>25.5</v>
      </c>
      <c r="AK44" s="68">
        <f>AJ44-AI44</f>
        <v/>
      </c>
      <c r="AL44" s="68">
        <f>(AI44+AJ44)/2</f>
        <v/>
      </c>
      <c r="AM44" s="67" t="inlineStr">
        <is>
          <t>Clay</t>
        </is>
      </c>
      <c r="AN44" s="67" t="n">
        <v>24</v>
      </c>
      <c r="AO44" s="68">
        <f>IF(AL44&gt;$AA$19,$AA$21,$AA$20)</f>
        <v/>
      </c>
      <c r="AP44" s="68">
        <f>AP43+AO44*AK44</f>
        <v/>
      </c>
      <c r="AQ44" s="68">
        <f>AP44-AO44*AK44/2-10*MAX(AL44-$AA$19,0)</f>
        <v/>
      </c>
      <c r="AR44" s="67" t="n">
        <v>28.071</v>
      </c>
      <c r="AS44" s="67" t="n">
        <v>18.832</v>
      </c>
      <c r="AT44" s="68">
        <f>IF(AR44="","",AR44-AS44)</f>
        <v/>
      </c>
      <c r="AU44" s="67" t="n">
        <v>0.59</v>
      </c>
      <c r="AV44" s="68">
        <f>IF(AM44="Sand",0,Input!$AA$31*AN44)</f>
        <v/>
      </c>
      <c r="AW44" s="68">
        <f>IF(AM44="Sand",27.1+0.3*MIN(Input!$AA$32*AN44,60)-0.00054*MIN(Input!$AA$32*AN44,60)^2,MIN(MAX(DEGREES(ASIN(0.8-0.094*LN(MAX(IF(AT44="",10,AT44),5)))),20),30))</f>
        <v/>
      </c>
      <c r="AX44" s="68">
        <f>IF(AM44="Sand",Input!$AA$33*Input!$AA$32*AN44,Input!$AA$34*AV44)</f>
        <v/>
      </c>
      <c r="AY44" s="68">
        <f>IF(AM44="Sand",Input!$AA$35,0.5)</f>
        <v/>
      </c>
      <c r="AZ44" s="68">
        <f>Input!$AA$15/2/AL44</f>
        <v/>
      </c>
      <c r="BA44" s="68">
        <f>Input!$AA$16/2/AL44</f>
        <v/>
      </c>
      <c r="BB44" s="68">
        <f>1/(4*PI())*(2*AZ44*BA44*SQRT(AZ44^2+BA44^2+1)/(AZ44^2+BA44^2+1+AZ44^2*BA44^2)*(AZ44^2+BA44^2+2)/(AZ44^2+BA44^2+1)+ATAN2(AZ44^2+BA44^2+1-AZ44^2*BA44^2,2*AZ44*BA44*SQRT(AZ44^2+BA44^2+1)))</f>
        <v/>
      </c>
      <c r="BC44" s="68">
        <f>4*Input!$AA$14*BB44</f>
        <v/>
      </c>
      <c r="BD44" s="68">
        <f>((Input!$AA$16/Input!$AA$15)*LN((1+SQRT((Input!$AA$16/Input!$AA$15)^2+1))*SQRT((Input!$AA$16/Input!$AA$15)^2+(AJ44/(Input!$AA$15/2))^2)/((Input!$AA$16/Input!$AA$15)*(1+SQRT((Input!$AA$16/Input!$AA$15)^2+(AJ44/(Input!$AA$15/2))^2+1))))+LN(((Input!$AA$16/Input!$AA$15)+SQRT((Input!$AA$16/Input!$AA$15)^2+1))*SQRT(1+(AJ44/(Input!$AA$15/2))^2)/((Input!$AA$16/Input!$AA$15)+SQRT((Input!$AA$16/Input!$AA$15)^2+(AJ44/(Input!$AA$15/2))^2+1))))/PI()</f>
        <v/>
      </c>
      <c r="BE44" s="68">
        <f>(AJ44/(Input!$AA$15/2))/(2*PI())*ATAN((Input!$AA$16/Input!$AA$15)/((AJ44/(Input!$AA$15/2))*SQRT((Input!$AA$16/Input!$AA$15)^2+(AJ44/(Input!$AA$15/2))^2+1)))</f>
        <v/>
      </c>
      <c r="BF44" s="68">
        <f>MAX(0,AJ44-MAX(AI44,$AA$22))/AK44*IF(BC44&gt;=Input!$AA$21*AQ44,1,0)</f>
        <v/>
      </c>
      <c r="BG44" s="68">
        <f>4*Input!$AA$14*(Input!$AA$15/2)*(1-AY44^2)/AX44*((BD44-BD43)+(1-2*AY44)/(1-AY44)*(BE44-BE43))*1000*BF44</f>
        <v/>
      </c>
      <c r="BH44" s="68">
        <f>IF(AM44="Sand",0,0.009*(AR44-10))</f>
        <v/>
      </c>
      <c r="BI44" s="68">
        <f>BH44*Input!$AA$36</f>
        <v/>
      </c>
      <c r="BJ44" s="68">
        <f>IF(AM44="Sand",0,MAX(AV44/Input!$AA$37,AQ44))</f>
        <v/>
      </c>
      <c r="BK44" s="68">
        <f>IF(AM44="Sand",0,1000*AK44/(1+AU44)*IF(AQ44+BC44&lt;=BJ44,BI44*LOG10((AQ44+BC44)/AQ44),BI44*LOG10(BJ44/AQ44)+BH44*LOG10((AQ44+BC44)/BJ44)))*BF44</f>
        <v/>
      </c>
      <c r="BL44" s="68">
        <f>IF(AM44="Sand",0,10^(INDEX(Input!$Q$48:$Q$54,MIN(MATCH(MIN(MAX(AR44,30),120),Input!$C$48:$C$54,1),6))+(MIN(MAX(AR44,30),120)-INDEX(Input!$C$48:$C$54,MIN(MATCH(MIN(MAX(AR44,30),120),Input!$C$48:$C$54,1),6)))/(INDEX(Input!$C$48:$C$54,MIN(MATCH(MIN(MAX(AR44,30),120),Input!$C$48:$C$54,1),6)+1)-INDEX(Input!$C$48:$C$54,MIN(MATCH(MIN(MAX(AR44,30),120),Input!$C$48:$C$54,1),6)))*(INDEX(Input!$Q$48:$Q$54,MIN(MATCH(MIN(MAX(AR44,30),120),Input!$C$48:$C$54,1),6)+1)-INDEX(Input!$Q$48:$Q$54,MIN(MATCH(MIN(MAX(AR44,30),120),Input!$C$48:$C$54,1),6)))))</f>
        <v/>
      </c>
      <c r="BM44" s="68">
        <f>IF(OR(AM44="Sand",BF44=0),0,Input!$AA$38*(AK44/2)^2/(BL44*1E-4*31536000))</f>
        <v/>
      </c>
      <c r="BN44" s="68">
        <f>MAX(0,MIN(AJ44,Input!$AA$20)-AI44)</f>
        <v/>
      </c>
      <c r="BO44" s="68">
        <f>MAX(0,MIN(AJ44,Input!$AA$20)-MAX(AI44,$AA$22))</f>
        <v/>
      </c>
      <c r="BP44" s="68">
        <f>MAX(0,MIN(AJ44,$AA$225)-AI44)</f>
        <v/>
      </c>
      <c r="BQ44" s="68" t="inlineStr">
        <is>
          <t>LL/PL/e0 = borehole average</t>
        </is>
      </c>
    </row>
    <row r="45">
      <c r="B45" s="9" t="n"/>
      <c r="C45" s="57" t="n">
        <v>18</v>
      </c>
      <c r="D45" s="41" t="n"/>
      <c r="E45" s="55">
        <f>AI45</f>
        <v/>
      </c>
      <c r="F45" s="41" t="n"/>
      <c r="G45" s="41" t="n"/>
      <c r="H45" s="55">
        <f>AJ45</f>
        <v/>
      </c>
      <c r="I45" s="41" t="n"/>
      <c r="J45" s="41" t="n"/>
      <c r="K45" s="52">
        <f>AM45</f>
        <v/>
      </c>
      <c r="L45" s="41" t="n"/>
      <c r="M45" s="41" t="n"/>
      <c r="N45" s="57">
        <f>AN45</f>
        <v/>
      </c>
      <c r="O45" s="41" t="n"/>
      <c r="P45" s="41" t="n"/>
      <c r="Q45" s="53">
        <f>AO45</f>
        <v/>
      </c>
      <c r="R45" s="41" t="n"/>
      <c r="S45" s="41" t="n"/>
      <c r="T45" s="57">
        <f>IF(AR45="","-",AR45)</f>
        <v/>
      </c>
      <c r="U45" s="41" t="n"/>
      <c r="V45" s="57">
        <f>IF(AT45="","-",AT45)</f>
        <v/>
      </c>
      <c r="W45" s="41" t="n"/>
      <c r="X45" s="55">
        <f>AU45</f>
        <v/>
      </c>
      <c r="Y45" s="41" t="n"/>
      <c r="Z45" s="66">
        <f>AV45</f>
        <v/>
      </c>
      <c r="AA45" s="41" t="n"/>
      <c r="AB45" s="41" t="n"/>
      <c r="AC45" s="53">
        <f>AW45</f>
        <v/>
      </c>
      <c r="AD45" s="41" t="n"/>
      <c r="AE45" s="41" t="n"/>
      <c r="AF45" s="15" t="n"/>
      <c r="AI45" s="67" t="n">
        <v>25.5</v>
      </c>
      <c r="AJ45" s="67" t="n">
        <v>27</v>
      </c>
      <c r="AK45" s="68">
        <f>AJ45-AI45</f>
        <v/>
      </c>
      <c r="AL45" s="68">
        <f>(AI45+AJ45)/2</f>
        <v/>
      </c>
      <c r="AM45" s="67" t="inlineStr">
        <is>
          <t>Clay</t>
        </is>
      </c>
      <c r="AN45" s="67" t="n">
        <v>21</v>
      </c>
      <c r="AO45" s="68">
        <f>IF(AL45&gt;$AA$19,$AA$21,$AA$20)</f>
        <v/>
      </c>
      <c r="AP45" s="68">
        <f>AP44+AO45*AK45</f>
        <v/>
      </c>
      <c r="AQ45" s="68">
        <f>AP45-AO45*AK45/2-10*MAX(AL45-$AA$19,0)</f>
        <v/>
      </c>
      <c r="AR45" s="67" t="n">
        <v>28.071</v>
      </c>
      <c r="AS45" s="67" t="n">
        <v>18.832</v>
      </c>
      <c r="AT45" s="68">
        <f>IF(AR45="","",AR45-AS45)</f>
        <v/>
      </c>
      <c r="AU45" s="67" t="n">
        <v>0.401</v>
      </c>
      <c r="AV45" s="68">
        <f>IF(AM45="Sand",0,Input!$AA$31*AN45)</f>
        <v/>
      </c>
      <c r="AW45" s="68">
        <f>IF(AM45="Sand",27.1+0.3*MIN(Input!$AA$32*AN45,60)-0.00054*MIN(Input!$AA$32*AN45,60)^2,MIN(MAX(DEGREES(ASIN(0.8-0.094*LN(MAX(IF(AT45="",10,AT45),5)))),20),30))</f>
        <v/>
      </c>
      <c r="AX45" s="68">
        <f>IF(AM45="Sand",Input!$AA$33*Input!$AA$32*AN45,Input!$AA$34*AV45)</f>
        <v/>
      </c>
      <c r="AY45" s="68">
        <f>IF(AM45="Sand",Input!$AA$35,0.5)</f>
        <v/>
      </c>
      <c r="AZ45" s="68">
        <f>Input!$AA$15/2/AL45</f>
        <v/>
      </c>
      <c r="BA45" s="68">
        <f>Input!$AA$16/2/AL45</f>
        <v/>
      </c>
      <c r="BB45" s="68">
        <f>1/(4*PI())*(2*AZ45*BA45*SQRT(AZ45^2+BA45^2+1)/(AZ45^2+BA45^2+1+AZ45^2*BA45^2)*(AZ45^2+BA45^2+2)/(AZ45^2+BA45^2+1)+ATAN2(AZ45^2+BA45^2+1-AZ45^2*BA45^2,2*AZ45*BA45*SQRT(AZ45^2+BA45^2+1)))</f>
        <v/>
      </c>
      <c r="BC45" s="68">
        <f>4*Input!$AA$14*BB45</f>
        <v/>
      </c>
      <c r="BD45" s="68">
        <f>((Input!$AA$16/Input!$AA$15)*LN((1+SQRT((Input!$AA$16/Input!$AA$15)^2+1))*SQRT((Input!$AA$16/Input!$AA$15)^2+(AJ45/(Input!$AA$15/2))^2)/((Input!$AA$16/Input!$AA$15)*(1+SQRT((Input!$AA$16/Input!$AA$15)^2+(AJ45/(Input!$AA$15/2))^2+1))))+LN(((Input!$AA$16/Input!$AA$15)+SQRT((Input!$AA$16/Input!$AA$15)^2+1))*SQRT(1+(AJ45/(Input!$AA$15/2))^2)/((Input!$AA$16/Input!$AA$15)+SQRT((Input!$AA$16/Input!$AA$15)^2+(AJ45/(Input!$AA$15/2))^2+1))))/PI()</f>
        <v/>
      </c>
      <c r="BE45" s="68">
        <f>(AJ45/(Input!$AA$15/2))/(2*PI())*ATAN((Input!$AA$16/Input!$AA$15)/((AJ45/(Input!$AA$15/2))*SQRT((Input!$AA$16/Input!$AA$15)^2+(AJ45/(Input!$AA$15/2))^2+1)))</f>
        <v/>
      </c>
      <c r="BF45" s="68">
        <f>MAX(0,AJ45-MAX(AI45,$AA$22))/AK45*IF(BC45&gt;=Input!$AA$21*AQ45,1,0)</f>
        <v/>
      </c>
      <c r="BG45" s="68">
        <f>4*Input!$AA$14*(Input!$AA$15/2)*(1-AY45^2)/AX45*((BD45-BD44)+(1-2*AY45)/(1-AY45)*(BE45-BE44))*1000*BF45</f>
        <v/>
      </c>
      <c r="BH45" s="68">
        <f>IF(AM45="Sand",0,0.009*(AR45-10))</f>
        <v/>
      </c>
      <c r="BI45" s="68">
        <f>BH45*Input!$AA$36</f>
        <v/>
      </c>
      <c r="BJ45" s="68">
        <f>IF(AM45="Sand",0,MAX(AV45/Input!$AA$37,AQ45))</f>
        <v/>
      </c>
      <c r="BK45" s="68">
        <f>IF(AM45="Sand",0,1000*AK45/(1+AU45)*IF(AQ45+BC45&lt;=BJ45,BI45*LOG10((AQ45+BC45)/AQ45),BI45*LOG10(BJ45/AQ45)+BH45*LOG10((AQ45+BC45)/BJ45)))*BF45</f>
        <v/>
      </c>
      <c r="BL45" s="68">
        <f>IF(AM45="Sand",0,10^(INDEX(Input!$Q$48:$Q$54,MIN(MATCH(MIN(MAX(AR45,30),120),Input!$C$48:$C$54,1),6))+(MIN(MAX(AR45,30),120)-INDEX(Input!$C$48:$C$54,MIN(MATCH(MIN(MAX(AR45,30),120),Input!$C$48:$C$54,1),6)))/(INDEX(Input!$C$48:$C$54,MIN(MATCH(MIN(MAX(AR45,30),120),Input!$C$48:$C$54,1),6)+1)-INDEX(Input!$C$48:$C$54,MIN(MATCH(MIN(MAX(AR45,30),120),Input!$C$48:$C$54,1),6)))*(INDEX(Input!$Q$48:$Q$54,MIN(MATCH(MIN(MAX(AR45,30),120),Input!$C$48:$C$54,1),6)+1)-INDEX(Input!$Q$48:$Q$54,MIN(MATCH(MIN(MAX(AR45,30),120),Input!$C$48:$C$54,1),6)))))</f>
        <v/>
      </c>
      <c r="BM45" s="68">
        <f>IF(OR(AM45="Sand",BF45=0),0,Input!$AA$38*(AK45/2)^2/(BL45*1E-4*31536000))</f>
        <v/>
      </c>
      <c r="BN45" s="68">
        <f>MAX(0,MIN(AJ45,Input!$AA$20)-AI45)</f>
        <v/>
      </c>
      <c r="BO45" s="68">
        <f>MAX(0,MIN(AJ45,Input!$AA$20)-MAX(AI45,$AA$22))</f>
        <v/>
      </c>
      <c r="BP45" s="68">
        <f>MAX(0,MIN(AJ45,$AA$225)-AI45)</f>
        <v/>
      </c>
      <c r="BQ45" s="68" t="inlineStr">
        <is>
          <t>data copied from BH-01; LL/PL/e0 = borehole average</t>
        </is>
      </c>
    </row>
    <row r="46">
      <c r="B46" s="9" t="n"/>
      <c r="C46" s="57" t="n">
        <v>19</v>
      </c>
      <c r="D46" s="41" t="n"/>
      <c r="E46" s="55">
        <f>AI46</f>
        <v/>
      </c>
      <c r="F46" s="41" t="n"/>
      <c r="G46" s="41" t="n"/>
      <c r="H46" s="55">
        <f>AJ46</f>
        <v/>
      </c>
      <c r="I46" s="41" t="n"/>
      <c r="J46" s="41" t="n"/>
      <c r="K46" s="52">
        <f>AM46</f>
        <v/>
      </c>
      <c r="L46" s="41" t="n"/>
      <c r="M46" s="41" t="n"/>
      <c r="N46" s="57">
        <f>AN46</f>
        <v/>
      </c>
      <c r="O46" s="41" t="n"/>
      <c r="P46" s="41" t="n"/>
      <c r="Q46" s="53">
        <f>AO46</f>
        <v/>
      </c>
      <c r="R46" s="41" t="n"/>
      <c r="S46" s="41" t="n"/>
      <c r="T46" s="57">
        <f>IF(AR46="","-",AR46)</f>
        <v/>
      </c>
      <c r="U46" s="41" t="n"/>
      <c r="V46" s="57">
        <f>IF(AT46="","-",AT46)</f>
        <v/>
      </c>
      <c r="W46" s="41" t="n"/>
      <c r="X46" s="55">
        <f>AU46</f>
        <v/>
      </c>
      <c r="Y46" s="41" t="n"/>
      <c r="Z46" s="66">
        <f>AV46</f>
        <v/>
      </c>
      <c r="AA46" s="41" t="n"/>
      <c r="AB46" s="41" t="n"/>
      <c r="AC46" s="53">
        <f>AW46</f>
        <v/>
      </c>
      <c r="AD46" s="41" t="n"/>
      <c r="AE46" s="41" t="n"/>
      <c r="AF46" s="15" t="n"/>
      <c r="AI46" s="67" t="n">
        <v>27</v>
      </c>
      <c r="AJ46" s="67" t="n">
        <v>28.5</v>
      </c>
      <c r="AK46" s="68">
        <f>AJ46-AI46</f>
        <v/>
      </c>
      <c r="AL46" s="68">
        <f>(AI46+AJ46)/2</f>
        <v/>
      </c>
      <c r="AM46" s="67" t="inlineStr">
        <is>
          <t>Sand</t>
        </is>
      </c>
      <c r="AN46" s="67" t="n">
        <v>21</v>
      </c>
      <c r="AO46" s="68">
        <f>IF(AL46&gt;$AA$19,$AA$21,$AA$20)</f>
        <v/>
      </c>
      <c r="AP46" s="68">
        <f>AP45+AO46*AK46</f>
        <v/>
      </c>
      <c r="AQ46" s="68">
        <f>AP46-AO46*AK46/2-10*MAX(AL46-$AA$19,0)</f>
        <v/>
      </c>
      <c r="AR46" s="67" t="n"/>
      <c r="AS46" s="67" t="n"/>
      <c r="AT46" s="68">
        <f>IF(AR46="","",AR46-AS46)</f>
        <v/>
      </c>
      <c r="AU46" s="67" t="n">
        <v>0.474</v>
      </c>
      <c r="AV46" s="68">
        <f>IF(AM46="Sand",0,Input!$AA$31*AN46)</f>
        <v/>
      </c>
      <c r="AW46" s="68">
        <f>IF(AM46="Sand",27.1+0.3*MIN(Input!$AA$32*AN46,60)-0.00054*MIN(Input!$AA$32*AN46,60)^2,MIN(MAX(DEGREES(ASIN(0.8-0.094*LN(MAX(IF(AT46="",10,AT46),5)))),20),30))</f>
        <v/>
      </c>
      <c r="AX46" s="68">
        <f>IF(AM46="Sand",Input!$AA$33*Input!$AA$32*AN46,Input!$AA$34*AV46)</f>
        <v/>
      </c>
      <c r="AY46" s="68">
        <f>IF(AM46="Sand",Input!$AA$35,0.5)</f>
        <v/>
      </c>
      <c r="AZ46" s="68">
        <f>Input!$AA$15/2/AL46</f>
        <v/>
      </c>
      <c r="BA46" s="68">
        <f>Input!$AA$16/2/AL46</f>
        <v/>
      </c>
      <c r="BB46" s="68">
        <f>1/(4*PI())*(2*AZ46*BA46*SQRT(AZ46^2+BA46^2+1)/(AZ46^2+BA46^2+1+AZ46^2*BA46^2)*(AZ46^2+BA46^2+2)/(AZ46^2+BA46^2+1)+ATAN2(AZ46^2+BA46^2+1-AZ46^2*BA46^2,2*AZ46*BA46*SQRT(AZ46^2+BA46^2+1)))</f>
        <v/>
      </c>
      <c r="BC46" s="68">
        <f>4*Input!$AA$14*BB46</f>
        <v/>
      </c>
      <c r="BD46" s="68">
        <f>((Input!$AA$16/Input!$AA$15)*LN((1+SQRT((Input!$AA$16/Input!$AA$15)^2+1))*SQRT((Input!$AA$16/Input!$AA$15)^2+(AJ46/(Input!$AA$15/2))^2)/((Input!$AA$16/Input!$AA$15)*(1+SQRT((Input!$AA$16/Input!$AA$15)^2+(AJ46/(Input!$AA$15/2))^2+1))))+LN(((Input!$AA$16/Input!$AA$15)+SQRT((Input!$AA$16/Input!$AA$15)^2+1))*SQRT(1+(AJ46/(Input!$AA$15/2))^2)/((Input!$AA$16/Input!$AA$15)+SQRT((Input!$AA$16/Input!$AA$15)^2+(AJ46/(Input!$AA$15/2))^2+1))))/PI()</f>
        <v/>
      </c>
      <c r="BE46" s="68">
        <f>(AJ46/(Input!$AA$15/2))/(2*PI())*ATAN((Input!$AA$16/Input!$AA$15)/((AJ46/(Input!$AA$15/2))*SQRT((Input!$AA$16/Input!$AA$15)^2+(AJ46/(Input!$AA$15/2))^2+1)))</f>
        <v/>
      </c>
      <c r="BF46" s="68">
        <f>MAX(0,AJ46-MAX(AI46,$AA$22))/AK46*IF(BC46&gt;=Input!$AA$21*AQ46,1,0)</f>
        <v/>
      </c>
      <c r="BG46" s="68">
        <f>4*Input!$AA$14*(Input!$AA$15/2)*(1-AY46^2)/AX46*((BD46-BD45)+(1-2*AY46)/(1-AY46)*(BE46-BE45))*1000*BF46</f>
        <v/>
      </c>
      <c r="BH46" s="68">
        <f>IF(AM46="Sand",0,0.009*(AR46-10))</f>
        <v/>
      </c>
      <c r="BI46" s="68">
        <f>BH46*Input!$AA$36</f>
        <v/>
      </c>
      <c r="BJ46" s="68">
        <f>IF(AM46="Sand",0,MAX(AV46/Input!$AA$37,AQ46))</f>
        <v/>
      </c>
      <c r="BK46" s="68">
        <f>IF(AM46="Sand",0,1000*AK46/(1+AU46)*IF(AQ46+BC46&lt;=BJ46,BI46*LOG10((AQ46+BC46)/AQ46),BI46*LOG10(BJ46/AQ46)+BH46*LOG10((AQ46+BC46)/BJ46)))*BF46</f>
        <v/>
      </c>
      <c r="BL46" s="68">
        <f>IF(AM46="Sand",0,10^(INDEX(Input!$Q$48:$Q$54,MIN(MATCH(MIN(MAX(AR46,30),120),Input!$C$48:$C$54,1),6))+(MIN(MAX(AR46,30),120)-INDEX(Input!$C$48:$C$54,MIN(MATCH(MIN(MAX(AR46,30),120),Input!$C$48:$C$54,1),6)))/(INDEX(Input!$C$48:$C$54,MIN(MATCH(MIN(MAX(AR46,30),120),Input!$C$48:$C$54,1),6)+1)-INDEX(Input!$C$48:$C$54,MIN(MATCH(MIN(MAX(AR46,30),120),Input!$C$48:$C$54,1),6)))*(INDEX(Input!$Q$48:$Q$54,MIN(MATCH(MIN(MAX(AR46,30),120),Input!$C$48:$C$54,1),6)+1)-INDEX(Input!$Q$48:$Q$54,MIN(MATCH(MIN(MAX(AR46,30),120),Input!$C$48:$C$54,1),6)))))</f>
        <v/>
      </c>
      <c r="BM46" s="68">
        <f>IF(OR(AM46="Sand",BF46=0),0,Input!$AA$38*(AK46/2)^2/(BL46*1E-4*31536000))</f>
        <v/>
      </c>
      <c r="BN46" s="68">
        <f>MAX(0,MIN(AJ46,Input!$AA$20)-AI46)</f>
        <v/>
      </c>
      <c r="BO46" s="68">
        <f>MAX(0,MIN(AJ46,Input!$AA$20)-MAX(AI46,$AA$22))</f>
        <v/>
      </c>
      <c r="BP46" s="68">
        <f>MAX(0,MIN(AJ46,$AA$225)-AI46)</f>
        <v/>
      </c>
      <c r="BQ46" s="68" t="inlineStr">
        <is>
          <t>data copied from BH-01</t>
        </is>
      </c>
    </row>
    <row r="47">
      <c r="B47" s="9" t="n"/>
      <c r="C47" s="57" t="n">
        <v>20</v>
      </c>
      <c r="D47" s="41" t="n"/>
      <c r="E47" s="55">
        <f>AI47</f>
        <v/>
      </c>
      <c r="F47" s="41" t="n"/>
      <c r="G47" s="41" t="n"/>
      <c r="H47" s="55">
        <f>AJ47</f>
        <v/>
      </c>
      <c r="I47" s="41" t="n"/>
      <c r="J47" s="41" t="n"/>
      <c r="K47" s="52">
        <f>AM47</f>
        <v/>
      </c>
      <c r="L47" s="41" t="n"/>
      <c r="M47" s="41" t="n"/>
      <c r="N47" s="57">
        <f>AN47</f>
        <v/>
      </c>
      <c r="O47" s="41" t="n"/>
      <c r="P47" s="41" t="n"/>
      <c r="Q47" s="53">
        <f>AO47</f>
        <v/>
      </c>
      <c r="R47" s="41" t="n"/>
      <c r="S47" s="41" t="n"/>
      <c r="T47" s="57">
        <f>IF(AR47="","-",AR47)</f>
        <v/>
      </c>
      <c r="U47" s="41" t="n"/>
      <c r="V47" s="57">
        <f>IF(AT47="","-",AT47)</f>
        <v/>
      </c>
      <c r="W47" s="41" t="n"/>
      <c r="X47" s="55">
        <f>AU47</f>
        <v/>
      </c>
      <c r="Y47" s="41" t="n"/>
      <c r="Z47" s="66">
        <f>AV47</f>
        <v/>
      </c>
      <c r="AA47" s="41" t="n"/>
      <c r="AB47" s="41" t="n"/>
      <c r="AC47" s="53">
        <f>AW47</f>
        <v/>
      </c>
      <c r="AD47" s="41" t="n"/>
      <c r="AE47" s="41" t="n"/>
      <c r="AF47" s="15" t="n"/>
      <c r="AI47" s="67" t="n">
        <v>28.5</v>
      </c>
      <c r="AJ47" s="67" t="n">
        <v>30</v>
      </c>
      <c r="AK47" s="68">
        <f>AJ47-AI47</f>
        <v/>
      </c>
      <c r="AL47" s="68">
        <f>(AI47+AJ47)/2</f>
        <v/>
      </c>
      <c r="AM47" s="67" t="inlineStr">
        <is>
          <t>Clay</t>
        </is>
      </c>
      <c r="AN47" s="67" t="n">
        <v>48</v>
      </c>
      <c r="AO47" s="68">
        <f>IF(AL47&gt;$AA$19,$AA$21,$AA$20)</f>
        <v/>
      </c>
      <c r="AP47" s="68">
        <f>AP46+AO47*AK47</f>
        <v/>
      </c>
      <c r="AQ47" s="68">
        <f>AP47-AO47*AK47/2-10*MAX(AL47-$AA$19,0)</f>
        <v/>
      </c>
      <c r="AR47" s="67" t="n">
        <v>37.95</v>
      </c>
      <c r="AS47" s="67" t="n">
        <v>20.57</v>
      </c>
      <c r="AT47" s="68">
        <f>IF(AR47="","",AR47-AS47)</f>
        <v/>
      </c>
      <c r="AU47" s="67" t="n">
        <v>0.745</v>
      </c>
      <c r="AV47" s="68">
        <f>IF(AM47="Sand",0,Input!$AA$31*AN47)</f>
        <v/>
      </c>
      <c r="AW47" s="68">
        <f>IF(AM47="Sand",27.1+0.3*MIN(Input!$AA$32*AN47,60)-0.00054*MIN(Input!$AA$32*AN47,60)^2,MIN(MAX(DEGREES(ASIN(0.8-0.094*LN(MAX(IF(AT47="",10,AT47),5)))),20),30))</f>
        <v/>
      </c>
      <c r="AX47" s="68">
        <f>IF(AM47="Sand",Input!$AA$33*Input!$AA$32*AN47,Input!$AA$34*AV47)</f>
        <v/>
      </c>
      <c r="AY47" s="68">
        <f>IF(AM47="Sand",Input!$AA$35,0.5)</f>
        <v/>
      </c>
      <c r="AZ47" s="68">
        <f>Input!$AA$15/2/AL47</f>
        <v/>
      </c>
      <c r="BA47" s="68">
        <f>Input!$AA$16/2/AL47</f>
        <v/>
      </c>
      <c r="BB47" s="68">
        <f>1/(4*PI())*(2*AZ47*BA47*SQRT(AZ47^2+BA47^2+1)/(AZ47^2+BA47^2+1+AZ47^2*BA47^2)*(AZ47^2+BA47^2+2)/(AZ47^2+BA47^2+1)+ATAN2(AZ47^2+BA47^2+1-AZ47^2*BA47^2,2*AZ47*BA47*SQRT(AZ47^2+BA47^2+1)))</f>
        <v/>
      </c>
      <c r="BC47" s="68">
        <f>4*Input!$AA$14*BB47</f>
        <v/>
      </c>
      <c r="BD47" s="68">
        <f>((Input!$AA$16/Input!$AA$15)*LN((1+SQRT((Input!$AA$16/Input!$AA$15)^2+1))*SQRT((Input!$AA$16/Input!$AA$15)^2+(AJ47/(Input!$AA$15/2))^2)/((Input!$AA$16/Input!$AA$15)*(1+SQRT((Input!$AA$16/Input!$AA$15)^2+(AJ47/(Input!$AA$15/2))^2+1))))+LN(((Input!$AA$16/Input!$AA$15)+SQRT((Input!$AA$16/Input!$AA$15)^2+1))*SQRT(1+(AJ47/(Input!$AA$15/2))^2)/((Input!$AA$16/Input!$AA$15)+SQRT((Input!$AA$16/Input!$AA$15)^2+(AJ47/(Input!$AA$15/2))^2+1))))/PI()</f>
        <v/>
      </c>
      <c r="BE47" s="68">
        <f>(AJ47/(Input!$AA$15/2))/(2*PI())*ATAN((Input!$AA$16/Input!$AA$15)/((AJ47/(Input!$AA$15/2))*SQRT((Input!$AA$16/Input!$AA$15)^2+(AJ47/(Input!$AA$15/2))^2+1)))</f>
        <v/>
      </c>
      <c r="BF47" s="68">
        <f>MAX(0,AJ47-MAX(AI47,$AA$22))/AK47*IF(BC47&gt;=Input!$AA$21*AQ47,1,0)</f>
        <v/>
      </c>
      <c r="BG47" s="68">
        <f>4*Input!$AA$14*(Input!$AA$15/2)*(1-AY47^2)/AX47*((BD47-BD46)+(1-2*AY47)/(1-AY47)*(BE47-BE46))*1000*BF47</f>
        <v/>
      </c>
      <c r="BH47" s="68">
        <f>IF(AM47="Sand",0,0.009*(AR47-10))</f>
        <v/>
      </c>
      <c r="BI47" s="68">
        <f>BH47*Input!$AA$36</f>
        <v/>
      </c>
      <c r="BJ47" s="68">
        <f>IF(AM47="Sand",0,MAX(AV47/Input!$AA$37,AQ47))</f>
        <v/>
      </c>
      <c r="BK47" s="68">
        <f>IF(AM47="Sand",0,1000*AK47/(1+AU47)*IF(AQ47+BC47&lt;=BJ47,BI47*LOG10((AQ47+BC47)/AQ47),BI47*LOG10(BJ47/AQ47)+BH47*LOG10((AQ47+BC47)/BJ47)))*BF47</f>
        <v/>
      </c>
      <c r="BL47" s="68">
        <f>IF(AM47="Sand",0,10^(INDEX(Input!$Q$48:$Q$54,MIN(MATCH(MIN(MAX(AR47,30),120),Input!$C$48:$C$54,1),6))+(MIN(MAX(AR47,30),120)-INDEX(Input!$C$48:$C$54,MIN(MATCH(MIN(MAX(AR47,30),120),Input!$C$48:$C$54,1),6)))/(INDEX(Input!$C$48:$C$54,MIN(MATCH(MIN(MAX(AR47,30),120),Input!$C$48:$C$54,1),6)+1)-INDEX(Input!$C$48:$C$54,MIN(MATCH(MIN(MAX(AR47,30),120),Input!$C$48:$C$54,1),6)))*(INDEX(Input!$Q$48:$Q$54,MIN(MATCH(MIN(MAX(AR47,30),120),Input!$C$48:$C$54,1),6)+1)-INDEX(Input!$Q$48:$Q$54,MIN(MATCH(MIN(MAX(AR47,30),120),Input!$C$48:$C$54,1),6)))))</f>
        <v/>
      </c>
      <c r="BM47" s="68">
        <f>IF(OR(AM47="Sand",BF47=0),0,Input!$AA$38*(AK47/2)^2/(BL47*1E-4*31536000))</f>
        <v/>
      </c>
      <c r="BN47" s="68">
        <f>MAX(0,MIN(AJ47,Input!$AA$20)-AI47)</f>
        <v/>
      </c>
      <c r="BO47" s="68">
        <f>MAX(0,MIN(AJ47,Input!$AA$20)-MAX(AI47,$AA$22))</f>
        <v/>
      </c>
      <c r="BP47" s="68">
        <f>MAX(0,MIN(AJ47,$AA$225)-AI47)</f>
        <v/>
      </c>
      <c r="BQ47" s="68" t="inlineStr">
        <is>
          <t>data copied from BH-01</t>
        </is>
      </c>
    </row>
    <row r="48">
      <c r="B48" s="9" t="n"/>
      <c r="C48" s="57" t="n">
        <v>21</v>
      </c>
      <c r="D48" s="41" t="n"/>
      <c r="E48" s="55">
        <f>AI48</f>
        <v/>
      </c>
      <c r="F48" s="41" t="n"/>
      <c r="G48" s="41" t="n"/>
      <c r="H48" s="55">
        <f>AJ48</f>
        <v/>
      </c>
      <c r="I48" s="41" t="n"/>
      <c r="J48" s="41" t="n"/>
      <c r="K48" s="52">
        <f>AM48</f>
        <v/>
      </c>
      <c r="L48" s="41" t="n"/>
      <c r="M48" s="41" t="n"/>
      <c r="N48" s="57">
        <f>AN48</f>
        <v/>
      </c>
      <c r="O48" s="41" t="n"/>
      <c r="P48" s="41" t="n"/>
      <c r="Q48" s="53">
        <f>AO48</f>
        <v/>
      </c>
      <c r="R48" s="41" t="n"/>
      <c r="S48" s="41" t="n"/>
      <c r="T48" s="57">
        <f>IF(AR48="","-",AR48)</f>
        <v/>
      </c>
      <c r="U48" s="41" t="n"/>
      <c r="V48" s="57">
        <f>IF(AT48="","-",AT48)</f>
        <v/>
      </c>
      <c r="W48" s="41" t="n"/>
      <c r="X48" s="55">
        <f>AU48</f>
        <v/>
      </c>
      <c r="Y48" s="41" t="n"/>
      <c r="Z48" s="66">
        <f>AV48</f>
        <v/>
      </c>
      <c r="AA48" s="41" t="n"/>
      <c r="AB48" s="41" t="n"/>
      <c r="AC48" s="53">
        <f>AW48</f>
        <v/>
      </c>
      <c r="AD48" s="41" t="n"/>
      <c r="AE48" s="41" t="n"/>
      <c r="AF48" s="15" t="n"/>
      <c r="AI48" s="67" t="n">
        <v>30</v>
      </c>
      <c r="AJ48" s="67" t="n">
        <v>31.5</v>
      </c>
      <c r="AK48" s="68">
        <f>AJ48-AI48</f>
        <v/>
      </c>
      <c r="AL48" s="68">
        <f>(AI48+AJ48)/2</f>
        <v/>
      </c>
      <c r="AM48" s="67" t="inlineStr">
        <is>
          <t>Clay</t>
        </is>
      </c>
      <c r="AN48" s="67" t="n">
        <v>50</v>
      </c>
      <c r="AO48" s="68">
        <f>IF(AL48&gt;$AA$19,$AA$21,$AA$20)</f>
        <v/>
      </c>
      <c r="AP48" s="68">
        <f>AP47+AO48*AK48</f>
        <v/>
      </c>
      <c r="AQ48" s="68">
        <f>AP48-AO48*AK48/2-10*MAX(AL48-$AA$19,0)</f>
        <v/>
      </c>
      <c r="AR48" s="67" t="n">
        <v>28.071</v>
      </c>
      <c r="AS48" s="67" t="n">
        <v>18.832</v>
      </c>
      <c r="AT48" s="68">
        <f>IF(AR48="","",AR48-AS48)</f>
        <v/>
      </c>
      <c r="AU48" s="67" t="n">
        <v>0.59</v>
      </c>
      <c r="AV48" s="68">
        <f>IF(AM48="Sand",0,Input!$AA$31*AN48)</f>
        <v/>
      </c>
      <c r="AW48" s="68">
        <f>IF(AM48="Sand",27.1+0.3*MIN(Input!$AA$32*AN48,60)-0.00054*MIN(Input!$AA$32*AN48,60)^2,MIN(MAX(DEGREES(ASIN(0.8-0.094*LN(MAX(IF(AT48="",10,AT48),5)))),20),30))</f>
        <v/>
      </c>
      <c r="AX48" s="68">
        <f>IF(AM48="Sand",Input!$AA$33*Input!$AA$32*AN48,Input!$AA$34*AV48)</f>
        <v/>
      </c>
      <c r="AY48" s="68">
        <f>IF(AM48="Sand",Input!$AA$35,0.5)</f>
        <v/>
      </c>
      <c r="AZ48" s="68">
        <f>Input!$AA$15/2/AL48</f>
        <v/>
      </c>
      <c r="BA48" s="68">
        <f>Input!$AA$16/2/AL48</f>
        <v/>
      </c>
      <c r="BB48" s="68">
        <f>1/(4*PI())*(2*AZ48*BA48*SQRT(AZ48^2+BA48^2+1)/(AZ48^2+BA48^2+1+AZ48^2*BA48^2)*(AZ48^2+BA48^2+2)/(AZ48^2+BA48^2+1)+ATAN2(AZ48^2+BA48^2+1-AZ48^2*BA48^2,2*AZ48*BA48*SQRT(AZ48^2+BA48^2+1)))</f>
        <v/>
      </c>
      <c r="BC48" s="68">
        <f>4*Input!$AA$14*BB48</f>
        <v/>
      </c>
      <c r="BD48" s="68">
        <f>((Input!$AA$16/Input!$AA$15)*LN((1+SQRT((Input!$AA$16/Input!$AA$15)^2+1))*SQRT((Input!$AA$16/Input!$AA$15)^2+(AJ48/(Input!$AA$15/2))^2)/((Input!$AA$16/Input!$AA$15)*(1+SQRT((Input!$AA$16/Input!$AA$15)^2+(AJ48/(Input!$AA$15/2))^2+1))))+LN(((Input!$AA$16/Input!$AA$15)+SQRT((Input!$AA$16/Input!$AA$15)^2+1))*SQRT(1+(AJ48/(Input!$AA$15/2))^2)/((Input!$AA$16/Input!$AA$15)+SQRT((Input!$AA$16/Input!$AA$15)^2+(AJ48/(Input!$AA$15/2))^2+1))))/PI()</f>
        <v/>
      </c>
      <c r="BE48" s="68">
        <f>(AJ48/(Input!$AA$15/2))/(2*PI())*ATAN((Input!$AA$16/Input!$AA$15)/((AJ48/(Input!$AA$15/2))*SQRT((Input!$AA$16/Input!$AA$15)^2+(AJ48/(Input!$AA$15/2))^2+1)))</f>
        <v/>
      </c>
      <c r="BF48" s="68">
        <f>MAX(0,AJ48-MAX(AI48,$AA$22))/AK48*IF(BC48&gt;=Input!$AA$21*AQ48,1,0)</f>
        <v/>
      </c>
      <c r="BG48" s="68">
        <f>4*Input!$AA$14*(Input!$AA$15/2)*(1-AY48^2)/AX48*((BD48-BD47)+(1-2*AY48)/(1-AY48)*(BE48-BE47))*1000*BF48</f>
        <v/>
      </c>
      <c r="BH48" s="68">
        <f>IF(AM48="Sand",0,0.009*(AR48-10))</f>
        <v/>
      </c>
      <c r="BI48" s="68">
        <f>BH48*Input!$AA$36</f>
        <v/>
      </c>
      <c r="BJ48" s="68">
        <f>IF(AM48="Sand",0,MAX(AV48/Input!$AA$37,AQ48))</f>
        <v/>
      </c>
      <c r="BK48" s="68">
        <f>IF(AM48="Sand",0,1000*AK48/(1+AU48)*IF(AQ48+BC48&lt;=BJ48,BI48*LOG10((AQ48+BC48)/AQ48),BI48*LOG10(BJ48/AQ48)+BH48*LOG10((AQ48+BC48)/BJ48)))*BF48</f>
        <v/>
      </c>
      <c r="BL48" s="68">
        <f>IF(AM48="Sand",0,10^(INDEX(Input!$Q$48:$Q$54,MIN(MATCH(MIN(MAX(AR48,30),120),Input!$C$48:$C$54,1),6))+(MIN(MAX(AR48,30),120)-INDEX(Input!$C$48:$C$54,MIN(MATCH(MIN(MAX(AR48,30),120),Input!$C$48:$C$54,1),6)))/(INDEX(Input!$C$48:$C$54,MIN(MATCH(MIN(MAX(AR48,30),120),Input!$C$48:$C$54,1),6)+1)-INDEX(Input!$C$48:$C$54,MIN(MATCH(MIN(MAX(AR48,30),120),Input!$C$48:$C$54,1),6)))*(INDEX(Input!$Q$48:$Q$54,MIN(MATCH(MIN(MAX(AR48,30),120),Input!$C$48:$C$54,1),6)+1)-INDEX(Input!$Q$48:$Q$54,MIN(MATCH(MIN(MAX(AR48,30),120),Input!$C$48:$C$54,1),6)))))</f>
        <v/>
      </c>
      <c r="BM48" s="68">
        <f>IF(OR(AM48="Sand",BF48=0),0,Input!$AA$38*(AK48/2)^2/(BL48*1E-4*31536000))</f>
        <v/>
      </c>
      <c r="BN48" s="68">
        <f>MAX(0,MIN(AJ48,Input!$AA$20)-AI48)</f>
        <v/>
      </c>
      <c r="BO48" s="68">
        <f>MAX(0,MIN(AJ48,Input!$AA$20)-MAX(AI48,$AA$22))</f>
        <v/>
      </c>
      <c r="BP48" s="68">
        <f>MAX(0,MIN(AJ48,$AA$225)-AI48)</f>
        <v/>
      </c>
      <c r="BQ48" s="68" t="inlineStr">
        <is>
          <t>data copied from BH-01; LL/PL/e0 = borehole average</t>
        </is>
      </c>
    </row>
    <row r="49">
      <c r="B49" s="9" t="n"/>
      <c r="C49" s="57" t="n">
        <v>22</v>
      </c>
      <c r="D49" s="41" t="n"/>
      <c r="E49" s="55">
        <f>AI49</f>
        <v/>
      </c>
      <c r="F49" s="41" t="n"/>
      <c r="G49" s="41" t="n"/>
      <c r="H49" s="55">
        <f>AJ49</f>
        <v/>
      </c>
      <c r="I49" s="41" t="n"/>
      <c r="J49" s="41" t="n"/>
      <c r="K49" s="52">
        <f>AM49</f>
        <v/>
      </c>
      <c r="L49" s="41" t="n"/>
      <c r="M49" s="41" t="n"/>
      <c r="N49" s="57">
        <f>AN49</f>
        <v/>
      </c>
      <c r="O49" s="41" t="n"/>
      <c r="P49" s="41" t="n"/>
      <c r="Q49" s="53">
        <f>AO49</f>
        <v/>
      </c>
      <c r="R49" s="41" t="n"/>
      <c r="S49" s="41" t="n"/>
      <c r="T49" s="57">
        <f>IF(AR49="","-",AR49)</f>
        <v/>
      </c>
      <c r="U49" s="41" t="n"/>
      <c r="V49" s="57">
        <f>IF(AT49="","-",AT49)</f>
        <v/>
      </c>
      <c r="W49" s="41" t="n"/>
      <c r="X49" s="55">
        <f>AU49</f>
        <v/>
      </c>
      <c r="Y49" s="41" t="n"/>
      <c r="Z49" s="66">
        <f>AV49</f>
        <v/>
      </c>
      <c r="AA49" s="41" t="n"/>
      <c r="AB49" s="41" t="n"/>
      <c r="AC49" s="53">
        <f>AW49</f>
        <v/>
      </c>
      <c r="AD49" s="41" t="n"/>
      <c r="AE49" s="41" t="n"/>
      <c r="AF49" s="15" t="n"/>
      <c r="AI49" s="67" t="n">
        <v>31.5</v>
      </c>
      <c r="AJ49" s="67" t="n">
        <v>33</v>
      </c>
      <c r="AK49" s="68">
        <f>AJ49-AI49</f>
        <v/>
      </c>
      <c r="AL49" s="68">
        <f>(AI49+AJ49)/2</f>
        <v/>
      </c>
      <c r="AM49" s="67" t="inlineStr">
        <is>
          <t>Clay</t>
        </is>
      </c>
      <c r="AN49" s="67" t="n">
        <v>50</v>
      </c>
      <c r="AO49" s="68">
        <f>IF(AL49&gt;$AA$19,$AA$21,$AA$20)</f>
        <v/>
      </c>
      <c r="AP49" s="68">
        <f>AP48+AO49*AK49</f>
        <v/>
      </c>
      <c r="AQ49" s="68">
        <f>AP49-AO49*AK49/2-10*MAX(AL49-$AA$19,0)</f>
        <v/>
      </c>
      <c r="AR49" s="67" t="n">
        <v>28.071</v>
      </c>
      <c r="AS49" s="67" t="n">
        <v>18.832</v>
      </c>
      <c r="AT49" s="68">
        <f>IF(AR49="","",AR49-AS49)</f>
        <v/>
      </c>
      <c r="AU49" s="67" t="n">
        <v>0.59</v>
      </c>
      <c r="AV49" s="68">
        <f>IF(AM49="Sand",0,Input!$AA$31*AN49)</f>
        <v/>
      </c>
      <c r="AW49" s="68">
        <f>IF(AM49="Sand",27.1+0.3*MIN(Input!$AA$32*AN49,60)-0.00054*MIN(Input!$AA$32*AN49,60)^2,MIN(MAX(DEGREES(ASIN(0.8-0.094*LN(MAX(IF(AT49="",10,AT49),5)))),20),30))</f>
        <v/>
      </c>
      <c r="AX49" s="68">
        <f>IF(AM49="Sand",Input!$AA$33*Input!$AA$32*AN49,Input!$AA$34*AV49)</f>
        <v/>
      </c>
      <c r="AY49" s="68">
        <f>IF(AM49="Sand",Input!$AA$35,0.5)</f>
        <v/>
      </c>
      <c r="AZ49" s="68">
        <f>Input!$AA$15/2/AL49</f>
        <v/>
      </c>
      <c r="BA49" s="68">
        <f>Input!$AA$16/2/AL49</f>
        <v/>
      </c>
      <c r="BB49" s="68">
        <f>1/(4*PI())*(2*AZ49*BA49*SQRT(AZ49^2+BA49^2+1)/(AZ49^2+BA49^2+1+AZ49^2*BA49^2)*(AZ49^2+BA49^2+2)/(AZ49^2+BA49^2+1)+ATAN2(AZ49^2+BA49^2+1-AZ49^2*BA49^2,2*AZ49*BA49*SQRT(AZ49^2+BA49^2+1)))</f>
        <v/>
      </c>
      <c r="BC49" s="68">
        <f>4*Input!$AA$14*BB49</f>
        <v/>
      </c>
      <c r="BD49" s="68">
        <f>((Input!$AA$16/Input!$AA$15)*LN((1+SQRT((Input!$AA$16/Input!$AA$15)^2+1))*SQRT((Input!$AA$16/Input!$AA$15)^2+(AJ49/(Input!$AA$15/2))^2)/((Input!$AA$16/Input!$AA$15)*(1+SQRT((Input!$AA$16/Input!$AA$15)^2+(AJ49/(Input!$AA$15/2))^2+1))))+LN(((Input!$AA$16/Input!$AA$15)+SQRT((Input!$AA$16/Input!$AA$15)^2+1))*SQRT(1+(AJ49/(Input!$AA$15/2))^2)/((Input!$AA$16/Input!$AA$15)+SQRT((Input!$AA$16/Input!$AA$15)^2+(AJ49/(Input!$AA$15/2))^2+1))))/PI()</f>
        <v/>
      </c>
      <c r="BE49" s="68">
        <f>(AJ49/(Input!$AA$15/2))/(2*PI())*ATAN((Input!$AA$16/Input!$AA$15)/((AJ49/(Input!$AA$15/2))*SQRT((Input!$AA$16/Input!$AA$15)^2+(AJ49/(Input!$AA$15/2))^2+1)))</f>
        <v/>
      </c>
      <c r="BF49" s="68">
        <f>MAX(0,AJ49-MAX(AI49,$AA$22))/AK49*IF(BC49&gt;=Input!$AA$21*AQ49,1,0)</f>
        <v/>
      </c>
      <c r="BG49" s="68">
        <f>4*Input!$AA$14*(Input!$AA$15/2)*(1-AY49^2)/AX49*((BD49-BD48)+(1-2*AY49)/(1-AY49)*(BE49-BE48))*1000*BF49</f>
        <v/>
      </c>
      <c r="BH49" s="68">
        <f>IF(AM49="Sand",0,0.009*(AR49-10))</f>
        <v/>
      </c>
      <c r="BI49" s="68">
        <f>BH49*Input!$AA$36</f>
        <v/>
      </c>
      <c r="BJ49" s="68">
        <f>IF(AM49="Sand",0,MAX(AV49/Input!$AA$37,AQ49))</f>
        <v/>
      </c>
      <c r="BK49" s="68">
        <f>IF(AM49="Sand",0,1000*AK49/(1+AU49)*IF(AQ49+BC49&lt;=BJ49,BI49*LOG10((AQ49+BC49)/AQ49),BI49*LOG10(BJ49/AQ49)+BH49*LOG10((AQ49+BC49)/BJ49)))*BF49</f>
        <v/>
      </c>
      <c r="BL49" s="68">
        <f>IF(AM49="Sand",0,10^(INDEX(Input!$Q$48:$Q$54,MIN(MATCH(MIN(MAX(AR49,30),120),Input!$C$48:$C$54,1),6))+(MIN(MAX(AR49,30),120)-INDEX(Input!$C$48:$C$54,MIN(MATCH(MIN(MAX(AR49,30),120),Input!$C$48:$C$54,1),6)))/(INDEX(Input!$C$48:$C$54,MIN(MATCH(MIN(MAX(AR49,30),120),Input!$C$48:$C$54,1),6)+1)-INDEX(Input!$C$48:$C$54,MIN(MATCH(MIN(MAX(AR49,30),120),Input!$C$48:$C$54,1),6)))*(INDEX(Input!$Q$48:$Q$54,MIN(MATCH(MIN(MAX(AR49,30),120),Input!$C$48:$C$54,1),6)+1)-INDEX(Input!$Q$48:$Q$54,MIN(MATCH(MIN(MAX(AR49,30),120),Input!$C$48:$C$54,1),6)))))</f>
        <v/>
      </c>
      <c r="BM49" s="68">
        <f>IF(OR(AM49="Sand",BF49=0),0,Input!$AA$38*(AK49/2)^2/(BL49*1E-4*31536000))</f>
        <v/>
      </c>
      <c r="BN49" s="68">
        <f>MAX(0,MIN(AJ49,Input!$AA$20)-AI49)</f>
        <v/>
      </c>
      <c r="BO49" s="68">
        <f>MAX(0,MIN(AJ49,Input!$AA$20)-MAX(AI49,$AA$22))</f>
        <v/>
      </c>
      <c r="BP49" s="68">
        <f>MAX(0,MIN(AJ49,$AA$225)-AI49)</f>
        <v/>
      </c>
      <c r="BQ49" s="68" t="inlineStr">
        <is>
          <t>data copied from BH-01; LL/PL/e0 = borehole average</t>
        </is>
      </c>
    </row>
    <row r="50">
      <c r="B50" s="9" t="n"/>
      <c r="C50" s="57" t="n">
        <v>23</v>
      </c>
      <c r="D50" s="41" t="n"/>
      <c r="E50" s="55">
        <f>AI50</f>
        <v/>
      </c>
      <c r="F50" s="41" t="n"/>
      <c r="G50" s="41" t="n"/>
      <c r="H50" s="55">
        <f>AJ50</f>
        <v/>
      </c>
      <c r="I50" s="41" t="n"/>
      <c r="J50" s="41" t="n"/>
      <c r="K50" s="52">
        <f>AM50</f>
        <v/>
      </c>
      <c r="L50" s="41" t="n"/>
      <c r="M50" s="41" t="n"/>
      <c r="N50" s="57">
        <f>AN50</f>
        <v/>
      </c>
      <c r="O50" s="41" t="n"/>
      <c r="P50" s="41" t="n"/>
      <c r="Q50" s="53">
        <f>AO50</f>
        <v/>
      </c>
      <c r="R50" s="41" t="n"/>
      <c r="S50" s="41" t="n"/>
      <c r="T50" s="57">
        <f>IF(AR50="","-",AR50)</f>
        <v/>
      </c>
      <c r="U50" s="41" t="n"/>
      <c r="V50" s="57">
        <f>IF(AT50="","-",AT50)</f>
        <v/>
      </c>
      <c r="W50" s="41" t="n"/>
      <c r="X50" s="55">
        <f>AU50</f>
        <v/>
      </c>
      <c r="Y50" s="41" t="n"/>
      <c r="Z50" s="66">
        <f>AV50</f>
        <v/>
      </c>
      <c r="AA50" s="41" t="n"/>
      <c r="AB50" s="41" t="n"/>
      <c r="AC50" s="53">
        <f>AW50</f>
        <v/>
      </c>
      <c r="AD50" s="41" t="n"/>
      <c r="AE50" s="41" t="n"/>
      <c r="AF50" s="15" t="n"/>
      <c r="AI50" s="67" t="n">
        <v>33</v>
      </c>
      <c r="AJ50" s="67" t="n">
        <v>34.5</v>
      </c>
      <c r="AK50" s="68">
        <f>AJ50-AI50</f>
        <v/>
      </c>
      <c r="AL50" s="68">
        <f>(AI50+AJ50)/2</f>
        <v/>
      </c>
      <c r="AM50" s="67" t="inlineStr">
        <is>
          <t>Clay</t>
        </is>
      </c>
      <c r="AN50" s="67" t="n">
        <v>50</v>
      </c>
      <c r="AO50" s="68">
        <f>IF(AL50&gt;$AA$19,$AA$21,$AA$20)</f>
        <v/>
      </c>
      <c r="AP50" s="68">
        <f>AP49+AO50*AK50</f>
        <v/>
      </c>
      <c r="AQ50" s="68">
        <f>AP50-AO50*AK50/2-10*MAX(AL50-$AA$19,0)</f>
        <v/>
      </c>
      <c r="AR50" s="67" t="n">
        <v>28.071</v>
      </c>
      <c r="AS50" s="67" t="n">
        <v>18.832</v>
      </c>
      <c r="AT50" s="68">
        <f>IF(AR50="","",AR50-AS50)</f>
        <v/>
      </c>
      <c r="AU50" s="67" t="n">
        <v>0.59</v>
      </c>
      <c r="AV50" s="68">
        <f>IF(AM50="Sand",0,Input!$AA$31*AN50)</f>
        <v/>
      </c>
      <c r="AW50" s="68">
        <f>IF(AM50="Sand",27.1+0.3*MIN(Input!$AA$32*AN50,60)-0.00054*MIN(Input!$AA$32*AN50,60)^2,MIN(MAX(DEGREES(ASIN(0.8-0.094*LN(MAX(IF(AT50="",10,AT50),5)))),20),30))</f>
        <v/>
      </c>
      <c r="AX50" s="68">
        <f>IF(AM50="Sand",Input!$AA$33*Input!$AA$32*AN50,Input!$AA$34*AV50)</f>
        <v/>
      </c>
      <c r="AY50" s="68">
        <f>IF(AM50="Sand",Input!$AA$35,0.5)</f>
        <v/>
      </c>
      <c r="AZ50" s="68">
        <f>Input!$AA$15/2/AL50</f>
        <v/>
      </c>
      <c r="BA50" s="68">
        <f>Input!$AA$16/2/AL50</f>
        <v/>
      </c>
      <c r="BB50" s="68">
        <f>1/(4*PI())*(2*AZ50*BA50*SQRT(AZ50^2+BA50^2+1)/(AZ50^2+BA50^2+1+AZ50^2*BA50^2)*(AZ50^2+BA50^2+2)/(AZ50^2+BA50^2+1)+ATAN2(AZ50^2+BA50^2+1-AZ50^2*BA50^2,2*AZ50*BA50*SQRT(AZ50^2+BA50^2+1)))</f>
        <v/>
      </c>
      <c r="BC50" s="68">
        <f>4*Input!$AA$14*BB50</f>
        <v/>
      </c>
      <c r="BD50" s="68">
        <f>((Input!$AA$16/Input!$AA$15)*LN((1+SQRT((Input!$AA$16/Input!$AA$15)^2+1))*SQRT((Input!$AA$16/Input!$AA$15)^2+(AJ50/(Input!$AA$15/2))^2)/((Input!$AA$16/Input!$AA$15)*(1+SQRT((Input!$AA$16/Input!$AA$15)^2+(AJ50/(Input!$AA$15/2))^2+1))))+LN(((Input!$AA$16/Input!$AA$15)+SQRT((Input!$AA$16/Input!$AA$15)^2+1))*SQRT(1+(AJ50/(Input!$AA$15/2))^2)/((Input!$AA$16/Input!$AA$15)+SQRT((Input!$AA$16/Input!$AA$15)^2+(AJ50/(Input!$AA$15/2))^2+1))))/PI()</f>
        <v/>
      </c>
      <c r="BE50" s="68">
        <f>(AJ50/(Input!$AA$15/2))/(2*PI())*ATAN((Input!$AA$16/Input!$AA$15)/((AJ50/(Input!$AA$15/2))*SQRT((Input!$AA$16/Input!$AA$15)^2+(AJ50/(Input!$AA$15/2))^2+1)))</f>
        <v/>
      </c>
      <c r="BF50" s="68">
        <f>MAX(0,AJ50-MAX(AI50,$AA$22))/AK50*IF(BC50&gt;=Input!$AA$21*AQ50,1,0)</f>
        <v/>
      </c>
      <c r="BG50" s="68">
        <f>4*Input!$AA$14*(Input!$AA$15/2)*(1-AY50^2)/AX50*((BD50-BD49)+(1-2*AY50)/(1-AY50)*(BE50-BE49))*1000*BF50</f>
        <v/>
      </c>
      <c r="BH50" s="68">
        <f>IF(AM50="Sand",0,0.009*(AR50-10))</f>
        <v/>
      </c>
      <c r="BI50" s="68">
        <f>BH50*Input!$AA$36</f>
        <v/>
      </c>
      <c r="BJ50" s="68">
        <f>IF(AM50="Sand",0,MAX(AV50/Input!$AA$37,AQ50))</f>
        <v/>
      </c>
      <c r="BK50" s="68">
        <f>IF(AM50="Sand",0,1000*AK50/(1+AU50)*IF(AQ50+BC50&lt;=BJ50,BI50*LOG10((AQ50+BC50)/AQ50),BI50*LOG10(BJ50/AQ50)+BH50*LOG10((AQ50+BC50)/BJ50)))*BF50</f>
        <v/>
      </c>
      <c r="BL50" s="68">
        <f>IF(AM50="Sand",0,10^(INDEX(Input!$Q$48:$Q$54,MIN(MATCH(MIN(MAX(AR50,30),120),Input!$C$48:$C$54,1),6))+(MIN(MAX(AR50,30),120)-INDEX(Input!$C$48:$C$54,MIN(MATCH(MIN(MAX(AR50,30),120),Input!$C$48:$C$54,1),6)))/(INDEX(Input!$C$48:$C$54,MIN(MATCH(MIN(MAX(AR50,30),120),Input!$C$48:$C$54,1),6)+1)-INDEX(Input!$C$48:$C$54,MIN(MATCH(MIN(MAX(AR50,30),120),Input!$C$48:$C$54,1),6)))*(INDEX(Input!$Q$48:$Q$54,MIN(MATCH(MIN(MAX(AR50,30),120),Input!$C$48:$C$54,1),6)+1)-INDEX(Input!$Q$48:$Q$54,MIN(MATCH(MIN(MAX(AR50,30),120),Input!$C$48:$C$54,1),6)))))</f>
        <v/>
      </c>
      <c r="BM50" s="68">
        <f>IF(OR(AM50="Sand",BF50=0),0,Input!$AA$38*(AK50/2)^2/(BL50*1E-4*31536000))</f>
        <v/>
      </c>
      <c r="BN50" s="68">
        <f>MAX(0,MIN(AJ50,Input!$AA$20)-AI50)</f>
        <v/>
      </c>
      <c r="BO50" s="68">
        <f>MAX(0,MIN(AJ50,Input!$AA$20)-MAX(AI50,$AA$22))</f>
        <v/>
      </c>
      <c r="BP50" s="68">
        <f>MAX(0,MIN(AJ50,$AA$225)-AI50)</f>
        <v/>
      </c>
      <c r="BQ50" s="68" t="inlineStr">
        <is>
          <t>data copied from BH-01; LL/PL/e0 = borehole average</t>
        </is>
      </c>
    </row>
    <row r="51">
      <c r="B51" s="9" t="n"/>
      <c r="C51" s="57" t="n">
        <v>24</v>
      </c>
      <c r="D51" s="41" t="n"/>
      <c r="E51" s="55">
        <f>AI51</f>
        <v/>
      </c>
      <c r="F51" s="41" t="n"/>
      <c r="G51" s="41" t="n"/>
      <c r="H51" s="55">
        <f>AJ51</f>
        <v/>
      </c>
      <c r="I51" s="41" t="n"/>
      <c r="J51" s="41" t="n"/>
      <c r="K51" s="52">
        <f>AM51</f>
        <v/>
      </c>
      <c r="L51" s="41" t="n"/>
      <c r="M51" s="41" t="n"/>
      <c r="N51" s="57">
        <f>AN51</f>
        <v/>
      </c>
      <c r="O51" s="41" t="n"/>
      <c r="P51" s="41" t="n"/>
      <c r="Q51" s="53">
        <f>AO51</f>
        <v/>
      </c>
      <c r="R51" s="41" t="n"/>
      <c r="S51" s="41" t="n"/>
      <c r="T51" s="57">
        <f>IF(AR51="","-",AR51)</f>
        <v/>
      </c>
      <c r="U51" s="41" t="n"/>
      <c r="V51" s="57">
        <f>IF(AT51="","-",AT51)</f>
        <v/>
      </c>
      <c r="W51" s="41" t="n"/>
      <c r="X51" s="55">
        <f>AU51</f>
        <v/>
      </c>
      <c r="Y51" s="41" t="n"/>
      <c r="Z51" s="66">
        <f>AV51</f>
        <v/>
      </c>
      <c r="AA51" s="41" t="n"/>
      <c r="AB51" s="41" t="n"/>
      <c r="AC51" s="53">
        <f>AW51</f>
        <v/>
      </c>
      <c r="AD51" s="41" t="n"/>
      <c r="AE51" s="41" t="n"/>
      <c r="AF51" s="15" t="n"/>
      <c r="AI51" s="67" t="n">
        <v>34.5</v>
      </c>
      <c r="AJ51" s="67" t="n">
        <v>36</v>
      </c>
      <c r="AK51" s="68">
        <f>AJ51-AI51</f>
        <v/>
      </c>
      <c r="AL51" s="68">
        <f>(AI51+AJ51)/2</f>
        <v/>
      </c>
      <c r="AM51" s="67" t="inlineStr">
        <is>
          <t>Clay</t>
        </is>
      </c>
      <c r="AN51" s="67" t="n">
        <v>50</v>
      </c>
      <c r="AO51" s="68">
        <f>IF(AL51&gt;$AA$19,$AA$21,$AA$20)</f>
        <v/>
      </c>
      <c r="AP51" s="68">
        <f>AP50+AO51*AK51</f>
        <v/>
      </c>
      <c r="AQ51" s="68">
        <f>AP51-AO51*AK51/2-10*MAX(AL51-$AA$19,0)</f>
        <v/>
      </c>
      <c r="AR51" s="67" t="n">
        <v>25.39</v>
      </c>
      <c r="AS51" s="67" t="n">
        <v>15.08</v>
      </c>
      <c r="AT51" s="68">
        <f>IF(AR51="","",AR51-AS51)</f>
        <v/>
      </c>
      <c r="AU51" s="67" t="n">
        <v>0.51</v>
      </c>
      <c r="AV51" s="68">
        <f>IF(AM51="Sand",0,Input!$AA$31*AN51)</f>
        <v/>
      </c>
      <c r="AW51" s="68">
        <f>IF(AM51="Sand",27.1+0.3*MIN(Input!$AA$32*AN51,60)-0.00054*MIN(Input!$AA$32*AN51,60)^2,MIN(MAX(DEGREES(ASIN(0.8-0.094*LN(MAX(IF(AT51="",10,AT51),5)))),20),30))</f>
        <v/>
      </c>
      <c r="AX51" s="68">
        <f>IF(AM51="Sand",Input!$AA$33*Input!$AA$32*AN51,Input!$AA$34*AV51)</f>
        <v/>
      </c>
      <c r="AY51" s="68">
        <f>IF(AM51="Sand",Input!$AA$35,0.5)</f>
        <v/>
      </c>
      <c r="AZ51" s="68">
        <f>Input!$AA$15/2/AL51</f>
        <v/>
      </c>
      <c r="BA51" s="68">
        <f>Input!$AA$16/2/AL51</f>
        <v/>
      </c>
      <c r="BB51" s="68">
        <f>1/(4*PI())*(2*AZ51*BA51*SQRT(AZ51^2+BA51^2+1)/(AZ51^2+BA51^2+1+AZ51^2*BA51^2)*(AZ51^2+BA51^2+2)/(AZ51^2+BA51^2+1)+ATAN2(AZ51^2+BA51^2+1-AZ51^2*BA51^2,2*AZ51*BA51*SQRT(AZ51^2+BA51^2+1)))</f>
        <v/>
      </c>
      <c r="BC51" s="68">
        <f>4*Input!$AA$14*BB51</f>
        <v/>
      </c>
      <c r="BD51" s="68">
        <f>((Input!$AA$16/Input!$AA$15)*LN((1+SQRT((Input!$AA$16/Input!$AA$15)^2+1))*SQRT((Input!$AA$16/Input!$AA$15)^2+(AJ51/(Input!$AA$15/2))^2)/((Input!$AA$16/Input!$AA$15)*(1+SQRT((Input!$AA$16/Input!$AA$15)^2+(AJ51/(Input!$AA$15/2))^2+1))))+LN(((Input!$AA$16/Input!$AA$15)+SQRT((Input!$AA$16/Input!$AA$15)^2+1))*SQRT(1+(AJ51/(Input!$AA$15/2))^2)/((Input!$AA$16/Input!$AA$15)+SQRT((Input!$AA$16/Input!$AA$15)^2+(AJ51/(Input!$AA$15/2))^2+1))))/PI()</f>
        <v/>
      </c>
      <c r="BE51" s="68">
        <f>(AJ51/(Input!$AA$15/2))/(2*PI())*ATAN((Input!$AA$16/Input!$AA$15)/((AJ51/(Input!$AA$15/2))*SQRT((Input!$AA$16/Input!$AA$15)^2+(AJ51/(Input!$AA$15/2))^2+1)))</f>
        <v/>
      </c>
      <c r="BF51" s="68">
        <f>MAX(0,AJ51-MAX(AI51,$AA$22))/AK51*IF(BC51&gt;=Input!$AA$21*AQ51,1,0)</f>
        <v/>
      </c>
      <c r="BG51" s="68">
        <f>4*Input!$AA$14*(Input!$AA$15/2)*(1-AY51^2)/AX51*((BD51-BD50)+(1-2*AY51)/(1-AY51)*(BE51-BE50))*1000*BF51</f>
        <v/>
      </c>
      <c r="BH51" s="68">
        <f>IF(AM51="Sand",0,0.009*(AR51-10))</f>
        <v/>
      </c>
      <c r="BI51" s="68">
        <f>BH51*Input!$AA$36</f>
        <v/>
      </c>
      <c r="BJ51" s="68">
        <f>IF(AM51="Sand",0,MAX(AV51/Input!$AA$37,AQ51))</f>
        <v/>
      </c>
      <c r="BK51" s="68">
        <f>IF(AM51="Sand",0,1000*AK51/(1+AU51)*IF(AQ51+BC51&lt;=BJ51,BI51*LOG10((AQ51+BC51)/AQ51),BI51*LOG10(BJ51/AQ51)+BH51*LOG10((AQ51+BC51)/BJ51)))*BF51</f>
        <v/>
      </c>
      <c r="BL51" s="68">
        <f>IF(AM51="Sand",0,10^(INDEX(Input!$Q$48:$Q$54,MIN(MATCH(MIN(MAX(AR51,30),120),Input!$C$48:$C$54,1),6))+(MIN(MAX(AR51,30),120)-INDEX(Input!$C$48:$C$54,MIN(MATCH(MIN(MAX(AR51,30),120),Input!$C$48:$C$54,1),6)))/(INDEX(Input!$C$48:$C$54,MIN(MATCH(MIN(MAX(AR51,30),120),Input!$C$48:$C$54,1),6)+1)-INDEX(Input!$C$48:$C$54,MIN(MATCH(MIN(MAX(AR51,30),120),Input!$C$48:$C$54,1),6)))*(INDEX(Input!$Q$48:$Q$54,MIN(MATCH(MIN(MAX(AR51,30),120),Input!$C$48:$C$54,1),6)+1)-INDEX(Input!$Q$48:$Q$54,MIN(MATCH(MIN(MAX(AR51,30),120),Input!$C$48:$C$54,1),6)))))</f>
        <v/>
      </c>
      <c r="BM51" s="68">
        <f>IF(OR(AM51="Sand",BF51=0),0,Input!$AA$38*(AK51/2)^2/(BL51*1E-4*31536000))</f>
        <v/>
      </c>
      <c r="BN51" s="68">
        <f>MAX(0,MIN(AJ51,Input!$AA$20)-AI51)</f>
        <v/>
      </c>
      <c r="BO51" s="68">
        <f>MAX(0,MIN(AJ51,Input!$AA$20)-MAX(AI51,$AA$22))</f>
        <v/>
      </c>
      <c r="BP51" s="68">
        <f>MAX(0,MIN(AJ51,$AA$225)-AI51)</f>
        <v/>
      </c>
      <c r="BQ51" s="68" t="inlineStr">
        <is>
          <t>data copied from BH-01</t>
        </is>
      </c>
    </row>
    <row r="52">
      <c r="B52" s="9" t="n"/>
      <c r="C52" s="57" t="n">
        <v>25</v>
      </c>
      <c r="D52" s="41" t="n"/>
      <c r="E52" s="55">
        <f>AI52</f>
        <v/>
      </c>
      <c r="F52" s="41" t="n"/>
      <c r="G52" s="41" t="n"/>
      <c r="H52" s="55">
        <f>AJ52</f>
        <v/>
      </c>
      <c r="I52" s="41" t="n"/>
      <c r="J52" s="41" t="n"/>
      <c r="K52" s="52">
        <f>AM52</f>
        <v/>
      </c>
      <c r="L52" s="41" t="n"/>
      <c r="M52" s="41" t="n"/>
      <c r="N52" s="57">
        <f>AN52</f>
        <v/>
      </c>
      <c r="O52" s="41" t="n"/>
      <c r="P52" s="41" t="n"/>
      <c r="Q52" s="53">
        <f>AO52</f>
        <v/>
      </c>
      <c r="R52" s="41" t="n"/>
      <c r="S52" s="41" t="n"/>
      <c r="T52" s="57">
        <f>IF(AR52="","-",AR52)</f>
        <v/>
      </c>
      <c r="U52" s="41" t="n"/>
      <c r="V52" s="57">
        <f>IF(AT52="","-",AT52)</f>
        <v/>
      </c>
      <c r="W52" s="41" t="n"/>
      <c r="X52" s="55">
        <f>AU52</f>
        <v/>
      </c>
      <c r="Y52" s="41" t="n"/>
      <c r="Z52" s="66">
        <f>AV52</f>
        <v/>
      </c>
      <c r="AA52" s="41" t="n"/>
      <c r="AB52" s="41" t="n"/>
      <c r="AC52" s="53">
        <f>AW52</f>
        <v/>
      </c>
      <c r="AD52" s="41" t="n"/>
      <c r="AE52" s="41" t="n"/>
      <c r="AF52" s="15" t="n"/>
      <c r="AI52" s="67" t="n">
        <v>36</v>
      </c>
      <c r="AJ52" s="67" t="n">
        <v>37.5</v>
      </c>
      <c r="AK52" s="68">
        <f>AJ52-AI52</f>
        <v/>
      </c>
      <c r="AL52" s="68">
        <f>(AI52+AJ52)/2</f>
        <v/>
      </c>
      <c r="AM52" s="67" t="inlineStr">
        <is>
          <t>Sand</t>
        </is>
      </c>
      <c r="AN52" s="67" t="n">
        <v>50</v>
      </c>
      <c r="AO52" s="68">
        <f>IF(AL52&gt;$AA$19,$AA$21,$AA$20)</f>
        <v/>
      </c>
      <c r="AP52" s="68">
        <f>AP51+AO52*AK52</f>
        <v/>
      </c>
      <c r="AQ52" s="68">
        <f>AP52-AO52*AK52/2-10*MAX(AL52-$AA$19,0)</f>
        <v/>
      </c>
      <c r="AR52" s="67" t="n"/>
      <c r="AS52" s="67" t="n"/>
      <c r="AT52" s="68">
        <f>IF(AR52="","",AR52-AS52)</f>
        <v/>
      </c>
      <c r="AU52" s="67" t="n">
        <v>0.65</v>
      </c>
      <c r="AV52" s="68">
        <f>IF(AM52="Sand",0,Input!$AA$31*AN52)</f>
        <v/>
      </c>
      <c r="AW52" s="68">
        <f>IF(AM52="Sand",27.1+0.3*MIN(Input!$AA$32*AN52,60)-0.00054*MIN(Input!$AA$32*AN52,60)^2,MIN(MAX(DEGREES(ASIN(0.8-0.094*LN(MAX(IF(AT52="",10,AT52),5)))),20),30))</f>
        <v/>
      </c>
      <c r="AX52" s="68">
        <f>IF(AM52="Sand",Input!$AA$33*Input!$AA$32*AN52,Input!$AA$34*AV52)</f>
        <v/>
      </c>
      <c r="AY52" s="68">
        <f>IF(AM52="Sand",Input!$AA$35,0.5)</f>
        <v/>
      </c>
      <c r="AZ52" s="68">
        <f>Input!$AA$15/2/AL52</f>
        <v/>
      </c>
      <c r="BA52" s="68">
        <f>Input!$AA$16/2/AL52</f>
        <v/>
      </c>
      <c r="BB52" s="68">
        <f>1/(4*PI())*(2*AZ52*BA52*SQRT(AZ52^2+BA52^2+1)/(AZ52^2+BA52^2+1+AZ52^2*BA52^2)*(AZ52^2+BA52^2+2)/(AZ52^2+BA52^2+1)+ATAN2(AZ52^2+BA52^2+1-AZ52^2*BA52^2,2*AZ52*BA52*SQRT(AZ52^2+BA52^2+1)))</f>
        <v/>
      </c>
      <c r="BC52" s="68">
        <f>4*Input!$AA$14*BB52</f>
        <v/>
      </c>
      <c r="BD52" s="68">
        <f>((Input!$AA$16/Input!$AA$15)*LN((1+SQRT((Input!$AA$16/Input!$AA$15)^2+1))*SQRT((Input!$AA$16/Input!$AA$15)^2+(AJ52/(Input!$AA$15/2))^2)/((Input!$AA$16/Input!$AA$15)*(1+SQRT((Input!$AA$16/Input!$AA$15)^2+(AJ52/(Input!$AA$15/2))^2+1))))+LN(((Input!$AA$16/Input!$AA$15)+SQRT((Input!$AA$16/Input!$AA$15)^2+1))*SQRT(1+(AJ52/(Input!$AA$15/2))^2)/((Input!$AA$16/Input!$AA$15)+SQRT((Input!$AA$16/Input!$AA$15)^2+(AJ52/(Input!$AA$15/2))^2+1))))/PI()</f>
        <v/>
      </c>
      <c r="BE52" s="68">
        <f>(AJ52/(Input!$AA$15/2))/(2*PI())*ATAN((Input!$AA$16/Input!$AA$15)/((AJ52/(Input!$AA$15/2))*SQRT((Input!$AA$16/Input!$AA$15)^2+(AJ52/(Input!$AA$15/2))^2+1)))</f>
        <v/>
      </c>
      <c r="BF52" s="68">
        <f>MAX(0,AJ52-MAX(AI52,$AA$22))/AK52*IF(BC52&gt;=Input!$AA$21*AQ52,1,0)</f>
        <v/>
      </c>
      <c r="BG52" s="68">
        <f>4*Input!$AA$14*(Input!$AA$15/2)*(1-AY52^2)/AX52*((BD52-BD51)+(1-2*AY52)/(1-AY52)*(BE52-BE51))*1000*BF52</f>
        <v/>
      </c>
      <c r="BH52" s="68">
        <f>IF(AM52="Sand",0,0.009*(AR52-10))</f>
        <v/>
      </c>
      <c r="BI52" s="68">
        <f>BH52*Input!$AA$36</f>
        <v/>
      </c>
      <c r="BJ52" s="68">
        <f>IF(AM52="Sand",0,MAX(AV52/Input!$AA$37,AQ52))</f>
        <v/>
      </c>
      <c r="BK52" s="68">
        <f>IF(AM52="Sand",0,1000*AK52/(1+AU52)*IF(AQ52+BC52&lt;=BJ52,BI52*LOG10((AQ52+BC52)/AQ52),BI52*LOG10(BJ52/AQ52)+BH52*LOG10((AQ52+BC52)/BJ52)))*BF52</f>
        <v/>
      </c>
      <c r="BL52" s="68">
        <f>IF(AM52="Sand",0,10^(INDEX(Input!$Q$48:$Q$54,MIN(MATCH(MIN(MAX(AR52,30),120),Input!$C$48:$C$54,1),6))+(MIN(MAX(AR52,30),120)-INDEX(Input!$C$48:$C$54,MIN(MATCH(MIN(MAX(AR52,30),120),Input!$C$48:$C$54,1),6)))/(INDEX(Input!$C$48:$C$54,MIN(MATCH(MIN(MAX(AR52,30),120),Input!$C$48:$C$54,1),6)+1)-INDEX(Input!$C$48:$C$54,MIN(MATCH(MIN(MAX(AR52,30),120),Input!$C$48:$C$54,1),6)))*(INDEX(Input!$Q$48:$Q$54,MIN(MATCH(MIN(MAX(AR52,30),120),Input!$C$48:$C$54,1),6)+1)-INDEX(Input!$Q$48:$Q$54,MIN(MATCH(MIN(MAX(AR52,30),120),Input!$C$48:$C$54,1),6)))))</f>
        <v/>
      </c>
      <c r="BM52" s="68">
        <f>IF(OR(AM52="Sand",BF52=0),0,Input!$AA$38*(AK52/2)^2/(BL52*1E-4*31536000))</f>
        <v/>
      </c>
      <c r="BN52" s="68">
        <f>MAX(0,MIN(AJ52,Input!$AA$20)-AI52)</f>
        <v/>
      </c>
      <c r="BO52" s="68">
        <f>MAX(0,MIN(AJ52,Input!$AA$20)-MAX(AI52,$AA$22))</f>
        <v/>
      </c>
      <c r="BP52" s="68">
        <f>MAX(0,MIN(AJ52,$AA$225)-AI52)</f>
        <v/>
      </c>
      <c r="BQ52" s="68" t="inlineStr">
        <is>
          <t>data copied from BH-01</t>
        </is>
      </c>
    </row>
    <row r="53">
      <c r="B53" s="9" t="n"/>
      <c r="C53" s="57" t="n">
        <v>26</v>
      </c>
      <c r="D53" s="41" t="n"/>
      <c r="E53" s="55">
        <f>AI53</f>
        <v/>
      </c>
      <c r="F53" s="41" t="n"/>
      <c r="G53" s="41" t="n"/>
      <c r="H53" s="55">
        <f>AJ53</f>
        <v/>
      </c>
      <c r="I53" s="41" t="n"/>
      <c r="J53" s="41" t="n"/>
      <c r="K53" s="52">
        <f>AM53</f>
        <v/>
      </c>
      <c r="L53" s="41" t="n"/>
      <c r="M53" s="41" t="n"/>
      <c r="N53" s="57">
        <f>AN53</f>
        <v/>
      </c>
      <c r="O53" s="41" t="n"/>
      <c r="P53" s="41" t="n"/>
      <c r="Q53" s="53">
        <f>AO53</f>
        <v/>
      </c>
      <c r="R53" s="41" t="n"/>
      <c r="S53" s="41" t="n"/>
      <c r="T53" s="57">
        <f>IF(AR53="","-",AR53)</f>
        <v/>
      </c>
      <c r="U53" s="41" t="n"/>
      <c r="V53" s="57">
        <f>IF(AT53="","-",AT53)</f>
        <v/>
      </c>
      <c r="W53" s="41" t="n"/>
      <c r="X53" s="55">
        <f>AU53</f>
        <v/>
      </c>
      <c r="Y53" s="41" t="n"/>
      <c r="Z53" s="66">
        <f>AV53</f>
        <v/>
      </c>
      <c r="AA53" s="41" t="n"/>
      <c r="AB53" s="41" t="n"/>
      <c r="AC53" s="53">
        <f>AW53</f>
        <v/>
      </c>
      <c r="AD53" s="41" t="n"/>
      <c r="AE53" s="41" t="n"/>
      <c r="AF53" s="15" t="n"/>
      <c r="AI53" s="67" t="n">
        <v>37.5</v>
      </c>
      <c r="AJ53" s="67" t="n">
        <v>39</v>
      </c>
      <c r="AK53" s="68">
        <f>AJ53-AI53</f>
        <v/>
      </c>
      <c r="AL53" s="68">
        <f>(AI53+AJ53)/2</f>
        <v/>
      </c>
      <c r="AM53" s="67" t="inlineStr">
        <is>
          <t>Clay</t>
        </is>
      </c>
      <c r="AN53" s="67" t="n">
        <v>50</v>
      </c>
      <c r="AO53" s="68">
        <f>IF(AL53&gt;$AA$19,$AA$21,$AA$20)</f>
        <v/>
      </c>
      <c r="AP53" s="68">
        <f>AP52+AO53*AK53</f>
        <v/>
      </c>
      <c r="AQ53" s="68">
        <f>AP53-AO53*AK53/2-10*MAX(AL53-$AA$19,0)</f>
        <v/>
      </c>
      <c r="AR53" s="67" t="n">
        <v>42.56</v>
      </c>
      <c r="AS53" s="67" t="n">
        <v>27.27</v>
      </c>
      <c r="AT53" s="68">
        <f>IF(AR53="","",AR53-AS53)</f>
        <v/>
      </c>
      <c r="AU53" s="67" t="n">
        <v>1.001</v>
      </c>
      <c r="AV53" s="68">
        <f>IF(AM53="Sand",0,Input!$AA$31*AN53)</f>
        <v/>
      </c>
      <c r="AW53" s="68">
        <f>IF(AM53="Sand",27.1+0.3*MIN(Input!$AA$32*AN53,60)-0.00054*MIN(Input!$AA$32*AN53,60)^2,MIN(MAX(DEGREES(ASIN(0.8-0.094*LN(MAX(IF(AT53="",10,AT53),5)))),20),30))</f>
        <v/>
      </c>
      <c r="AX53" s="68">
        <f>IF(AM53="Sand",Input!$AA$33*Input!$AA$32*AN53,Input!$AA$34*AV53)</f>
        <v/>
      </c>
      <c r="AY53" s="68">
        <f>IF(AM53="Sand",Input!$AA$35,0.5)</f>
        <v/>
      </c>
      <c r="AZ53" s="68">
        <f>Input!$AA$15/2/AL53</f>
        <v/>
      </c>
      <c r="BA53" s="68">
        <f>Input!$AA$16/2/AL53</f>
        <v/>
      </c>
      <c r="BB53" s="68">
        <f>1/(4*PI())*(2*AZ53*BA53*SQRT(AZ53^2+BA53^2+1)/(AZ53^2+BA53^2+1+AZ53^2*BA53^2)*(AZ53^2+BA53^2+2)/(AZ53^2+BA53^2+1)+ATAN2(AZ53^2+BA53^2+1-AZ53^2*BA53^2,2*AZ53*BA53*SQRT(AZ53^2+BA53^2+1)))</f>
        <v/>
      </c>
      <c r="BC53" s="68">
        <f>4*Input!$AA$14*BB53</f>
        <v/>
      </c>
      <c r="BD53" s="68">
        <f>((Input!$AA$16/Input!$AA$15)*LN((1+SQRT((Input!$AA$16/Input!$AA$15)^2+1))*SQRT((Input!$AA$16/Input!$AA$15)^2+(AJ53/(Input!$AA$15/2))^2)/((Input!$AA$16/Input!$AA$15)*(1+SQRT((Input!$AA$16/Input!$AA$15)^2+(AJ53/(Input!$AA$15/2))^2+1))))+LN(((Input!$AA$16/Input!$AA$15)+SQRT((Input!$AA$16/Input!$AA$15)^2+1))*SQRT(1+(AJ53/(Input!$AA$15/2))^2)/((Input!$AA$16/Input!$AA$15)+SQRT((Input!$AA$16/Input!$AA$15)^2+(AJ53/(Input!$AA$15/2))^2+1))))/PI()</f>
        <v/>
      </c>
      <c r="BE53" s="68">
        <f>(AJ53/(Input!$AA$15/2))/(2*PI())*ATAN((Input!$AA$16/Input!$AA$15)/((AJ53/(Input!$AA$15/2))*SQRT((Input!$AA$16/Input!$AA$15)^2+(AJ53/(Input!$AA$15/2))^2+1)))</f>
        <v/>
      </c>
      <c r="BF53" s="68">
        <f>MAX(0,AJ53-MAX(AI53,$AA$22))/AK53*IF(BC53&gt;=Input!$AA$21*AQ53,1,0)</f>
        <v/>
      </c>
      <c r="BG53" s="68">
        <f>4*Input!$AA$14*(Input!$AA$15/2)*(1-AY53^2)/AX53*((BD53-BD52)+(1-2*AY53)/(1-AY53)*(BE53-BE52))*1000*BF53</f>
        <v/>
      </c>
      <c r="BH53" s="68">
        <f>IF(AM53="Sand",0,0.009*(AR53-10))</f>
        <v/>
      </c>
      <c r="BI53" s="68">
        <f>BH53*Input!$AA$36</f>
        <v/>
      </c>
      <c r="BJ53" s="68">
        <f>IF(AM53="Sand",0,MAX(AV53/Input!$AA$37,AQ53))</f>
        <v/>
      </c>
      <c r="BK53" s="68">
        <f>IF(AM53="Sand",0,1000*AK53/(1+AU53)*IF(AQ53+BC53&lt;=BJ53,BI53*LOG10((AQ53+BC53)/AQ53),BI53*LOG10(BJ53/AQ53)+BH53*LOG10((AQ53+BC53)/BJ53)))*BF53</f>
        <v/>
      </c>
      <c r="BL53" s="68">
        <f>IF(AM53="Sand",0,10^(INDEX(Input!$Q$48:$Q$54,MIN(MATCH(MIN(MAX(AR53,30),120),Input!$C$48:$C$54,1),6))+(MIN(MAX(AR53,30),120)-INDEX(Input!$C$48:$C$54,MIN(MATCH(MIN(MAX(AR53,30),120),Input!$C$48:$C$54,1),6)))/(INDEX(Input!$C$48:$C$54,MIN(MATCH(MIN(MAX(AR53,30),120),Input!$C$48:$C$54,1),6)+1)-INDEX(Input!$C$48:$C$54,MIN(MATCH(MIN(MAX(AR53,30),120),Input!$C$48:$C$54,1),6)))*(INDEX(Input!$Q$48:$Q$54,MIN(MATCH(MIN(MAX(AR53,30),120),Input!$C$48:$C$54,1),6)+1)-INDEX(Input!$Q$48:$Q$54,MIN(MATCH(MIN(MAX(AR53,30),120),Input!$C$48:$C$54,1),6)))))</f>
        <v/>
      </c>
      <c r="BM53" s="68">
        <f>IF(OR(AM53="Sand",BF53=0),0,Input!$AA$38*(AK53/2)^2/(BL53*1E-4*31536000))</f>
        <v/>
      </c>
      <c r="BN53" s="68">
        <f>MAX(0,MIN(AJ53,Input!$AA$20)-AI53)</f>
        <v/>
      </c>
      <c r="BO53" s="68">
        <f>MAX(0,MIN(AJ53,Input!$AA$20)-MAX(AI53,$AA$22))</f>
        <v/>
      </c>
      <c r="BP53" s="68">
        <f>MAX(0,MIN(AJ53,$AA$225)-AI53)</f>
        <v/>
      </c>
      <c r="BQ53" s="68" t="inlineStr">
        <is>
          <t>data copied from BH-01</t>
        </is>
      </c>
    </row>
    <row r="54">
      <c r="B54" s="9" t="n"/>
      <c r="C54" s="57" t="n">
        <v>27</v>
      </c>
      <c r="D54" s="41" t="n"/>
      <c r="E54" s="55">
        <f>AI54</f>
        <v/>
      </c>
      <c r="F54" s="41" t="n"/>
      <c r="G54" s="41" t="n"/>
      <c r="H54" s="55">
        <f>AJ54</f>
        <v/>
      </c>
      <c r="I54" s="41" t="n"/>
      <c r="J54" s="41" t="n"/>
      <c r="K54" s="52">
        <f>AM54</f>
        <v/>
      </c>
      <c r="L54" s="41" t="n"/>
      <c r="M54" s="41" t="n"/>
      <c r="N54" s="57">
        <f>AN54</f>
        <v/>
      </c>
      <c r="O54" s="41" t="n"/>
      <c r="P54" s="41" t="n"/>
      <c r="Q54" s="53">
        <f>AO54</f>
        <v/>
      </c>
      <c r="R54" s="41" t="n"/>
      <c r="S54" s="41" t="n"/>
      <c r="T54" s="57">
        <f>IF(AR54="","-",AR54)</f>
        <v/>
      </c>
      <c r="U54" s="41" t="n"/>
      <c r="V54" s="57">
        <f>IF(AT54="","-",AT54)</f>
        <v/>
      </c>
      <c r="W54" s="41" t="n"/>
      <c r="X54" s="55">
        <f>AU54</f>
        <v/>
      </c>
      <c r="Y54" s="41" t="n"/>
      <c r="Z54" s="66">
        <f>AV54</f>
        <v/>
      </c>
      <c r="AA54" s="41" t="n"/>
      <c r="AB54" s="41" t="n"/>
      <c r="AC54" s="53">
        <f>AW54</f>
        <v/>
      </c>
      <c r="AD54" s="41" t="n"/>
      <c r="AE54" s="41" t="n"/>
      <c r="AF54" s="15" t="n"/>
      <c r="AI54" s="67" t="n">
        <v>39</v>
      </c>
      <c r="AJ54" s="67" t="n">
        <v>40.5</v>
      </c>
      <c r="AK54" s="68">
        <f>AJ54-AI54</f>
        <v/>
      </c>
      <c r="AL54" s="68">
        <f>(AI54+AJ54)/2</f>
        <v/>
      </c>
      <c r="AM54" s="67" t="inlineStr">
        <is>
          <t>Clay</t>
        </is>
      </c>
      <c r="AN54" s="67" t="n">
        <v>50</v>
      </c>
      <c r="AO54" s="68">
        <f>IF(AL54&gt;$AA$19,$AA$21,$AA$20)</f>
        <v/>
      </c>
      <c r="AP54" s="68">
        <f>AP53+AO54*AK54</f>
        <v/>
      </c>
      <c r="AQ54" s="68">
        <f>AP54-AO54*AK54/2-10*MAX(AL54-$AA$19,0)</f>
        <v/>
      </c>
      <c r="AR54" s="67" t="n">
        <v>28.071</v>
      </c>
      <c r="AS54" s="67" t="n">
        <v>18.832</v>
      </c>
      <c r="AT54" s="68">
        <f>IF(AR54="","",AR54-AS54)</f>
        <v/>
      </c>
      <c r="AU54" s="67" t="n">
        <v>0.59</v>
      </c>
      <c r="AV54" s="68">
        <f>IF(AM54="Sand",0,Input!$AA$31*AN54)</f>
        <v/>
      </c>
      <c r="AW54" s="68">
        <f>IF(AM54="Sand",27.1+0.3*MIN(Input!$AA$32*AN54,60)-0.00054*MIN(Input!$AA$32*AN54,60)^2,MIN(MAX(DEGREES(ASIN(0.8-0.094*LN(MAX(IF(AT54="",10,AT54),5)))),20),30))</f>
        <v/>
      </c>
      <c r="AX54" s="68">
        <f>IF(AM54="Sand",Input!$AA$33*Input!$AA$32*AN54,Input!$AA$34*AV54)</f>
        <v/>
      </c>
      <c r="AY54" s="68">
        <f>IF(AM54="Sand",Input!$AA$35,0.5)</f>
        <v/>
      </c>
      <c r="AZ54" s="68">
        <f>Input!$AA$15/2/AL54</f>
        <v/>
      </c>
      <c r="BA54" s="68">
        <f>Input!$AA$16/2/AL54</f>
        <v/>
      </c>
      <c r="BB54" s="68">
        <f>1/(4*PI())*(2*AZ54*BA54*SQRT(AZ54^2+BA54^2+1)/(AZ54^2+BA54^2+1+AZ54^2*BA54^2)*(AZ54^2+BA54^2+2)/(AZ54^2+BA54^2+1)+ATAN2(AZ54^2+BA54^2+1-AZ54^2*BA54^2,2*AZ54*BA54*SQRT(AZ54^2+BA54^2+1)))</f>
        <v/>
      </c>
      <c r="BC54" s="68">
        <f>4*Input!$AA$14*BB54</f>
        <v/>
      </c>
      <c r="BD54" s="68">
        <f>((Input!$AA$16/Input!$AA$15)*LN((1+SQRT((Input!$AA$16/Input!$AA$15)^2+1))*SQRT((Input!$AA$16/Input!$AA$15)^2+(AJ54/(Input!$AA$15/2))^2)/((Input!$AA$16/Input!$AA$15)*(1+SQRT((Input!$AA$16/Input!$AA$15)^2+(AJ54/(Input!$AA$15/2))^2+1))))+LN(((Input!$AA$16/Input!$AA$15)+SQRT((Input!$AA$16/Input!$AA$15)^2+1))*SQRT(1+(AJ54/(Input!$AA$15/2))^2)/((Input!$AA$16/Input!$AA$15)+SQRT((Input!$AA$16/Input!$AA$15)^2+(AJ54/(Input!$AA$15/2))^2+1))))/PI()</f>
        <v/>
      </c>
      <c r="BE54" s="68">
        <f>(AJ54/(Input!$AA$15/2))/(2*PI())*ATAN((Input!$AA$16/Input!$AA$15)/((AJ54/(Input!$AA$15/2))*SQRT((Input!$AA$16/Input!$AA$15)^2+(AJ54/(Input!$AA$15/2))^2+1)))</f>
        <v/>
      </c>
      <c r="BF54" s="68">
        <f>MAX(0,AJ54-MAX(AI54,$AA$22))/AK54*IF(BC54&gt;=Input!$AA$21*AQ54,1,0)</f>
        <v/>
      </c>
      <c r="BG54" s="68">
        <f>4*Input!$AA$14*(Input!$AA$15/2)*(1-AY54^2)/AX54*((BD54-BD53)+(1-2*AY54)/(1-AY54)*(BE54-BE53))*1000*BF54</f>
        <v/>
      </c>
      <c r="BH54" s="68">
        <f>IF(AM54="Sand",0,0.009*(AR54-10))</f>
        <v/>
      </c>
      <c r="BI54" s="68">
        <f>BH54*Input!$AA$36</f>
        <v/>
      </c>
      <c r="BJ54" s="68">
        <f>IF(AM54="Sand",0,MAX(AV54/Input!$AA$37,AQ54))</f>
        <v/>
      </c>
      <c r="BK54" s="68">
        <f>IF(AM54="Sand",0,1000*AK54/(1+AU54)*IF(AQ54+BC54&lt;=BJ54,BI54*LOG10((AQ54+BC54)/AQ54),BI54*LOG10(BJ54/AQ54)+BH54*LOG10((AQ54+BC54)/BJ54)))*BF54</f>
        <v/>
      </c>
      <c r="BL54" s="68">
        <f>IF(AM54="Sand",0,10^(INDEX(Input!$Q$48:$Q$54,MIN(MATCH(MIN(MAX(AR54,30),120),Input!$C$48:$C$54,1),6))+(MIN(MAX(AR54,30),120)-INDEX(Input!$C$48:$C$54,MIN(MATCH(MIN(MAX(AR54,30),120),Input!$C$48:$C$54,1),6)))/(INDEX(Input!$C$48:$C$54,MIN(MATCH(MIN(MAX(AR54,30),120),Input!$C$48:$C$54,1),6)+1)-INDEX(Input!$C$48:$C$54,MIN(MATCH(MIN(MAX(AR54,30),120),Input!$C$48:$C$54,1),6)))*(INDEX(Input!$Q$48:$Q$54,MIN(MATCH(MIN(MAX(AR54,30),120),Input!$C$48:$C$54,1),6)+1)-INDEX(Input!$Q$48:$Q$54,MIN(MATCH(MIN(MAX(AR54,30),120),Input!$C$48:$C$54,1),6)))))</f>
        <v/>
      </c>
      <c r="BM54" s="68">
        <f>IF(OR(AM54="Sand",BF54=0),0,Input!$AA$38*(AK54/2)^2/(BL54*1E-4*31536000))</f>
        <v/>
      </c>
      <c r="BN54" s="68">
        <f>MAX(0,MIN(AJ54,Input!$AA$20)-AI54)</f>
        <v/>
      </c>
      <c r="BO54" s="68">
        <f>MAX(0,MIN(AJ54,Input!$AA$20)-MAX(AI54,$AA$22))</f>
        <v/>
      </c>
      <c r="BP54" s="68">
        <f>MAX(0,MIN(AJ54,$AA$225)-AI54)</f>
        <v/>
      </c>
      <c r="BQ54" s="68" t="inlineStr">
        <is>
          <t>data copied from BH-01; LL/PL/e0 = borehole average</t>
        </is>
      </c>
    </row>
    <row r="55">
      <c r="B55" s="9" t="n"/>
      <c r="C55" s="57" t="n">
        <v>28</v>
      </c>
      <c r="D55" s="41" t="n"/>
      <c r="E55" s="55">
        <f>AI55</f>
        <v/>
      </c>
      <c r="F55" s="41" t="n"/>
      <c r="G55" s="41" t="n"/>
      <c r="H55" s="55">
        <f>AJ55</f>
        <v/>
      </c>
      <c r="I55" s="41" t="n"/>
      <c r="J55" s="41" t="n"/>
      <c r="K55" s="52">
        <f>AM55</f>
        <v/>
      </c>
      <c r="L55" s="41" t="n"/>
      <c r="M55" s="41" t="n"/>
      <c r="N55" s="57">
        <f>AN55</f>
        <v/>
      </c>
      <c r="O55" s="41" t="n"/>
      <c r="P55" s="41" t="n"/>
      <c r="Q55" s="53">
        <f>AO55</f>
        <v/>
      </c>
      <c r="R55" s="41" t="n"/>
      <c r="S55" s="41" t="n"/>
      <c r="T55" s="57">
        <f>IF(AR55="","-",AR55)</f>
        <v/>
      </c>
      <c r="U55" s="41" t="n"/>
      <c r="V55" s="57">
        <f>IF(AT55="","-",AT55)</f>
        <v/>
      </c>
      <c r="W55" s="41" t="n"/>
      <c r="X55" s="55">
        <f>AU55</f>
        <v/>
      </c>
      <c r="Y55" s="41" t="n"/>
      <c r="Z55" s="66">
        <f>AV55</f>
        <v/>
      </c>
      <c r="AA55" s="41" t="n"/>
      <c r="AB55" s="41" t="n"/>
      <c r="AC55" s="53">
        <f>AW55</f>
        <v/>
      </c>
      <c r="AD55" s="41" t="n"/>
      <c r="AE55" s="41" t="n"/>
      <c r="AF55" s="15" t="n"/>
      <c r="AI55" s="67" t="n">
        <v>40.5</v>
      </c>
      <c r="AJ55" s="67" t="n">
        <v>42</v>
      </c>
      <c r="AK55" s="68">
        <f>AJ55-AI55</f>
        <v/>
      </c>
      <c r="AL55" s="68">
        <f>(AI55+AJ55)/2</f>
        <v/>
      </c>
      <c r="AM55" s="67" t="inlineStr">
        <is>
          <t>Clay</t>
        </is>
      </c>
      <c r="AN55" s="67" t="n">
        <v>50</v>
      </c>
      <c r="AO55" s="68">
        <f>IF(AL55&gt;$AA$19,$AA$21,$AA$20)</f>
        <v/>
      </c>
      <c r="AP55" s="68">
        <f>AP54+AO55*AK55</f>
        <v/>
      </c>
      <c r="AQ55" s="68">
        <f>AP55-AO55*AK55/2-10*MAX(AL55-$AA$19,0)</f>
        <v/>
      </c>
      <c r="AR55" s="67" t="n">
        <v>36.82</v>
      </c>
      <c r="AS55" s="67" t="n">
        <v>20.32</v>
      </c>
      <c r="AT55" s="68">
        <f>IF(AR55="","",AR55-AS55)</f>
        <v/>
      </c>
      <c r="AU55" s="67" t="n">
        <v>0.836</v>
      </c>
      <c r="AV55" s="68">
        <f>IF(AM55="Sand",0,Input!$AA$31*AN55)</f>
        <v/>
      </c>
      <c r="AW55" s="68">
        <f>IF(AM55="Sand",27.1+0.3*MIN(Input!$AA$32*AN55,60)-0.00054*MIN(Input!$AA$32*AN55,60)^2,MIN(MAX(DEGREES(ASIN(0.8-0.094*LN(MAX(IF(AT55="",10,AT55),5)))),20),30))</f>
        <v/>
      </c>
      <c r="AX55" s="68">
        <f>IF(AM55="Sand",Input!$AA$33*Input!$AA$32*AN55,Input!$AA$34*AV55)</f>
        <v/>
      </c>
      <c r="AY55" s="68">
        <f>IF(AM55="Sand",Input!$AA$35,0.5)</f>
        <v/>
      </c>
      <c r="AZ55" s="68">
        <f>Input!$AA$15/2/AL55</f>
        <v/>
      </c>
      <c r="BA55" s="68">
        <f>Input!$AA$16/2/AL55</f>
        <v/>
      </c>
      <c r="BB55" s="68">
        <f>1/(4*PI())*(2*AZ55*BA55*SQRT(AZ55^2+BA55^2+1)/(AZ55^2+BA55^2+1+AZ55^2*BA55^2)*(AZ55^2+BA55^2+2)/(AZ55^2+BA55^2+1)+ATAN2(AZ55^2+BA55^2+1-AZ55^2*BA55^2,2*AZ55*BA55*SQRT(AZ55^2+BA55^2+1)))</f>
        <v/>
      </c>
      <c r="BC55" s="68">
        <f>4*Input!$AA$14*BB55</f>
        <v/>
      </c>
      <c r="BD55" s="68">
        <f>((Input!$AA$16/Input!$AA$15)*LN((1+SQRT((Input!$AA$16/Input!$AA$15)^2+1))*SQRT((Input!$AA$16/Input!$AA$15)^2+(AJ55/(Input!$AA$15/2))^2)/((Input!$AA$16/Input!$AA$15)*(1+SQRT((Input!$AA$16/Input!$AA$15)^2+(AJ55/(Input!$AA$15/2))^2+1))))+LN(((Input!$AA$16/Input!$AA$15)+SQRT((Input!$AA$16/Input!$AA$15)^2+1))*SQRT(1+(AJ55/(Input!$AA$15/2))^2)/((Input!$AA$16/Input!$AA$15)+SQRT((Input!$AA$16/Input!$AA$15)^2+(AJ55/(Input!$AA$15/2))^2+1))))/PI()</f>
        <v/>
      </c>
      <c r="BE55" s="68">
        <f>(AJ55/(Input!$AA$15/2))/(2*PI())*ATAN((Input!$AA$16/Input!$AA$15)/((AJ55/(Input!$AA$15/2))*SQRT((Input!$AA$16/Input!$AA$15)^2+(AJ55/(Input!$AA$15/2))^2+1)))</f>
        <v/>
      </c>
      <c r="BF55" s="68">
        <f>MAX(0,AJ55-MAX(AI55,$AA$22))/AK55*IF(BC55&gt;=Input!$AA$21*AQ55,1,0)</f>
        <v/>
      </c>
      <c r="BG55" s="68">
        <f>4*Input!$AA$14*(Input!$AA$15/2)*(1-AY55^2)/AX55*((BD55-BD54)+(1-2*AY55)/(1-AY55)*(BE55-BE54))*1000*BF55</f>
        <v/>
      </c>
      <c r="BH55" s="68">
        <f>IF(AM55="Sand",0,0.009*(AR55-10))</f>
        <v/>
      </c>
      <c r="BI55" s="68">
        <f>BH55*Input!$AA$36</f>
        <v/>
      </c>
      <c r="BJ55" s="68">
        <f>IF(AM55="Sand",0,MAX(AV55/Input!$AA$37,AQ55))</f>
        <v/>
      </c>
      <c r="BK55" s="68">
        <f>IF(AM55="Sand",0,1000*AK55/(1+AU55)*IF(AQ55+BC55&lt;=BJ55,BI55*LOG10((AQ55+BC55)/AQ55),BI55*LOG10(BJ55/AQ55)+BH55*LOG10((AQ55+BC55)/BJ55)))*BF55</f>
        <v/>
      </c>
      <c r="BL55" s="68">
        <f>IF(AM55="Sand",0,10^(INDEX(Input!$Q$48:$Q$54,MIN(MATCH(MIN(MAX(AR55,30),120),Input!$C$48:$C$54,1),6))+(MIN(MAX(AR55,30),120)-INDEX(Input!$C$48:$C$54,MIN(MATCH(MIN(MAX(AR55,30),120),Input!$C$48:$C$54,1),6)))/(INDEX(Input!$C$48:$C$54,MIN(MATCH(MIN(MAX(AR55,30),120),Input!$C$48:$C$54,1),6)+1)-INDEX(Input!$C$48:$C$54,MIN(MATCH(MIN(MAX(AR55,30),120),Input!$C$48:$C$54,1),6)))*(INDEX(Input!$Q$48:$Q$54,MIN(MATCH(MIN(MAX(AR55,30),120),Input!$C$48:$C$54,1),6)+1)-INDEX(Input!$Q$48:$Q$54,MIN(MATCH(MIN(MAX(AR55,30),120),Input!$C$48:$C$54,1),6)))))</f>
        <v/>
      </c>
      <c r="BM55" s="68">
        <f>IF(OR(AM55="Sand",BF55=0),0,Input!$AA$38*(AK55/2)^2/(BL55*1E-4*31536000))</f>
        <v/>
      </c>
      <c r="BN55" s="68">
        <f>MAX(0,MIN(AJ55,Input!$AA$20)-AI55)</f>
        <v/>
      </c>
      <c r="BO55" s="68">
        <f>MAX(0,MIN(AJ55,Input!$AA$20)-MAX(AI55,$AA$22))</f>
        <v/>
      </c>
      <c r="BP55" s="68">
        <f>MAX(0,MIN(AJ55,$AA$225)-AI55)</f>
        <v/>
      </c>
      <c r="BQ55" s="68" t="inlineStr">
        <is>
          <t>data copied from BH-01</t>
        </is>
      </c>
    </row>
    <row r="56">
      <c r="B56" s="9" t="n"/>
      <c r="C56" s="57" t="n">
        <v>29</v>
      </c>
      <c r="D56" s="41" t="n"/>
      <c r="E56" s="55">
        <f>AI56</f>
        <v/>
      </c>
      <c r="F56" s="41" t="n"/>
      <c r="G56" s="41" t="n"/>
      <c r="H56" s="55">
        <f>AJ56</f>
        <v/>
      </c>
      <c r="I56" s="41" t="n"/>
      <c r="J56" s="41" t="n"/>
      <c r="K56" s="52">
        <f>AM56</f>
        <v/>
      </c>
      <c r="L56" s="41" t="n"/>
      <c r="M56" s="41" t="n"/>
      <c r="N56" s="57">
        <f>AN56</f>
        <v/>
      </c>
      <c r="O56" s="41" t="n"/>
      <c r="P56" s="41" t="n"/>
      <c r="Q56" s="53">
        <f>AO56</f>
        <v/>
      </c>
      <c r="R56" s="41" t="n"/>
      <c r="S56" s="41" t="n"/>
      <c r="T56" s="57">
        <f>IF(AR56="","-",AR56)</f>
        <v/>
      </c>
      <c r="U56" s="41" t="n"/>
      <c r="V56" s="57">
        <f>IF(AT56="","-",AT56)</f>
        <v/>
      </c>
      <c r="W56" s="41" t="n"/>
      <c r="X56" s="55">
        <f>AU56</f>
        <v/>
      </c>
      <c r="Y56" s="41" t="n"/>
      <c r="Z56" s="66">
        <f>AV56</f>
        <v/>
      </c>
      <c r="AA56" s="41" t="n"/>
      <c r="AB56" s="41" t="n"/>
      <c r="AC56" s="53">
        <f>AW56</f>
        <v/>
      </c>
      <c r="AD56" s="41" t="n"/>
      <c r="AE56" s="41" t="n"/>
      <c r="AF56" s="15" t="n"/>
      <c r="AI56" s="67" t="n">
        <v>42</v>
      </c>
      <c r="AJ56" s="67" t="n">
        <v>43.5</v>
      </c>
      <c r="AK56" s="68">
        <f>AJ56-AI56</f>
        <v/>
      </c>
      <c r="AL56" s="68">
        <f>(AI56+AJ56)/2</f>
        <v/>
      </c>
      <c r="AM56" s="67" t="inlineStr">
        <is>
          <t>Clay</t>
        </is>
      </c>
      <c r="AN56" s="67" t="n">
        <v>50</v>
      </c>
      <c r="AO56" s="68">
        <f>IF(AL56&gt;$AA$19,$AA$21,$AA$20)</f>
        <v/>
      </c>
      <c r="AP56" s="68">
        <f>AP55+AO56*AK56</f>
        <v/>
      </c>
      <c r="AQ56" s="68">
        <f>AP56-AO56*AK56/2-10*MAX(AL56-$AA$19,0)</f>
        <v/>
      </c>
      <c r="AR56" s="67" t="n">
        <v>28.071</v>
      </c>
      <c r="AS56" s="67" t="n">
        <v>18.832</v>
      </c>
      <c r="AT56" s="68">
        <f>IF(AR56="","",AR56-AS56)</f>
        <v/>
      </c>
      <c r="AU56" s="67" t="n">
        <v>0.59</v>
      </c>
      <c r="AV56" s="68">
        <f>IF(AM56="Sand",0,Input!$AA$31*AN56)</f>
        <v/>
      </c>
      <c r="AW56" s="68">
        <f>IF(AM56="Sand",27.1+0.3*MIN(Input!$AA$32*AN56,60)-0.00054*MIN(Input!$AA$32*AN56,60)^2,MIN(MAX(DEGREES(ASIN(0.8-0.094*LN(MAX(IF(AT56="",10,AT56),5)))),20),30))</f>
        <v/>
      </c>
      <c r="AX56" s="68">
        <f>IF(AM56="Sand",Input!$AA$33*Input!$AA$32*AN56,Input!$AA$34*AV56)</f>
        <v/>
      </c>
      <c r="AY56" s="68">
        <f>IF(AM56="Sand",Input!$AA$35,0.5)</f>
        <v/>
      </c>
      <c r="AZ56" s="68">
        <f>Input!$AA$15/2/AL56</f>
        <v/>
      </c>
      <c r="BA56" s="68">
        <f>Input!$AA$16/2/AL56</f>
        <v/>
      </c>
      <c r="BB56" s="68">
        <f>1/(4*PI())*(2*AZ56*BA56*SQRT(AZ56^2+BA56^2+1)/(AZ56^2+BA56^2+1+AZ56^2*BA56^2)*(AZ56^2+BA56^2+2)/(AZ56^2+BA56^2+1)+ATAN2(AZ56^2+BA56^2+1-AZ56^2*BA56^2,2*AZ56*BA56*SQRT(AZ56^2+BA56^2+1)))</f>
        <v/>
      </c>
      <c r="BC56" s="68">
        <f>4*Input!$AA$14*BB56</f>
        <v/>
      </c>
      <c r="BD56" s="68">
        <f>((Input!$AA$16/Input!$AA$15)*LN((1+SQRT((Input!$AA$16/Input!$AA$15)^2+1))*SQRT((Input!$AA$16/Input!$AA$15)^2+(AJ56/(Input!$AA$15/2))^2)/((Input!$AA$16/Input!$AA$15)*(1+SQRT((Input!$AA$16/Input!$AA$15)^2+(AJ56/(Input!$AA$15/2))^2+1))))+LN(((Input!$AA$16/Input!$AA$15)+SQRT((Input!$AA$16/Input!$AA$15)^2+1))*SQRT(1+(AJ56/(Input!$AA$15/2))^2)/((Input!$AA$16/Input!$AA$15)+SQRT((Input!$AA$16/Input!$AA$15)^2+(AJ56/(Input!$AA$15/2))^2+1))))/PI()</f>
        <v/>
      </c>
      <c r="BE56" s="68">
        <f>(AJ56/(Input!$AA$15/2))/(2*PI())*ATAN((Input!$AA$16/Input!$AA$15)/((AJ56/(Input!$AA$15/2))*SQRT((Input!$AA$16/Input!$AA$15)^2+(AJ56/(Input!$AA$15/2))^2+1)))</f>
        <v/>
      </c>
      <c r="BF56" s="68">
        <f>MAX(0,AJ56-MAX(AI56,$AA$22))/AK56*IF(BC56&gt;=Input!$AA$21*AQ56,1,0)</f>
        <v/>
      </c>
      <c r="BG56" s="68">
        <f>4*Input!$AA$14*(Input!$AA$15/2)*(1-AY56^2)/AX56*((BD56-BD55)+(1-2*AY56)/(1-AY56)*(BE56-BE55))*1000*BF56</f>
        <v/>
      </c>
      <c r="BH56" s="68">
        <f>IF(AM56="Sand",0,0.009*(AR56-10))</f>
        <v/>
      </c>
      <c r="BI56" s="68">
        <f>BH56*Input!$AA$36</f>
        <v/>
      </c>
      <c r="BJ56" s="68">
        <f>IF(AM56="Sand",0,MAX(AV56/Input!$AA$37,AQ56))</f>
        <v/>
      </c>
      <c r="BK56" s="68">
        <f>IF(AM56="Sand",0,1000*AK56/(1+AU56)*IF(AQ56+BC56&lt;=BJ56,BI56*LOG10((AQ56+BC56)/AQ56),BI56*LOG10(BJ56/AQ56)+BH56*LOG10((AQ56+BC56)/BJ56)))*BF56</f>
        <v/>
      </c>
      <c r="BL56" s="68">
        <f>IF(AM56="Sand",0,10^(INDEX(Input!$Q$48:$Q$54,MIN(MATCH(MIN(MAX(AR56,30),120),Input!$C$48:$C$54,1),6))+(MIN(MAX(AR56,30),120)-INDEX(Input!$C$48:$C$54,MIN(MATCH(MIN(MAX(AR56,30),120),Input!$C$48:$C$54,1),6)))/(INDEX(Input!$C$48:$C$54,MIN(MATCH(MIN(MAX(AR56,30),120),Input!$C$48:$C$54,1),6)+1)-INDEX(Input!$C$48:$C$54,MIN(MATCH(MIN(MAX(AR56,30),120),Input!$C$48:$C$54,1),6)))*(INDEX(Input!$Q$48:$Q$54,MIN(MATCH(MIN(MAX(AR56,30),120),Input!$C$48:$C$54,1),6)+1)-INDEX(Input!$Q$48:$Q$54,MIN(MATCH(MIN(MAX(AR56,30),120),Input!$C$48:$C$54,1),6)))))</f>
        <v/>
      </c>
      <c r="BM56" s="68">
        <f>IF(OR(AM56="Sand",BF56=0),0,Input!$AA$38*(AK56/2)^2/(BL56*1E-4*31536000))</f>
        <v/>
      </c>
      <c r="BN56" s="68">
        <f>MAX(0,MIN(AJ56,Input!$AA$20)-AI56)</f>
        <v/>
      </c>
      <c r="BO56" s="68">
        <f>MAX(0,MIN(AJ56,Input!$AA$20)-MAX(AI56,$AA$22))</f>
        <v/>
      </c>
      <c r="BP56" s="68">
        <f>MAX(0,MIN(AJ56,$AA$225)-AI56)</f>
        <v/>
      </c>
      <c r="BQ56" s="68" t="inlineStr">
        <is>
          <t>data copied from BH-01; LL/PL/e0 = borehole average</t>
        </is>
      </c>
    </row>
    <row r="57">
      <c r="B57" s="9" t="n"/>
      <c r="C57" s="57" t="n">
        <v>30</v>
      </c>
      <c r="D57" s="41" t="n"/>
      <c r="E57" s="55">
        <f>AI57</f>
        <v/>
      </c>
      <c r="F57" s="41" t="n"/>
      <c r="G57" s="41" t="n"/>
      <c r="H57" s="55">
        <f>AJ57</f>
        <v/>
      </c>
      <c r="I57" s="41" t="n"/>
      <c r="J57" s="41" t="n"/>
      <c r="K57" s="52">
        <f>AM57</f>
        <v/>
      </c>
      <c r="L57" s="41" t="n"/>
      <c r="M57" s="41" t="n"/>
      <c r="N57" s="57">
        <f>AN57</f>
        <v/>
      </c>
      <c r="O57" s="41" t="n"/>
      <c r="P57" s="41" t="n"/>
      <c r="Q57" s="53">
        <f>AO57</f>
        <v/>
      </c>
      <c r="R57" s="41" t="n"/>
      <c r="S57" s="41" t="n"/>
      <c r="T57" s="57">
        <f>IF(AR57="","-",AR57)</f>
        <v/>
      </c>
      <c r="U57" s="41" t="n"/>
      <c r="V57" s="57">
        <f>IF(AT57="","-",AT57)</f>
        <v/>
      </c>
      <c r="W57" s="41" t="n"/>
      <c r="X57" s="55">
        <f>AU57</f>
        <v/>
      </c>
      <c r="Y57" s="41" t="n"/>
      <c r="Z57" s="66">
        <f>AV57</f>
        <v/>
      </c>
      <c r="AA57" s="41" t="n"/>
      <c r="AB57" s="41" t="n"/>
      <c r="AC57" s="53">
        <f>AW57</f>
        <v/>
      </c>
      <c r="AD57" s="41" t="n"/>
      <c r="AE57" s="41" t="n"/>
      <c r="AF57" s="15" t="n"/>
      <c r="AI57" s="67" t="n">
        <v>43.5</v>
      </c>
      <c r="AJ57" s="67" t="n">
        <v>45</v>
      </c>
      <c r="AK57" s="68">
        <f>AJ57-AI57</f>
        <v/>
      </c>
      <c r="AL57" s="68">
        <f>(AI57+AJ57)/2</f>
        <v/>
      </c>
      <c r="AM57" s="67" t="inlineStr">
        <is>
          <t>Clay</t>
        </is>
      </c>
      <c r="AN57" s="67" t="n">
        <v>50</v>
      </c>
      <c r="AO57" s="68">
        <f>IF(AL57&gt;$AA$19,$AA$21,$AA$20)</f>
        <v/>
      </c>
      <c r="AP57" s="68">
        <f>AP56+AO57*AK57</f>
        <v/>
      </c>
      <c r="AQ57" s="68">
        <f>AP57-AO57*AK57/2-10*MAX(AL57-$AA$19,0)</f>
        <v/>
      </c>
      <c r="AR57" s="67" t="n">
        <v>30.1</v>
      </c>
      <c r="AS57" s="67" t="n">
        <v>20.6</v>
      </c>
      <c r="AT57" s="68">
        <f>IF(AR57="","",AR57-AS57)</f>
        <v/>
      </c>
      <c r="AU57" s="67" t="n">
        <v>0.703</v>
      </c>
      <c r="AV57" s="68">
        <f>IF(AM57="Sand",0,Input!$AA$31*AN57)</f>
        <v/>
      </c>
      <c r="AW57" s="68">
        <f>IF(AM57="Sand",27.1+0.3*MIN(Input!$AA$32*AN57,60)-0.00054*MIN(Input!$AA$32*AN57,60)^2,MIN(MAX(DEGREES(ASIN(0.8-0.094*LN(MAX(IF(AT57="",10,AT57),5)))),20),30))</f>
        <v/>
      </c>
      <c r="AX57" s="68">
        <f>IF(AM57="Sand",Input!$AA$33*Input!$AA$32*AN57,Input!$AA$34*AV57)</f>
        <v/>
      </c>
      <c r="AY57" s="68">
        <f>IF(AM57="Sand",Input!$AA$35,0.5)</f>
        <v/>
      </c>
      <c r="AZ57" s="68">
        <f>Input!$AA$15/2/AL57</f>
        <v/>
      </c>
      <c r="BA57" s="68">
        <f>Input!$AA$16/2/AL57</f>
        <v/>
      </c>
      <c r="BB57" s="68">
        <f>1/(4*PI())*(2*AZ57*BA57*SQRT(AZ57^2+BA57^2+1)/(AZ57^2+BA57^2+1+AZ57^2*BA57^2)*(AZ57^2+BA57^2+2)/(AZ57^2+BA57^2+1)+ATAN2(AZ57^2+BA57^2+1-AZ57^2*BA57^2,2*AZ57*BA57*SQRT(AZ57^2+BA57^2+1)))</f>
        <v/>
      </c>
      <c r="BC57" s="68">
        <f>4*Input!$AA$14*BB57</f>
        <v/>
      </c>
      <c r="BD57" s="68">
        <f>((Input!$AA$16/Input!$AA$15)*LN((1+SQRT((Input!$AA$16/Input!$AA$15)^2+1))*SQRT((Input!$AA$16/Input!$AA$15)^2+(AJ57/(Input!$AA$15/2))^2)/((Input!$AA$16/Input!$AA$15)*(1+SQRT((Input!$AA$16/Input!$AA$15)^2+(AJ57/(Input!$AA$15/2))^2+1))))+LN(((Input!$AA$16/Input!$AA$15)+SQRT((Input!$AA$16/Input!$AA$15)^2+1))*SQRT(1+(AJ57/(Input!$AA$15/2))^2)/((Input!$AA$16/Input!$AA$15)+SQRT((Input!$AA$16/Input!$AA$15)^2+(AJ57/(Input!$AA$15/2))^2+1))))/PI()</f>
        <v/>
      </c>
      <c r="BE57" s="68">
        <f>(AJ57/(Input!$AA$15/2))/(2*PI())*ATAN((Input!$AA$16/Input!$AA$15)/((AJ57/(Input!$AA$15/2))*SQRT((Input!$AA$16/Input!$AA$15)^2+(AJ57/(Input!$AA$15/2))^2+1)))</f>
        <v/>
      </c>
      <c r="BF57" s="68">
        <f>MAX(0,AJ57-MAX(AI57,$AA$22))/AK57*IF(BC57&gt;=Input!$AA$21*AQ57,1,0)</f>
        <v/>
      </c>
      <c r="BG57" s="68">
        <f>4*Input!$AA$14*(Input!$AA$15/2)*(1-AY57^2)/AX57*((BD57-BD56)+(1-2*AY57)/(1-AY57)*(BE57-BE56))*1000*BF57</f>
        <v/>
      </c>
      <c r="BH57" s="68">
        <f>IF(AM57="Sand",0,0.009*(AR57-10))</f>
        <v/>
      </c>
      <c r="BI57" s="68">
        <f>BH57*Input!$AA$36</f>
        <v/>
      </c>
      <c r="BJ57" s="68">
        <f>IF(AM57="Sand",0,MAX(AV57/Input!$AA$37,AQ57))</f>
        <v/>
      </c>
      <c r="BK57" s="68">
        <f>IF(AM57="Sand",0,1000*AK57/(1+AU57)*IF(AQ57+BC57&lt;=BJ57,BI57*LOG10((AQ57+BC57)/AQ57),BI57*LOG10(BJ57/AQ57)+BH57*LOG10((AQ57+BC57)/BJ57)))*BF57</f>
        <v/>
      </c>
      <c r="BL57" s="68">
        <f>IF(AM57="Sand",0,10^(INDEX(Input!$Q$48:$Q$54,MIN(MATCH(MIN(MAX(AR57,30),120),Input!$C$48:$C$54,1),6))+(MIN(MAX(AR57,30),120)-INDEX(Input!$C$48:$C$54,MIN(MATCH(MIN(MAX(AR57,30),120),Input!$C$48:$C$54,1),6)))/(INDEX(Input!$C$48:$C$54,MIN(MATCH(MIN(MAX(AR57,30),120),Input!$C$48:$C$54,1),6)+1)-INDEX(Input!$C$48:$C$54,MIN(MATCH(MIN(MAX(AR57,30),120),Input!$C$48:$C$54,1),6)))*(INDEX(Input!$Q$48:$Q$54,MIN(MATCH(MIN(MAX(AR57,30),120),Input!$C$48:$C$54,1),6)+1)-INDEX(Input!$Q$48:$Q$54,MIN(MATCH(MIN(MAX(AR57,30),120),Input!$C$48:$C$54,1),6)))))</f>
        <v/>
      </c>
      <c r="BM57" s="68">
        <f>IF(OR(AM57="Sand",BF57=0),0,Input!$AA$38*(AK57/2)^2/(BL57*1E-4*31536000))</f>
        <v/>
      </c>
      <c r="BN57" s="68">
        <f>MAX(0,MIN(AJ57,Input!$AA$20)-AI57)</f>
        <v/>
      </c>
      <c r="BO57" s="68">
        <f>MAX(0,MIN(AJ57,Input!$AA$20)-MAX(AI57,$AA$22))</f>
        <v/>
      </c>
      <c r="BP57" s="68">
        <f>MAX(0,MIN(AJ57,$AA$225)-AI57)</f>
        <v/>
      </c>
      <c r="BQ57" s="68" t="inlineStr">
        <is>
          <t>data copied from BH-01</t>
        </is>
      </c>
    </row>
    <row r="58">
      <c r="B58" s="9" t="n"/>
      <c r="C58" s="57" t="n">
        <v>31</v>
      </c>
      <c r="D58" s="41" t="n"/>
      <c r="E58" s="55">
        <f>AI58</f>
        <v/>
      </c>
      <c r="F58" s="41" t="n"/>
      <c r="G58" s="41" t="n"/>
      <c r="H58" s="55">
        <f>AJ58</f>
        <v/>
      </c>
      <c r="I58" s="41" t="n"/>
      <c r="J58" s="41" t="n"/>
      <c r="K58" s="52">
        <f>AM58</f>
        <v/>
      </c>
      <c r="L58" s="41" t="n"/>
      <c r="M58" s="41" t="n"/>
      <c r="N58" s="57">
        <f>AN58</f>
        <v/>
      </c>
      <c r="O58" s="41" t="n"/>
      <c r="P58" s="41" t="n"/>
      <c r="Q58" s="53">
        <f>AO58</f>
        <v/>
      </c>
      <c r="R58" s="41" t="n"/>
      <c r="S58" s="41" t="n"/>
      <c r="T58" s="57">
        <f>IF(AR58="","-",AR58)</f>
        <v/>
      </c>
      <c r="U58" s="41" t="n"/>
      <c r="V58" s="57">
        <f>IF(AT58="","-",AT58)</f>
        <v/>
      </c>
      <c r="W58" s="41" t="n"/>
      <c r="X58" s="55">
        <f>AU58</f>
        <v/>
      </c>
      <c r="Y58" s="41" t="n"/>
      <c r="Z58" s="66">
        <f>AV58</f>
        <v/>
      </c>
      <c r="AA58" s="41" t="n"/>
      <c r="AB58" s="41" t="n"/>
      <c r="AC58" s="53">
        <f>AW58</f>
        <v/>
      </c>
      <c r="AD58" s="41" t="n"/>
      <c r="AE58" s="41" t="n"/>
      <c r="AF58" s="15" t="n"/>
      <c r="AI58" s="67" t="n">
        <v>45</v>
      </c>
      <c r="AJ58" s="67" t="n">
        <v>46.5</v>
      </c>
      <c r="AK58" s="68">
        <f>AJ58-AI58</f>
        <v/>
      </c>
      <c r="AL58" s="68">
        <f>(AI58+AJ58)/2</f>
        <v/>
      </c>
      <c r="AM58" s="67" t="inlineStr">
        <is>
          <t>Clay</t>
        </is>
      </c>
      <c r="AN58" s="67" t="n">
        <v>33</v>
      </c>
      <c r="AO58" s="68">
        <f>IF(AL58&gt;$AA$19,$AA$21,$AA$20)</f>
        <v/>
      </c>
      <c r="AP58" s="68">
        <f>AP57+AO58*AK58</f>
        <v/>
      </c>
      <c r="AQ58" s="68">
        <f>AP58-AO58*AK58/2-10*MAX(AL58-$AA$19,0)</f>
        <v/>
      </c>
      <c r="AR58" s="67" t="n">
        <v>28.071</v>
      </c>
      <c r="AS58" s="67" t="n">
        <v>18.832</v>
      </c>
      <c r="AT58" s="68">
        <f>IF(AR58="","",AR58-AS58)</f>
        <v/>
      </c>
      <c r="AU58" s="67" t="n">
        <v>0.59</v>
      </c>
      <c r="AV58" s="68">
        <f>IF(AM58="Sand",0,Input!$AA$31*AN58)</f>
        <v/>
      </c>
      <c r="AW58" s="68">
        <f>IF(AM58="Sand",27.1+0.3*MIN(Input!$AA$32*AN58,60)-0.00054*MIN(Input!$AA$32*AN58,60)^2,MIN(MAX(DEGREES(ASIN(0.8-0.094*LN(MAX(IF(AT58="",10,AT58),5)))),20),30))</f>
        <v/>
      </c>
      <c r="AX58" s="68">
        <f>IF(AM58="Sand",Input!$AA$33*Input!$AA$32*AN58,Input!$AA$34*AV58)</f>
        <v/>
      </c>
      <c r="AY58" s="68">
        <f>IF(AM58="Sand",Input!$AA$35,0.5)</f>
        <v/>
      </c>
      <c r="AZ58" s="68">
        <f>Input!$AA$15/2/AL58</f>
        <v/>
      </c>
      <c r="BA58" s="68">
        <f>Input!$AA$16/2/AL58</f>
        <v/>
      </c>
      <c r="BB58" s="68">
        <f>1/(4*PI())*(2*AZ58*BA58*SQRT(AZ58^2+BA58^2+1)/(AZ58^2+BA58^2+1+AZ58^2*BA58^2)*(AZ58^2+BA58^2+2)/(AZ58^2+BA58^2+1)+ATAN2(AZ58^2+BA58^2+1-AZ58^2*BA58^2,2*AZ58*BA58*SQRT(AZ58^2+BA58^2+1)))</f>
        <v/>
      </c>
      <c r="BC58" s="68">
        <f>4*Input!$AA$14*BB58</f>
        <v/>
      </c>
      <c r="BD58" s="68">
        <f>((Input!$AA$16/Input!$AA$15)*LN((1+SQRT((Input!$AA$16/Input!$AA$15)^2+1))*SQRT((Input!$AA$16/Input!$AA$15)^2+(AJ58/(Input!$AA$15/2))^2)/((Input!$AA$16/Input!$AA$15)*(1+SQRT((Input!$AA$16/Input!$AA$15)^2+(AJ58/(Input!$AA$15/2))^2+1))))+LN(((Input!$AA$16/Input!$AA$15)+SQRT((Input!$AA$16/Input!$AA$15)^2+1))*SQRT(1+(AJ58/(Input!$AA$15/2))^2)/((Input!$AA$16/Input!$AA$15)+SQRT((Input!$AA$16/Input!$AA$15)^2+(AJ58/(Input!$AA$15/2))^2+1))))/PI()</f>
        <v/>
      </c>
      <c r="BE58" s="68">
        <f>(AJ58/(Input!$AA$15/2))/(2*PI())*ATAN((Input!$AA$16/Input!$AA$15)/((AJ58/(Input!$AA$15/2))*SQRT((Input!$AA$16/Input!$AA$15)^2+(AJ58/(Input!$AA$15/2))^2+1)))</f>
        <v/>
      </c>
      <c r="BF58" s="68">
        <f>MAX(0,AJ58-MAX(AI58,$AA$22))/AK58*IF(BC58&gt;=Input!$AA$21*AQ58,1,0)</f>
        <v/>
      </c>
      <c r="BG58" s="68">
        <f>4*Input!$AA$14*(Input!$AA$15/2)*(1-AY58^2)/AX58*((BD58-BD57)+(1-2*AY58)/(1-AY58)*(BE58-BE57))*1000*BF58</f>
        <v/>
      </c>
      <c r="BH58" s="68">
        <f>IF(AM58="Sand",0,0.009*(AR58-10))</f>
        <v/>
      </c>
      <c r="BI58" s="68">
        <f>BH58*Input!$AA$36</f>
        <v/>
      </c>
      <c r="BJ58" s="68">
        <f>IF(AM58="Sand",0,MAX(AV58/Input!$AA$37,AQ58))</f>
        <v/>
      </c>
      <c r="BK58" s="68">
        <f>IF(AM58="Sand",0,1000*AK58/(1+AU58)*IF(AQ58+BC58&lt;=BJ58,BI58*LOG10((AQ58+BC58)/AQ58),BI58*LOG10(BJ58/AQ58)+BH58*LOG10((AQ58+BC58)/BJ58)))*BF58</f>
        <v/>
      </c>
      <c r="BL58" s="68">
        <f>IF(AM58="Sand",0,10^(INDEX(Input!$Q$48:$Q$54,MIN(MATCH(MIN(MAX(AR58,30),120),Input!$C$48:$C$54,1),6))+(MIN(MAX(AR58,30),120)-INDEX(Input!$C$48:$C$54,MIN(MATCH(MIN(MAX(AR58,30),120),Input!$C$48:$C$54,1),6)))/(INDEX(Input!$C$48:$C$54,MIN(MATCH(MIN(MAX(AR58,30),120),Input!$C$48:$C$54,1),6)+1)-INDEX(Input!$C$48:$C$54,MIN(MATCH(MIN(MAX(AR58,30),120),Input!$C$48:$C$54,1),6)))*(INDEX(Input!$Q$48:$Q$54,MIN(MATCH(MIN(MAX(AR58,30),120),Input!$C$48:$C$54,1),6)+1)-INDEX(Input!$Q$48:$Q$54,MIN(MATCH(MIN(MAX(AR58,30),120),Input!$C$48:$C$54,1),6)))))</f>
        <v/>
      </c>
      <c r="BM58" s="68">
        <f>IF(OR(AM58="Sand",BF58=0),0,Input!$AA$38*(AK58/2)^2/(BL58*1E-4*31536000))</f>
        <v/>
      </c>
      <c r="BN58" s="68">
        <f>MAX(0,MIN(AJ58,Input!$AA$20)-AI58)</f>
        <v/>
      </c>
      <c r="BO58" s="68">
        <f>MAX(0,MIN(AJ58,Input!$AA$20)-MAX(AI58,$AA$22))</f>
        <v/>
      </c>
      <c r="BP58" s="68">
        <f>MAX(0,MIN(AJ58,$AA$225)-AI58)</f>
        <v/>
      </c>
      <c r="BQ58" s="68" t="inlineStr">
        <is>
          <t>data copied from BH-01; LL/PL/e0 = borehole average</t>
        </is>
      </c>
    </row>
    <row r="59">
      <c r="B59" s="9" t="n"/>
      <c r="C59" s="57" t="n">
        <v>32</v>
      </c>
      <c r="D59" s="41" t="n"/>
      <c r="E59" s="55">
        <f>AI59</f>
        <v/>
      </c>
      <c r="F59" s="41" t="n"/>
      <c r="G59" s="41" t="n"/>
      <c r="H59" s="55">
        <f>AJ59</f>
        <v/>
      </c>
      <c r="I59" s="41" t="n"/>
      <c r="J59" s="41" t="n"/>
      <c r="K59" s="52">
        <f>AM59</f>
        <v/>
      </c>
      <c r="L59" s="41" t="n"/>
      <c r="M59" s="41" t="n"/>
      <c r="N59" s="57">
        <f>AN59</f>
        <v/>
      </c>
      <c r="O59" s="41" t="n"/>
      <c r="P59" s="41" t="n"/>
      <c r="Q59" s="53">
        <f>AO59</f>
        <v/>
      </c>
      <c r="R59" s="41" t="n"/>
      <c r="S59" s="41" t="n"/>
      <c r="T59" s="57">
        <f>IF(AR59="","-",AR59)</f>
        <v/>
      </c>
      <c r="U59" s="41" t="n"/>
      <c r="V59" s="57">
        <f>IF(AT59="","-",AT59)</f>
        <v/>
      </c>
      <c r="W59" s="41" t="n"/>
      <c r="X59" s="55">
        <f>AU59</f>
        <v/>
      </c>
      <c r="Y59" s="41" t="n"/>
      <c r="Z59" s="66">
        <f>AV59</f>
        <v/>
      </c>
      <c r="AA59" s="41" t="n"/>
      <c r="AB59" s="41" t="n"/>
      <c r="AC59" s="53">
        <f>AW59</f>
        <v/>
      </c>
      <c r="AD59" s="41" t="n"/>
      <c r="AE59" s="41" t="n"/>
      <c r="AF59" s="15" t="n"/>
      <c r="AI59" s="67" t="n">
        <v>46.5</v>
      </c>
      <c r="AJ59" s="67" t="n">
        <v>48</v>
      </c>
      <c r="AK59" s="68">
        <f>AJ59-AI59</f>
        <v/>
      </c>
      <c r="AL59" s="68">
        <f>(AI59+AJ59)/2</f>
        <v/>
      </c>
      <c r="AM59" s="67" t="inlineStr">
        <is>
          <t>Clay</t>
        </is>
      </c>
      <c r="AN59" s="67" t="n">
        <v>36</v>
      </c>
      <c r="AO59" s="68">
        <f>IF(AL59&gt;$AA$19,$AA$21,$AA$20)</f>
        <v/>
      </c>
      <c r="AP59" s="68">
        <f>AP58+AO59*AK59</f>
        <v/>
      </c>
      <c r="AQ59" s="68">
        <f>AP59-AO59*AK59/2-10*MAX(AL59-$AA$19,0)</f>
        <v/>
      </c>
      <c r="AR59" s="67" t="n">
        <v>39.36</v>
      </c>
      <c r="AS59" s="67" t="n">
        <v>25.37</v>
      </c>
      <c r="AT59" s="68">
        <f>IF(AR59="","",AR59-AS59)</f>
        <v/>
      </c>
      <c r="AU59" s="67" t="n">
        <v>0.841</v>
      </c>
      <c r="AV59" s="68">
        <f>IF(AM59="Sand",0,Input!$AA$31*AN59)</f>
        <v/>
      </c>
      <c r="AW59" s="68">
        <f>IF(AM59="Sand",27.1+0.3*MIN(Input!$AA$32*AN59,60)-0.00054*MIN(Input!$AA$32*AN59,60)^2,MIN(MAX(DEGREES(ASIN(0.8-0.094*LN(MAX(IF(AT59="",10,AT59),5)))),20),30))</f>
        <v/>
      </c>
      <c r="AX59" s="68">
        <f>IF(AM59="Sand",Input!$AA$33*Input!$AA$32*AN59,Input!$AA$34*AV59)</f>
        <v/>
      </c>
      <c r="AY59" s="68">
        <f>IF(AM59="Sand",Input!$AA$35,0.5)</f>
        <v/>
      </c>
      <c r="AZ59" s="68">
        <f>Input!$AA$15/2/AL59</f>
        <v/>
      </c>
      <c r="BA59" s="68">
        <f>Input!$AA$16/2/AL59</f>
        <v/>
      </c>
      <c r="BB59" s="68">
        <f>1/(4*PI())*(2*AZ59*BA59*SQRT(AZ59^2+BA59^2+1)/(AZ59^2+BA59^2+1+AZ59^2*BA59^2)*(AZ59^2+BA59^2+2)/(AZ59^2+BA59^2+1)+ATAN2(AZ59^2+BA59^2+1-AZ59^2*BA59^2,2*AZ59*BA59*SQRT(AZ59^2+BA59^2+1)))</f>
        <v/>
      </c>
      <c r="BC59" s="68">
        <f>4*Input!$AA$14*BB59</f>
        <v/>
      </c>
      <c r="BD59" s="68">
        <f>((Input!$AA$16/Input!$AA$15)*LN((1+SQRT((Input!$AA$16/Input!$AA$15)^2+1))*SQRT((Input!$AA$16/Input!$AA$15)^2+(AJ59/(Input!$AA$15/2))^2)/((Input!$AA$16/Input!$AA$15)*(1+SQRT((Input!$AA$16/Input!$AA$15)^2+(AJ59/(Input!$AA$15/2))^2+1))))+LN(((Input!$AA$16/Input!$AA$15)+SQRT((Input!$AA$16/Input!$AA$15)^2+1))*SQRT(1+(AJ59/(Input!$AA$15/2))^2)/((Input!$AA$16/Input!$AA$15)+SQRT((Input!$AA$16/Input!$AA$15)^2+(AJ59/(Input!$AA$15/2))^2+1))))/PI()</f>
        <v/>
      </c>
      <c r="BE59" s="68">
        <f>(AJ59/(Input!$AA$15/2))/(2*PI())*ATAN((Input!$AA$16/Input!$AA$15)/((AJ59/(Input!$AA$15/2))*SQRT((Input!$AA$16/Input!$AA$15)^2+(AJ59/(Input!$AA$15/2))^2+1)))</f>
        <v/>
      </c>
      <c r="BF59" s="68">
        <f>MAX(0,AJ59-MAX(AI59,$AA$22))/AK59*IF(BC59&gt;=Input!$AA$21*AQ59,1,0)</f>
        <v/>
      </c>
      <c r="BG59" s="68">
        <f>4*Input!$AA$14*(Input!$AA$15/2)*(1-AY59^2)/AX59*((BD59-BD58)+(1-2*AY59)/(1-AY59)*(BE59-BE58))*1000*BF59</f>
        <v/>
      </c>
      <c r="BH59" s="68">
        <f>IF(AM59="Sand",0,0.009*(AR59-10))</f>
        <v/>
      </c>
      <c r="BI59" s="68">
        <f>BH59*Input!$AA$36</f>
        <v/>
      </c>
      <c r="BJ59" s="68">
        <f>IF(AM59="Sand",0,MAX(AV59/Input!$AA$37,AQ59))</f>
        <v/>
      </c>
      <c r="BK59" s="68">
        <f>IF(AM59="Sand",0,1000*AK59/(1+AU59)*IF(AQ59+BC59&lt;=BJ59,BI59*LOG10((AQ59+BC59)/AQ59),BI59*LOG10(BJ59/AQ59)+BH59*LOG10((AQ59+BC59)/BJ59)))*BF59</f>
        <v/>
      </c>
      <c r="BL59" s="68">
        <f>IF(AM59="Sand",0,10^(INDEX(Input!$Q$48:$Q$54,MIN(MATCH(MIN(MAX(AR59,30),120),Input!$C$48:$C$54,1),6))+(MIN(MAX(AR59,30),120)-INDEX(Input!$C$48:$C$54,MIN(MATCH(MIN(MAX(AR59,30),120),Input!$C$48:$C$54,1),6)))/(INDEX(Input!$C$48:$C$54,MIN(MATCH(MIN(MAX(AR59,30),120),Input!$C$48:$C$54,1),6)+1)-INDEX(Input!$C$48:$C$54,MIN(MATCH(MIN(MAX(AR59,30),120),Input!$C$48:$C$54,1),6)))*(INDEX(Input!$Q$48:$Q$54,MIN(MATCH(MIN(MAX(AR59,30),120),Input!$C$48:$C$54,1),6)+1)-INDEX(Input!$Q$48:$Q$54,MIN(MATCH(MIN(MAX(AR59,30),120),Input!$C$48:$C$54,1),6)))))</f>
        <v/>
      </c>
      <c r="BM59" s="68">
        <f>IF(OR(AM59="Sand",BF59=0),0,Input!$AA$38*(AK59/2)^2/(BL59*1E-4*31536000))</f>
        <v/>
      </c>
      <c r="BN59" s="68">
        <f>MAX(0,MIN(AJ59,Input!$AA$20)-AI59)</f>
        <v/>
      </c>
      <c r="BO59" s="68">
        <f>MAX(0,MIN(AJ59,Input!$AA$20)-MAX(AI59,$AA$22))</f>
        <v/>
      </c>
      <c r="BP59" s="68">
        <f>MAX(0,MIN(AJ59,$AA$225)-AI59)</f>
        <v/>
      </c>
      <c r="BQ59" s="68" t="inlineStr">
        <is>
          <t>data copied from BH-01</t>
        </is>
      </c>
    </row>
    <row r="60">
      <c r="B60" s="9" t="n"/>
      <c r="C60" s="57" t="n">
        <v>33</v>
      </c>
      <c r="D60" s="41" t="n"/>
      <c r="E60" s="55">
        <f>AI60</f>
        <v/>
      </c>
      <c r="F60" s="41" t="n"/>
      <c r="G60" s="41" t="n"/>
      <c r="H60" s="55">
        <f>AJ60</f>
        <v/>
      </c>
      <c r="I60" s="41" t="n"/>
      <c r="J60" s="41" t="n"/>
      <c r="K60" s="52">
        <f>AM60</f>
        <v/>
      </c>
      <c r="L60" s="41" t="n"/>
      <c r="M60" s="41" t="n"/>
      <c r="N60" s="57">
        <f>AN60</f>
        <v/>
      </c>
      <c r="O60" s="41" t="n"/>
      <c r="P60" s="41" t="n"/>
      <c r="Q60" s="53">
        <f>AO60</f>
        <v/>
      </c>
      <c r="R60" s="41" t="n"/>
      <c r="S60" s="41" t="n"/>
      <c r="T60" s="57">
        <f>IF(AR60="","-",AR60)</f>
        <v/>
      </c>
      <c r="U60" s="41" t="n"/>
      <c r="V60" s="57">
        <f>IF(AT60="","-",AT60)</f>
        <v/>
      </c>
      <c r="W60" s="41" t="n"/>
      <c r="X60" s="55">
        <f>AU60</f>
        <v/>
      </c>
      <c r="Y60" s="41" t="n"/>
      <c r="Z60" s="66">
        <f>AV60</f>
        <v/>
      </c>
      <c r="AA60" s="41" t="n"/>
      <c r="AB60" s="41" t="n"/>
      <c r="AC60" s="53">
        <f>AW60</f>
        <v/>
      </c>
      <c r="AD60" s="41" t="n"/>
      <c r="AE60" s="41" t="n"/>
      <c r="AF60" s="15" t="n"/>
      <c r="AI60" s="67" t="n">
        <v>48</v>
      </c>
      <c r="AJ60" s="67" t="n">
        <v>49.5</v>
      </c>
      <c r="AK60" s="68">
        <f>AJ60-AI60</f>
        <v/>
      </c>
      <c r="AL60" s="68">
        <f>(AI60+AJ60)/2</f>
        <v/>
      </c>
      <c r="AM60" s="67" t="inlineStr">
        <is>
          <t>Clay</t>
        </is>
      </c>
      <c r="AN60" s="67" t="n">
        <v>31</v>
      </c>
      <c r="AO60" s="68">
        <f>IF(AL60&gt;$AA$19,$AA$21,$AA$20)</f>
        <v/>
      </c>
      <c r="AP60" s="68">
        <f>AP59+AO60*AK60</f>
        <v/>
      </c>
      <c r="AQ60" s="68">
        <f>AP60-AO60*AK60/2-10*MAX(AL60-$AA$19,0)</f>
        <v/>
      </c>
      <c r="AR60" s="67" t="n">
        <v>28.071</v>
      </c>
      <c r="AS60" s="67" t="n">
        <v>18.832</v>
      </c>
      <c r="AT60" s="68">
        <f>IF(AR60="","",AR60-AS60)</f>
        <v/>
      </c>
      <c r="AU60" s="67" t="n">
        <v>0.59</v>
      </c>
      <c r="AV60" s="68">
        <f>IF(AM60="Sand",0,Input!$AA$31*AN60)</f>
        <v/>
      </c>
      <c r="AW60" s="68">
        <f>IF(AM60="Sand",27.1+0.3*MIN(Input!$AA$32*AN60,60)-0.00054*MIN(Input!$AA$32*AN60,60)^2,MIN(MAX(DEGREES(ASIN(0.8-0.094*LN(MAX(IF(AT60="",10,AT60),5)))),20),30))</f>
        <v/>
      </c>
      <c r="AX60" s="68">
        <f>IF(AM60="Sand",Input!$AA$33*Input!$AA$32*AN60,Input!$AA$34*AV60)</f>
        <v/>
      </c>
      <c r="AY60" s="68">
        <f>IF(AM60="Sand",Input!$AA$35,0.5)</f>
        <v/>
      </c>
      <c r="AZ60" s="68">
        <f>Input!$AA$15/2/AL60</f>
        <v/>
      </c>
      <c r="BA60" s="68">
        <f>Input!$AA$16/2/AL60</f>
        <v/>
      </c>
      <c r="BB60" s="68">
        <f>1/(4*PI())*(2*AZ60*BA60*SQRT(AZ60^2+BA60^2+1)/(AZ60^2+BA60^2+1+AZ60^2*BA60^2)*(AZ60^2+BA60^2+2)/(AZ60^2+BA60^2+1)+ATAN2(AZ60^2+BA60^2+1-AZ60^2*BA60^2,2*AZ60*BA60*SQRT(AZ60^2+BA60^2+1)))</f>
        <v/>
      </c>
      <c r="BC60" s="68">
        <f>4*Input!$AA$14*BB60</f>
        <v/>
      </c>
      <c r="BD60" s="68">
        <f>((Input!$AA$16/Input!$AA$15)*LN((1+SQRT((Input!$AA$16/Input!$AA$15)^2+1))*SQRT((Input!$AA$16/Input!$AA$15)^2+(AJ60/(Input!$AA$15/2))^2)/((Input!$AA$16/Input!$AA$15)*(1+SQRT((Input!$AA$16/Input!$AA$15)^2+(AJ60/(Input!$AA$15/2))^2+1))))+LN(((Input!$AA$16/Input!$AA$15)+SQRT((Input!$AA$16/Input!$AA$15)^2+1))*SQRT(1+(AJ60/(Input!$AA$15/2))^2)/((Input!$AA$16/Input!$AA$15)+SQRT((Input!$AA$16/Input!$AA$15)^2+(AJ60/(Input!$AA$15/2))^2+1))))/PI()</f>
        <v/>
      </c>
      <c r="BE60" s="68">
        <f>(AJ60/(Input!$AA$15/2))/(2*PI())*ATAN((Input!$AA$16/Input!$AA$15)/((AJ60/(Input!$AA$15/2))*SQRT((Input!$AA$16/Input!$AA$15)^2+(AJ60/(Input!$AA$15/2))^2+1)))</f>
        <v/>
      </c>
      <c r="BF60" s="68">
        <f>MAX(0,AJ60-MAX(AI60,$AA$22))/AK60*IF(BC60&gt;=Input!$AA$21*AQ60,1,0)</f>
        <v/>
      </c>
      <c r="BG60" s="68">
        <f>4*Input!$AA$14*(Input!$AA$15/2)*(1-AY60^2)/AX60*((BD60-BD59)+(1-2*AY60)/(1-AY60)*(BE60-BE59))*1000*BF60</f>
        <v/>
      </c>
      <c r="BH60" s="68">
        <f>IF(AM60="Sand",0,0.009*(AR60-10))</f>
        <v/>
      </c>
      <c r="BI60" s="68">
        <f>BH60*Input!$AA$36</f>
        <v/>
      </c>
      <c r="BJ60" s="68">
        <f>IF(AM60="Sand",0,MAX(AV60/Input!$AA$37,AQ60))</f>
        <v/>
      </c>
      <c r="BK60" s="68">
        <f>IF(AM60="Sand",0,1000*AK60/(1+AU60)*IF(AQ60+BC60&lt;=BJ60,BI60*LOG10((AQ60+BC60)/AQ60),BI60*LOG10(BJ60/AQ60)+BH60*LOG10((AQ60+BC60)/BJ60)))*BF60</f>
        <v/>
      </c>
      <c r="BL60" s="68">
        <f>IF(AM60="Sand",0,10^(INDEX(Input!$Q$48:$Q$54,MIN(MATCH(MIN(MAX(AR60,30),120),Input!$C$48:$C$54,1),6))+(MIN(MAX(AR60,30),120)-INDEX(Input!$C$48:$C$54,MIN(MATCH(MIN(MAX(AR60,30),120),Input!$C$48:$C$54,1),6)))/(INDEX(Input!$C$48:$C$54,MIN(MATCH(MIN(MAX(AR60,30),120),Input!$C$48:$C$54,1),6)+1)-INDEX(Input!$C$48:$C$54,MIN(MATCH(MIN(MAX(AR60,30),120),Input!$C$48:$C$54,1),6)))*(INDEX(Input!$Q$48:$Q$54,MIN(MATCH(MIN(MAX(AR60,30),120),Input!$C$48:$C$54,1),6)+1)-INDEX(Input!$Q$48:$Q$54,MIN(MATCH(MIN(MAX(AR60,30),120),Input!$C$48:$C$54,1),6)))))</f>
        <v/>
      </c>
      <c r="BM60" s="68">
        <f>IF(OR(AM60="Sand",BF60=0),0,Input!$AA$38*(AK60/2)^2/(BL60*1E-4*31536000))</f>
        <v/>
      </c>
      <c r="BN60" s="68">
        <f>MAX(0,MIN(AJ60,Input!$AA$20)-AI60)</f>
        <v/>
      </c>
      <c r="BO60" s="68">
        <f>MAX(0,MIN(AJ60,Input!$AA$20)-MAX(AI60,$AA$22))</f>
        <v/>
      </c>
      <c r="BP60" s="68">
        <f>MAX(0,MIN(AJ60,$AA$225)-AI60)</f>
        <v/>
      </c>
      <c r="BQ60" s="68" t="inlineStr">
        <is>
          <t>data copied from BH-01; LL/PL/e0 = borehole average</t>
        </is>
      </c>
    </row>
    <row r="61">
      <c r="B61" s="9" t="n"/>
      <c r="C61" s="57" t="n">
        <v>34</v>
      </c>
      <c r="D61" s="41" t="n"/>
      <c r="E61" s="55">
        <f>AI61</f>
        <v/>
      </c>
      <c r="F61" s="41" t="n"/>
      <c r="G61" s="41" t="n"/>
      <c r="H61" s="55">
        <f>AJ61</f>
        <v/>
      </c>
      <c r="I61" s="41" t="n"/>
      <c r="J61" s="41" t="n"/>
      <c r="K61" s="52">
        <f>AM61</f>
        <v/>
      </c>
      <c r="L61" s="41" t="n"/>
      <c r="M61" s="41" t="n"/>
      <c r="N61" s="57">
        <f>AN61</f>
        <v/>
      </c>
      <c r="O61" s="41" t="n"/>
      <c r="P61" s="41" t="n"/>
      <c r="Q61" s="53">
        <f>AO61</f>
        <v/>
      </c>
      <c r="R61" s="41" t="n"/>
      <c r="S61" s="41" t="n"/>
      <c r="T61" s="57">
        <f>IF(AR61="","-",AR61)</f>
        <v/>
      </c>
      <c r="U61" s="41" t="n"/>
      <c r="V61" s="57">
        <f>IF(AT61="","-",AT61)</f>
        <v/>
      </c>
      <c r="W61" s="41" t="n"/>
      <c r="X61" s="55">
        <f>AU61</f>
        <v/>
      </c>
      <c r="Y61" s="41" t="n"/>
      <c r="Z61" s="66">
        <f>AV61</f>
        <v/>
      </c>
      <c r="AA61" s="41" t="n"/>
      <c r="AB61" s="41" t="n"/>
      <c r="AC61" s="53">
        <f>AW61</f>
        <v/>
      </c>
      <c r="AD61" s="41" t="n"/>
      <c r="AE61" s="41" t="n"/>
      <c r="AF61" s="15" t="n"/>
      <c r="AI61" s="67" t="n">
        <v>49.5</v>
      </c>
      <c r="AJ61" s="67" t="n">
        <v>51</v>
      </c>
      <c r="AK61" s="68">
        <f>AJ61-AI61</f>
        <v/>
      </c>
      <c r="AL61" s="68">
        <f>(AI61+AJ61)/2</f>
        <v/>
      </c>
      <c r="AM61" s="67" t="inlineStr">
        <is>
          <t>Sand</t>
        </is>
      </c>
      <c r="AN61" s="67" t="n">
        <v>30</v>
      </c>
      <c r="AO61" s="68">
        <f>IF(AL61&gt;$AA$19,$AA$21,$AA$20)</f>
        <v/>
      </c>
      <c r="AP61" s="68">
        <f>AP60+AO61*AK61</f>
        <v/>
      </c>
      <c r="AQ61" s="68">
        <f>AP61-AO61*AK61/2-10*MAX(AL61-$AA$19,0)</f>
        <v/>
      </c>
      <c r="AR61" s="67" t="n"/>
      <c r="AS61" s="67" t="n"/>
      <c r="AT61" s="68">
        <f>IF(AR61="","",AR61-AS61)</f>
        <v/>
      </c>
      <c r="AU61" s="67" t="n">
        <v>0.357</v>
      </c>
      <c r="AV61" s="68">
        <f>IF(AM61="Sand",0,Input!$AA$31*AN61)</f>
        <v/>
      </c>
      <c r="AW61" s="68">
        <f>IF(AM61="Sand",27.1+0.3*MIN(Input!$AA$32*AN61,60)-0.00054*MIN(Input!$AA$32*AN61,60)^2,MIN(MAX(DEGREES(ASIN(0.8-0.094*LN(MAX(IF(AT61="",10,AT61),5)))),20),30))</f>
        <v/>
      </c>
      <c r="AX61" s="68">
        <f>IF(AM61="Sand",Input!$AA$33*Input!$AA$32*AN61,Input!$AA$34*AV61)</f>
        <v/>
      </c>
      <c r="AY61" s="68">
        <f>IF(AM61="Sand",Input!$AA$35,0.5)</f>
        <v/>
      </c>
      <c r="AZ61" s="68">
        <f>Input!$AA$15/2/AL61</f>
        <v/>
      </c>
      <c r="BA61" s="68">
        <f>Input!$AA$16/2/AL61</f>
        <v/>
      </c>
      <c r="BB61" s="68">
        <f>1/(4*PI())*(2*AZ61*BA61*SQRT(AZ61^2+BA61^2+1)/(AZ61^2+BA61^2+1+AZ61^2*BA61^2)*(AZ61^2+BA61^2+2)/(AZ61^2+BA61^2+1)+ATAN2(AZ61^2+BA61^2+1-AZ61^2*BA61^2,2*AZ61*BA61*SQRT(AZ61^2+BA61^2+1)))</f>
        <v/>
      </c>
      <c r="BC61" s="68">
        <f>4*Input!$AA$14*BB61</f>
        <v/>
      </c>
      <c r="BD61" s="68">
        <f>((Input!$AA$16/Input!$AA$15)*LN((1+SQRT((Input!$AA$16/Input!$AA$15)^2+1))*SQRT((Input!$AA$16/Input!$AA$15)^2+(AJ61/(Input!$AA$15/2))^2)/((Input!$AA$16/Input!$AA$15)*(1+SQRT((Input!$AA$16/Input!$AA$15)^2+(AJ61/(Input!$AA$15/2))^2+1))))+LN(((Input!$AA$16/Input!$AA$15)+SQRT((Input!$AA$16/Input!$AA$15)^2+1))*SQRT(1+(AJ61/(Input!$AA$15/2))^2)/((Input!$AA$16/Input!$AA$15)+SQRT((Input!$AA$16/Input!$AA$15)^2+(AJ61/(Input!$AA$15/2))^2+1))))/PI()</f>
        <v/>
      </c>
      <c r="BE61" s="68">
        <f>(AJ61/(Input!$AA$15/2))/(2*PI())*ATAN((Input!$AA$16/Input!$AA$15)/((AJ61/(Input!$AA$15/2))*SQRT((Input!$AA$16/Input!$AA$15)^2+(AJ61/(Input!$AA$15/2))^2+1)))</f>
        <v/>
      </c>
      <c r="BF61" s="68">
        <f>MAX(0,AJ61-MAX(AI61,$AA$22))/AK61*IF(BC61&gt;=Input!$AA$21*AQ61,1,0)</f>
        <v/>
      </c>
      <c r="BG61" s="68">
        <f>4*Input!$AA$14*(Input!$AA$15/2)*(1-AY61^2)/AX61*((BD61-BD60)+(1-2*AY61)/(1-AY61)*(BE61-BE60))*1000*BF61</f>
        <v/>
      </c>
      <c r="BH61" s="68">
        <f>IF(AM61="Sand",0,0.009*(AR61-10))</f>
        <v/>
      </c>
      <c r="BI61" s="68">
        <f>BH61*Input!$AA$36</f>
        <v/>
      </c>
      <c r="BJ61" s="68">
        <f>IF(AM61="Sand",0,MAX(AV61/Input!$AA$37,AQ61))</f>
        <v/>
      </c>
      <c r="BK61" s="68">
        <f>IF(AM61="Sand",0,1000*AK61/(1+AU61)*IF(AQ61+BC61&lt;=BJ61,BI61*LOG10((AQ61+BC61)/AQ61),BI61*LOG10(BJ61/AQ61)+BH61*LOG10((AQ61+BC61)/BJ61)))*BF61</f>
        <v/>
      </c>
      <c r="BL61" s="68">
        <f>IF(AM61="Sand",0,10^(INDEX(Input!$Q$48:$Q$54,MIN(MATCH(MIN(MAX(AR61,30),120),Input!$C$48:$C$54,1),6))+(MIN(MAX(AR61,30),120)-INDEX(Input!$C$48:$C$54,MIN(MATCH(MIN(MAX(AR61,30),120),Input!$C$48:$C$54,1),6)))/(INDEX(Input!$C$48:$C$54,MIN(MATCH(MIN(MAX(AR61,30),120),Input!$C$48:$C$54,1),6)+1)-INDEX(Input!$C$48:$C$54,MIN(MATCH(MIN(MAX(AR61,30),120),Input!$C$48:$C$54,1),6)))*(INDEX(Input!$Q$48:$Q$54,MIN(MATCH(MIN(MAX(AR61,30),120),Input!$C$48:$C$54,1),6)+1)-INDEX(Input!$Q$48:$Q$54,MIN(MATCH(MIN(MAX(AR61,30),120),Input!$C$48:$C$54,1),6)))))</f>
        <v/>
      </c>
      <c r="BM61" s="68">
        <f>IF(OR(AM61="Sand",BF61=0),0,Input!$AA$38*(AK61/2)^2/(BL61*1E-4*31536000))</f>
        <v/>
      </c>
      <c r="BN61" s="68">
        <f>MAX(0,MIN(AJ61,Input!$AA$20)-AI61)</f>
        <v/>
      </c>
      <c r="BO61" s="68">
        <f>MAX(0,MIN(AJ61,Input!$AA$20)-MAX(AI61,$AA$22))</f>
        <v/>
      </c>
      <c r="BP61" s="68">
        <f>MAX(0,MIN(AJ61,$AA$225)-AI61)</f>
        <v/>
      </c>
      <c r="BQ61" s="68" t="inlineStr">
        <is>
          <t>data copied from BH-01</t>
        </is>
      </c>
    </row>
    <row r="62">
      <c r="B62" s="9" t="n"/>
      <c r="C62" s="57" t="n">
        <v>35</v>
      </c>
      <c r="D62" s="41" t="n"/>
      <c r="E62" s="55">
        <f>AI62</f>
        <v/>
      </c>
      <c r="F62" s="41" t="n"/>
      <c r="G62" s="41" t="n"/>
      <c r="H62" s="55">
        <f>AJ62</f>
        <v/>
      </c>
      <c r="I62" s="41" t="n"/>
      <c r="J62" s="41" t="n"/>
      <c r="K62" s="52">
        <f>AM62</f>
        <v/>
      </c>
      <c r="L62" s="41" t="n"/>
      <c r="M62" s="41" t="n"/>
      <c r="N62" s="57">
        <f>AN62</f>
        <v/>
      </c>
      <c r="O62" s="41" t="n"/>
      <c r="P62" s="41" t="n"/>
      <c r="Q62" s="53">
        <f>AO62</f>
        <v/>
      </c>
      <c r="R62" s="41" t="n"/>
      <c r="S62" s="41" t="n"/>
      <c r="T62" s="57">
        <f>IF(AR62="","-",AR62)</f>
        <v/>
      </c>
      <c r="U62" s="41" t="n"/>
      <c r="V62" s="57">
        <f>IF(AT62="","-",AT62)</f>
        <v/>
      </c>
      <c r="W62" s="41" t="n"/>
      <c r="X62" s="55">
        <f>AU62</f>
        <v/>
      </c>
      <c r="Y62" s="41" t="n"/>
      <c r="Z62" s="66">
        <f>AV62</f>
        <v/>
      </c>
      <c r="AA62" s="41" t="n"/>
      <c r="AB62" s="41" t="n"/>
      <c r="AC62" s="53">
        <f>AW62</f>
        <v/>
      </c>
      <c r="AD62" s="41" t="n"/>
      <c r="AE62" s="41" t="n"/>
      <c r="AF62" s="15" t="n"/>
      <c r="AI62" s="67" t="n">
        <v>51</v>
      </c>
      <c r="AJ62" s="67" t="n">
        <v>52.5</v>
      </c>
      <c r="AK62" s="68">
        <f>AJ62-AI62</f>
        <v/>
      </c>
      <c r="AL62" s="68">
        <f>(AI62+AJ62)/2</f>
        <v/>
      </c>
      <c r="AM62" s="67" t="inlineStr">
        <is>
          <t>Sand</t>
        </is>
      </c>
      <c r="AN62" s="67" t="n">
        <v>34</v>
      </c>
      <c r="AO62" s="68">
        <f>IF(AL62&gt;$AA$19,$AA$21,$AA$20)</f>
        <v/>
      </c>
      <c r="AP62" s="68">
        <f>AP61+AO62*AK62</f>
        <v/>
      </c>
      <c r="AQ62" s="68">
        <f>AP62-AO62*AK62/2-10*MAX(AL62-$AA$19,0)</f>
        <v/>
      </c>
      <c r="AR62" s="67" t="n"/>
      <c r="AS62" s="67" t="n"/>
      <c r="AT62" s="68">
        <f>IF(AR62="","",AR62-AS62)</f>
        <v/>
      </c>
      <c r="AU62" s="67" t="n">
        <v>0.65</v>
      </c>
      <c r="AV62" s="68">
        <f>IF(AM62="Sand",0,Input!$AA$31*AN62)</f>
        <v/>
      </c>
      <c r="AW62" s="68">
        <f>IF(AM62="Sand",27.1+0.3*MIN(Input!$AA$32*AN62,60)-0.00054*MIN(Input!$AA$32*AN62,60)^2,MIN(MAX(DEGREES(ASIN(0.8-0.094*LN(MAX(IF(AT62="",10,AT62),5)))),20),30))</f>
        <v/>
      </c>
      <c r="AX62" s="68">
        <f>IF(AM62="Sand",Input!$AA$33*Input!$AA$32*AN62,Input!$AA$34*AV62)</f>
        <v/>
      </c>
      <c r="AY62" s="68">
        <f>IF(AM62="Sand",Input!$AA$35,0.5)</f>
        <v/>
      </c>
      <c r="AZ62" s="68">
        <f>Input!$AA$15/2/AL62</f>
        <v/>
      </c>
      <c r="BA62" s="68">
        <f>Input!$AA$16/2/AL62</f>
        <v/>
      </c>
      <c r="BB62" s="68">
        <f>1/(4*PI())*(2*AZ62*BA62*SQRT(AZ62^2+BA62^2+1)/(AZ62^2+BA62^2+1+AZ62^2*BA62^2)*(AZ62^2+BA62^2+2)/(AZ62^2+BA62^2+1)+ATAN2(AZ62^2+BA62^2+1-AZ62^2*BA62^2,2*AZ62*BA62*SQRT(AZ62^2+BA62^2+1)))</f>
        <v/>
      </c>
      <c r="BC62" s="68">
        <f>4*Input!$AA$14*BB62</f>
        <v/>
      </c>
      <c r="BD62" s="68">
        <f>((Input!$AA$16/Input!$AA$15)*LN((1+SQRT((Input!$AA$16/Input!$AA$15)^2+1))*SQRT((Input!$AA$16/Input!$AA$15)^2+(AJ62/(Input!$AA$15/2))^2)/((Input!$AA$16/Input!$AA$15)*(1+SQRT((Input!$AA$16/Input!$AA$15)^2+(AJ62/(Input!$AA$15/2))^2+1))))+LN(((Input!$AA$16/Input!$AA$15)+SQRT((Input!$AA$16/Input!$AA$15)^2+1))*SQRT(1+(AJ62/(Input!$AA$15/2))^2)/((Input!$AA$16/Input!$AA$15)+SQRT((Input!$AA$16/Input!$AA$15)^2+(AJ62/(Input!$AA$15/2))^2+1))))/PI()</f>
        <v/>
      </c>
      <c r="BE62" s="68">
        <f>(AJ62/(Input!$AA$15/2))/(2*PI())*ATAN((Input!$AA$16/Input!$AA$15)/((AJ62/(Input!$AA$15/2))*SQRT((Input!$AA$16/Input!$AA$15)^2+(AJ62/(Input!$AA$15/2))^2+1)))</f>
        <v/>
      </c>
      <c r="BF62" s="68">
        <f>MAX(0,AJ62-MAX(AI62,$AA$22))/AK62*IF(BC62&gt;=Input!$AA$21*AQ62,1,0)</f>
        <v/>
      </c>
      <c r="BG62" s="68">
        <f>4*Input!$AA$14*(Input!$AA$15/2)*(1-AY62^2)/AX62*((BD62-BD61)+(1-2*AY62)/(1-AY62)*(BE62-BE61))*1000*BF62</f>
        <v/>
      </c>
      <c r="BH62" s="68">
        <f>IF(AM62="Sand",0,0.009*(AR62-10))</f>
        <v/>
      </c>
      <c r="BI62" s="68">
        <f>BH62*Input!$AA$36</f>
        <v/>
      </c>
      <c r="BJ62" s="68">
        <f>IF(AM62="Sand",0,MAX(AV62/Input!$AA$37,AQ62))</f>
        <v/>
      </c>
      <c r="BK62" s="68">
        <f>IF(AM62="Sand",0,1000*AK62/(1+AU62)*IF(AQ62+BC62&lt;=BJ62,BI62*LOG10((AQ62+BC62)/AQ62),BI62*LOG10(BJ62/AQ62)+BH62*LOG10((AQ62+BC62)/BJ62)))*BF62</f>
        <v/>
      </c>
      <c r="BL62" s="68">
        <f>IF(AM62="Sand",0,10^(INDEX(Input!$Q$48:$Q$54,MIN(MATCH(MIN(MAX(AR62,30),120),Input!$C$48:$C$54,1),6))+(MIN(MAX(AR62,30),120)-INDEX(Input!$C$48:$C$54,MIN(MATCH(MIN(MAX(AR62,30),120),Input!$C$48:$C$54,1),6)))/(INDEX(Input!$C$48:$C$54,MIN(MATCH(MIN(MAX(AR62,30),120),Input!$C$48:$C$54,1),6)+1)-INDEX(Input!$C$48:$C$54,MIN(MATCH(MIN(MAX(AR62,30),120),Input!$C$48:$C$54,1),6)))*(INDEX(Input!$Q$48:$Q$54,MIN(MATCH(MIN(MAX(AR62,30),120),Input!$C$48:$C$54,1),6)+1)-INDEX(Input!$Q$48:$Q$54,MIN(MATCH(MIN(MAX(AR62,30),120),Input!$C$48:$C$54,1),6)))))</f>
        <v/>
      </c>
      <c r="BM62" s="68">
        <f>IF(OR(AM62="Sand",BF62=0),0,Input!$AA$38*(AK62/2)^2/(BL62*1E-4*31536000))</f>
        <v/>
      </c>
      <c r="BN62" s="68">
        <f>MAX(0,MIN(AJ62,Input!$AA$20)-AI62)</f>
        <v/>
      </c>
      <c r="BO62" s="68">
        <f>MAX(0,MIN(AJ62,Input!$AA$20)-MAX(AI62,$AA$22))</f>
        <v/>
      </c>
      <c r="BP62" s="68">
        <f>MAX(0,MIN(AJ62,$AA$225)-AI62)</f>
        <v/>
      </c>
      <c r="BQ62" s="68" t="inlineStr">
        <is>
          <t>data copied from BH-01</t>
        </is>
      </c>
    </row>
    <row r="63">
      <c r="B63" s="9" t="n"/>
      <c r="C63" s="57" t="n">
        <v>36</v>
      </c>
      <c r="D63" s="41" t="n"/>
      <c r="E63" s="55">
        <f>AI63</f>
        <v/>
      </c>
      <c r="F63" s="41" t="n"/>
      <c r="G63" s="41" t="n"/>
      <c r="H63" s="55">
        <f>AJ63</f>
        <v/>
      </c>
      <c r="I63" s="41" t="n"/>
      <c r="J63" s="41" t="n"/>
      <c r="K63" s="52">
        <f>AM63</f>
        <v/>
      </c>
      <c r="L63" s="41" t="n"/>
      <c r="M63" s="41" t="n"/>
      <c r="N63" s="57">
        <f>AN63</f>
        <v/>
      </c>
      <c r="O63" s="41" t="n"/>
      <c r="P63" s="41" t="n"/>
      <c r="Q63" s="53">
        <f>AO63</f>
        <v/>
      </c>
      <c r="R63" s="41" t="n"/>
      <c r="S63" s="41" t="n"/>
      <c r="T63" s="57">
        <f>IF(AR63="","-",AR63)</f>
        <v/>
      </c>
      <c r="U63" s="41" t="n"/>
      <c r="V63" s="57">
        <f>IF(AT63="","-",AT63)</f>
        <v/>
      </c>
      <c r="W63" s="41" t="n"/>
      <c r="X63" s="55">
        <f>AU63</f>
        <v/>
      </c>
      <c r="Y63" s="41" t="n"/>
      <c r="Z63" s="66">
        <f>AV63</f>
        <v/>
      </c>
      <c r="AA63" s="41" t="n"/>
      <c r="AB63" s="41" t="n"/>
      <c r="AC63" s="53">
        <f>AW63</f>
        <v/>
      </c>
      <c r="AD63" s="41" t="n"/>
      <c r="AE63" s="41" t="n"/>
      <c r="AF63" s="15" t="n"/>
      <c r="AI63" s="67" t="n">
        <v>52.5</v>
      </c>
      <c r="AJ63" s="67" t="n">
        <v>54</v>
      </c>
      <c r="AK63" s="68">
        <f>AJ63-AI63</f>
        <v/>
      </c>
      <c r="AL63" s="68">
        <f>(AI63+AJ63)/2</f>
        <v/>
      </c>
      <c r="AM63" s="67" t="inlineStr">
        <is>
          <t>Clay</t>
        </is>
      </c>
      <c r="AN63" s="67" t="n">
        <v>31</v>
      </c>
      <c r="AO63" s="68">
        <f>IF(AL63&gt;$AA$19,$AA$21,$AA$20)</f>
        <v/>
      </c>
      <c r="AP63" s="68">
        <f>AP62+AO63*AK63</f>
        <v/>
      </c>
      <c r="AQ63" s="68">
        <f>AP63-AO63*AK63/2-10*MAX(AL63-$AA$19,0)</f>
        <v/>
      </c>
      <c r="AR63" s="67" t="n">
        <v>28.071</v>
      </c>
      <c r="AS63" s="67" t="n">
        <v>18.832</v>
      </c>
      <c r="AT63" s="68">
        <f>IF(AR63="","",AR63-AS63)</f>
        <v/>
      </c>
      <c r="AU63" s="67" t="n">
        <v>0.59</v>
      </c>
      <c r="AV63" s="68">
        <f>IF(AM63="Sand",0,Input!$AA$31*AN63)</f>
        <v/>
      </c>
      <c r="AW63" s="68">
        <f>IF(AM63="Sand",27.1+0.3*MIN(Input!$AA$32*AN63,60)-0.00054*MIN(Input!$AA$32*AN63,60)^2,MIN(MAX(DEGREES(ASIN(0.8-0.094*LN(MAX(IF(AT63="",10,AT63),5)))),20),30))</f>
        <v/>
      </c>
      <c r="AX63" s="68">
        <f>IF(AM63="Sand",Input!$AA$33*Input!$AA$32*AN63,Input!$AA$34*AV63)</f>
        <v/>
      </c>
      <c r="AY63" s="68">
        <f>IF(AM63="Sand",Input!$AA$35,0.5)</f>
        <v/>
      </c>
      <c r="AZ63" s="68">
        <f>Input!$AA$15/2/AL63</f>
        <v/>
      </c>
      <c r="BA63" s="68">
        <f>Input!$AA$16/2/AL63</f>
        <v/>
      </c>
      <c r="BB63" s="68">
        <f>1/(4*PI())*(2*AZ63*BA63*SQRT(AZ63^2+BA63^2+1)/(AZ63^2+BA63^2+1+AZ63^2*BA63^2)*(AZ63^2+BA63^2+2)/(AZ63^2+BA63^2+1)+ATAN2(AZ63^2+BA63^2+1-AZ63^2*BA63^2,2*AZ63*BA63*SQRT(AZ63^2+BA63^2+1)))</f>
        <v/>
      </c>
      <c r="BC63" s="68">
        <f>4*Input!$AA$14*BB63</f>
        <v/>
      </c>
      <c r="BD63" s="68">
        <f>((Input!$AA$16/Input!$AA$15)*LN((1+SQRT((Input!$AA$16/Input!$AA$15)^2+1))*SQRT((Input!$AA$16/Input!$AA$15)^2+(AJ63/(Input!$AA$15/2))^2)/((Input!$AA$16/Input!$AA$15)*(1+SQRT((Input!$AA$16/Input!$AA$15)^2+(AJ63/(Input!$AA$15/2))^2+1))))+LN(((Input!$AA$16/Input!$AA$15)+SQRT((Input!$AA$16/Input!$AA$15)^2+1))*SQRT(1+(AJ63/(Input!$AA$15/2))^2)/((Input!$AA$16/Input!$AA$15)+SQRT((Input!$AA$16/Input!$AA$15)^2+(AJ63/(Input!$AA$15/2))^2+1))))/PI()</f>
        <v/>
      </c>
      <c r="BE63" s="68">
        <f>(AJ63/(Input!$AA$15/2))/(2*PI())*ATAN((Input!$AA$16/Input!$AA$15)/((AJ63/(Input!$AA$15/2))*SQRT((Input!$AA$16/Input!$AA$15)^2+(AJ63/(Input!$AA$15/2))^2+1)))</f>
        <v/>
      </c>
      <c r="BF63" s="68">
        <f>MAX(0,AJ63-MAX(AI63,$AA$22))/AK63*IF(BC63&gt;=Input!$AA$21*AQ63,1,0)</f>
        <v/>
      </c>
      <c r="BG63" s="68">
        <f>4*Input!$AA$14*(Input!$AA$15/2)*(1-AY63^2)/AX63*((BD63-BD62)+(1-2*AY63)/(1-AY63)*(BE63-BE62))*1000*BF63</f>
        <v/>
      </c>
      <c r="BH63" s="68">
        <f>IF(AM63="Sand",0,0.009*(AR63-10))</f>
        <v/>
      </c>
      <c r="BI63" s="68">
        <f>BH63*Input!$AA$36</f>
        <v/>
      </c>
      <c r="BJ63" s="68">
        <f>IF(AM63="Sand",0,MAX(AV63/Input!$AA$37,AQ63))</f>
        <v/>
      </c>
      <c r="BK63" s="68">
        <f>IF(AM63="Sand",0,1000*AK63/(1+AU63)*IF(AQ63+BC63&lt;=BJ63,BI63*LOG10((AQ63+BC63)/AQ63),BI63*LOG10(BJ63/AQ63)+BH63*LOG10((AQ63+BC63)/BJ63)))*BF63</f>
        <v/>
      </c>
      <c r="BL63" s="68">
        <f>IF(AM63="Sand",0,10^(INDEX(Input!$Q$48:$Q$54,MIN(MATCH(MIN(MAX(AR63,30),120),Input!$C$48:$C$54,1),6))+(MIN(MAX(AR63,30),120)-INDEX(Input!$C$48:$C$54,MIN(MATCH(MIN(MAX(AR63,30),120),Input!$C$48:$C$54,1),6)))/(INDEX(Input!$C$48:$C$54,MIN(MATCH(MIN(MAX(AR63,30),120),Input!$C$48:$C$54,1),6)+1)-INDEX(Input!$C$48:$C$54,MIN(MATCH(MIN(MAX(AR63,30),120),Input!$C$48:$C$54,1),6)))*(INDEX(Input!$Q$48:$Q$54,MIN(MATCH(MIN(MAX(AR63,30),120),Input!$C$48:$C$54,1),6)+1)-INDEX(Input!$Q$48:$Q$54,MIN(MATCH(MIN(MAX(AR63,30),120),Input!$C$48:$C$54,1),6)))))</f>
        <v/>
      </c>
      <c r="BM63" s="68">
        <f>IF(OR(AM63="Sand",BF63=0),0,Input!$AA$38*(AK63/2)^2/(BL63*1E-4*31536000))</f>
        <v/>
      </c>
      <c r="BN63" s="68">
        <f>MAX(0,MIN(AJ63,Input!$AA$20)-AI63)</f>
        <v/>
      </c>
      <c r="BO63" s="68">
        <f>MAX(0,MIN(AJ63,Input!$AA$20)-MAX(AI63,$AA$22))</f>
        <v/>
      </c>
      <c r="BP63" s="68">
        <f>MAX(0,MIN(AJ63,$AA$225)-AI63)</f>
        <v/>
      </c>
      <c r="BQ63" s="68" t="inlineStr">
        <is>
          <t>data copied from BH-01; LL/PL/e0 = borehole average</t>
        </is>
      </c>
    </row>
    <row r="64">
      <c r="B64" s="9" t="n"/>
      <c r="C64" s="57" t="n">
        <v>37</v>
      </c>
      <c r="D64" s="41" t="n"/>
      <c r="E64" s="55">
        <f>AI64</f>
        <v/>
      </c>
      <c r="F64" s="41" t="n"/>
      <c r="G64" s="41" t="n"/>
      <c r="H64" s="55">
        <f>AJ64</f>
        <v/>
      </c>
      <c r="I64" s="41" t="n"/>
      <c r="J64" s="41" t="n"/>
      <c r="K64" s="52">
        <f>AM64</f>
        <v/>
      </c>
      <c r="L64" s="41" t="n"/>
      <c r="M64" s="41" t="n"/>
      <c r="N64" s="57">
        <f>AN64</f>
        <v/>
      </c>
      <c r="O64" s="41" t="n"/>
      <c r="P64" s="41" t="n"/>
      <c r="Q64" s="53">
        <f>AO64</f>
        <v/>
      </c>
      <c r="R64" s="41" t="n"/>
      <c r="S64" s="41" t="n"/>
      <c r="T64" s="57">
        <f>IF(AR64="","-",AR64)</f>
        <v/>
      </c>
      <c r="U64" s="41" t="n"/>
      <c r="V64" s="57">
        <f>IF(AT64="","-",AT64)</f>
        <v/>
      </c>
      <c r="W64" s="41" t="n"/>
      <c r="X64" s="55">
        <f>AU64</f>
        <v/>
      </c>
      <c r="Y64" s="41" t="n"/>
      <c r="Z64" s="66">
        <f>AV64</f>
        <v/>
      </c>
      <c r="AA64" s="41" t="n"/>
      <c r="AB64" s="41" t="n"/>
      <c r="AC64" s="53">
        <f>AW64</f>
        <v/>
      </c>
      <c r="AD64" s="41" t="n"/>
      <c r="AE64" s="41" t="n"/>
      <c r="AF64" s="15" t="n"/>
      <c r="AI64" s="67" t="n">
        <v>54</v>
      </c>
      <c r="AJ64" s="67" t="n">
        <v>55.5</v>
      </c>
      <c r="AK64" s="68">
        <f>AJ64-AI64</f>
        <v/>
      </c>
      <c r="AL64" s="68">
        <f>(AI64+AJ64)/2</f>
        <v/>
      </c>
      <c r="AM64" s="67" t="inlineStr">
        <is>
          <t>Sand</t>
        </is>
      </c>
      <c r="AN64" s="67" t="n">
        <v>29</v>
      </c>
      <c r="AO64" s="68">
        <f>IF(AL64&gt;$AA$19,$AA$21,$AA$20)</f>
        <v/>
      </c>
      <c r="AP64" s="68">
        <f>AP63+AO64*AK64</f>
        <v/>
      </c>
      <c r="AQ64" s="68">
        <f>AP64-AO64*AK64/2-10*MAX(AL64-$AA$19,0)</f>
        <v/>
      </c>
      <c r="AR64" s="67" t="n"/>
      <c r="AS64" s="67" t="n"/>
      <c r="AT64" s="68">
        <f>IF(AR64="","",AR64-AS64)</f>
        <v/>
      </c>
      <c r="AU64" s="67" t="n">
        <v>0.65</v>
      </c>
      <c r="AV64" s="68">
        <f>IF(AM64="Sand",0,Input!$AA$31*AN64)</f>
        <v/>
      </c>
      <c r="AW64" s="68">
        <f>IF(AM64="Sand",27.1+0.3*MIN(Input!$AA$32*AN64,60)-0.00054*MIN(Input!$AA$32*AN64,60)^2,MIN(MAX(DEGREES(ASIN(0.8-0.094*LN(MAX(IF(AT64="",10,AT64),5)))),20),30))</f>
        <v/>
      </c>
      <c r="AX64" s="68">
        <f>IF(AM64="Sand",Input!$AA$33*Input!$AA$32*AN64,Input!$AA$34*AV64)</f>
        <v/>
      </c>
      <c r="AY64" s="68">
        <f>IF(AM64="Sand",Input!$AA$35,0.5)</f>
        <v/>
      </c>
      <c r="AZ64" s="68">
        <f>Input!$AA$15/2/AL64</f>
        <v/>
      </c>
      <c r="BA64" s="68">
        <f>Input!$AA$16/2/AL64</f>
        <v/>
      </c>
      <c r="BB64" s="68">
        <f>1/(4*PI())*(2*AZ64*BA64*SQRT(AZ64^2+BA64^2+1)/(AZ64^2+BA64^2+1+AZ64^2*BA64^2)*(AZ64^2+BA64^2+2)/(AZ64^2+BA64^2+1)+ATAN2(AZ64^2+BA64^2+1-AZ64^2*BA64^2,2*AZ64*BA64*SQRT(AZ64^2+BA64^2+1)))</f>
        <v/>
      </c>
      <c r="BC64" s="68">
        <f>4*Input!$AA$14*BB64</f>
        <v/>
      </c>
      <c r="BD64" s="68">
        <f>((Input!$AA$16/Input!$AA$15)*LN((1+SQRT((Input!$AA$16/Input!$AA$15)^2+1))*SQRT((Input!$AA$16/Input!$AA$15)^2+(AJ64/(Input!$AA$15/2))^2)/((Input!$AA$16/Input!$AA$15)*(1+SQRT((Input!$AA$16/Input!$AA$15)^2+(AJ64/(Input!$AA$15/2))^2+1))))+LN(((Input!$AA$16/Input!$AA$15)+SQRT((Input!$AA$16/Input!$AA$15)^2+1))*SQRT(1+(AJ64/(Input!$AA$15/2))^2)/((Input!$AA$16/Input!$AA$15)+SQRT((Input!$AA$16/Input!$AA$15)^2+(AJ64/(Input!$AA$15/2))^2+1))))/PI()</f>
        <v/>
      </c>
      <c r="BE64" s="68">
        <f>(AJ64/(Input!$AA$15/2))/(2*PI())*ATAN((Input!$AA$16/Input!$AA$15)/((AJ64/(Input!$AA$15/2))*SQRT((Input!$AA$16/Input!$AA$15)^2+(AJ64/(Input!$AA$15/2))^2+1)))</f>
        <v/>
      </c>
      <c r="BF64" s="68">
        <f>MAX(0,AJ64-MAX(AI64,$AA$22))/AK64*IF(BC64&gt;=Input!$AA$21*AQ64,1,0)</f>
        <v/>
      </c>
      <c r="BG64" s="68">
        <f>4*Input!$AA$14*(Input!$AA$15/2)*(1-AY64^2)/AX64*((BD64-BD63)+(1-2*AY64)/(1-AY64)*(BE64-BE63))*1000*BF64</f>
        <v/>
      </c>
      <c r="BH64" s="68">
        <f>IF(AM64="Sand",0,0.009*(AR64-10))</f>
        <v/>
      </c>
      <c r="BI64" s="68">
        <f>BH64*Input!$AA$36</f>
        <v/>
      </c>
      <c r="BJ64" s="68">
        <f>IF(AM64="Sand",0,MAX(AV64/Input!$AA$37,AQ64))</f>
        <v/>
      </c>
      <c r="BK64" s="68">
        <f>IF(AM64="Sand",0,1000*AK64/(1+AU64)*IF(AQ64+BC64&lt;=BJ64,BI64*LOG10((AQ64+BC64)/AQ64),BI64*LOG10(BJ64/AQ64)+BH64*LOG10((AQ64+BC64)/BJ64)))*BF64</f>
        <v/>
      </c>
      <c r="BL64" s="68">
        <f>IF(AM64="Sand",0,10^(INDEX(Input!$Q$48:$Q$54,MIN(MATCH(MIN(MAX(AR64,30),120),Input!$C$48:$C$54,1),6))+(MIN(MAX(AR64,30),120)-INDEX(Input!$C$48:$C$54,MIN(MATCH(MIN(MAX(AR64,30),120),Input!$C$48:$C$54,1),6)))/(INDEX(Input!$C$48:$C$54,MIN(MATCH(MIN(MAX(AR64,30),120),Input!$C$48:$C$54,1),6)+1)-INDEX(Input!$C$48:$C$54,MIN(MATCH(MIN(MAX(AR64,30),120),Input!$C$48:$C$54,1),6)))*(INDEX(Input!$Q$48:$Q$54,MIN(MATCH(MIN(MAX(AR64,30),120),Input!$C$48:$C$54,1),6)+1)-INDEX(Input!$Q$48:$Q$54,MIN(MATCH(MIN(MAX(AR64,30),120),Input!$C$48:$C$54,1),6)))))</f>
        <v/>
      </c>
      <c r="BM64" s="68">
        <f>IF(OR(AM64="Sand",BF64=0),0,Input!$AA$38*(AK64/2)^2/(BL64*1E-4*31536000))</f>
        <v/>
      </c>
      <c r="BN64" s="68">
        <f>MAX(0,MIN(AJ64,Input!$AA$20)-AI64)</f>
        <v/>
      </c>
      <c r="BO64" s="68">
        <f>MAX(0,MIN(AJ64,Input!$AA$20)-MAX(AI64,$AA$22))</f>
        <v/>
      </c>
      <c r="BP64" s="68">
        <f>MAX(0,MIN(AJ64,$AA$225)-AI64)</f>
        <v/>
      </c>
      <c r="BQ64" s="68" t="inlineStr">
        <is>
          <t>data copied from BH-01</t>
        </is>
      </c>
    </row>
    <row r="65">
      <c r="B65" s="9" t="n"/>
      <c r="C65" s="57" t="n">
        <v>38</v>
      </c>
      <c r="D65" s="41" t="n"/>
      <c r="E65" s="55">
        <f>AI65</f>
        <v/>
      </c>
      <c r="F65" s="41" t="n"/>
      <c r="G65" s="41" t="n"/>
      <c r="H65" s="55">
        <f>AJ65</f>
        <v/>
      </c>
      <c r="I65" s="41" t="n"/>
      <c r="J65" s="41" t="n"/>
      <c r="K65" s="52">
        <f>AM65</f>
        <v/>
      </c>
      <c r="L65" s="41" t="n"/>
      <c r="M65" s="41" t="n"/>
      <c r="N65" s="57">
        <f>AN65</f>
        <v/>
      </c>
      <c r="O65" s="41" t="n"/>
      <c r="P65" s="41" t="n"/>
      <c r="Q65" s="53">
        <f>AO65</f>
        <v/>
      </c>
      <c r="R65" s="41" t="n"/>
      <c r="S65" s="41" t="n"/>
      <c r="T65" s="57">
        <f>IF(AR65="","-",AR65)</f>
        <v/>
      </c>
      <c r="U65" s="41" t="n"/>
      <c r="V65" s="57">
        <f>IF(AT65="","-",AT65)</f>
        <v/>
      </c>
      <c r="W65" s="41" t="n"/>
      <c r="X65" s="55">
        <f>AU65</f>
        <v/>
      </c>
      <c r="Y65" s="41" t="n"/>
      <c r="Z65" s="66">
        <f>AV65</f>
        <v/>
      </c>
      <c r="AA65" s="41" t="n"/>
      <c r="AB65" s="41" t="n"/>
      <c r="AC65" s="53">
        <f>AW65</f>
        <v/>
      </c>
      <c r="AD65" s="41" t="n"/>
      <c r="AE65" s="41" t="n"/>
      <c r="AF65" s="15" t="n"/>
      <c r="AI65" s="67" t="n">
        <v>55.5</v>
      </c>
      <c r="AJ65" s="67" t="n">
        <v>57</v>
      </c>
      <c r="AK65" s="68">
        <f>AJ65-AI65</f>
        <v/>
      </c>
      <c r="AL65" s="68">
        <f>(AI65+AJ65)/2</f>
        <v/>
      </c>
      <c r="AM65" s="67" t="inlineStr">
        <is>
          <t>Sand</t>
        </is>
      </c>
      <c r="AN65" s="67" t="n">
        <v>25</v>
      </c>
      <c r="AO65" s="68">
        <f>IF(AL65&gt;$AA$19,$AA$21,$AA$20)</f>
        <v/>
      </c>
      <c r="AP65" s="68">
        <f>AP64+AO65*AK65</f>
        <v/>
      </c>
      <c r="AQ65" s="68">
        <f>AP65-AO65*AK65/2-10*MAX(AL65-$AA$19,0)</f>
        <v/>
      </c>
      <c r="AR65" s="67" t="n"/>
      <c r="AS65" s="67" t="n"/>
      <c r="AT65" s="68">
        <f>IF(AR65="","",AR65-AS65)</f>
        <v/>
      </c>
      <c r="AU65" s="67" t="n">
        <v>0.65</v>
      </c>
      <c r="AV65" s="68">
        <f>IF(AM65="Sand",0,Input!$AA$31*AN65)</f>
        <v/>
      </c>
      <c r="AW65" s="68">
        <f>IF(AM65="Sand",27.1+0.3*MIN(Input!$AA$32*AN65,60)-0.00054*MIN(Input!$AA$32*AN65,60)^2,MIN(MAX(DEGREES(ASIN(0.8-0.094*LN(MAX(IF(AT65="",10,AT65),5)))),20),30))</f>
        <v/>
      </c>
      <c r="AX65" s="68">
        <f>IF(AM65="Sand",Input!$AA$33*Input!$AA$32*AN65,Input!$AA$34*AV65)</f>
        <v/>
      </c>
      <c r="AY65" s="68">
        <f>IF(AM65="Sand",Input!$AA$35,0.5)</f>
        <v/>
      </c>
      <c r="AZ65" s="68">
        <f>Input!$AA$15/2/AL65</f>
        <v/>
      </c>
      <c r="BA65" s="68">
        <f>Input!$AA$16/2/AL65</f>
        <v/>
      </c>
      <c r="BB65" s="68">
        <f>1/(4*PI())*(2*AZ65*BA65*SQRT(AZ65^2+BA65^2+1)/(AZ65^2+BA65^2+1+AZ65^2*BA65^2)*(AZ65^2+BA65^2+2)/(AZ65^2+BA65^2+1)+ATAN2(AZ65^2+BA65^2+1-AZ65^2*BA65^2,2*AZ65*BA65*SQRT(AZ65^2+BA65^2+1)))</f>
        <v/>
      </c>
      <c r="BC65" s="68">
        <f>4*Input!$AA$14*BB65</f>
        <v/>
      </c>
      <c r="BD65" s="68">
        <f>((Input!$AA$16/Input!$AA$15)*LN((1+SQRT((Input!$AA$16/Input!$AA$15)^2+1))*SQRT((Input!$AA$16/Input!$AA$15)^2+(AJ65/(Input!$AA$15/2))^2)/((Input!$AA$16/Input!$AA$15)*(1+SQRT((Input!$AA$16/Input!$AA$15)^2+(AJ65/(Input!$AA$15/2))^2+1))))+LN(((Input!$AA$16/Input!$AA$15)+SQRT((Input!$AA$16/Input!$AA$15)^2+1))*SQRT(1+(AJ65/(Input!$AA$15/2))^2)/((Input!$AA$16/Input!$AA$15)+SQRT((Input!$AA$16/Input!$AA$15)^2+(AJ65/(Input!$AA$15/2))^2+1))))/PI()</f>
        <v/>
      </c>
      <c r="BE65" s="68">
        <f>(AJ65/(Input!$AA$15/2))/(2*PI())*ATAN((Input!$AA$16/Input!$AA$15)/((AJ65/(Input!$AA$15/2))*SQRT((Input!$AA$16/Input!$AA$15)^2+(AJ65/(Input!$AA$15/2))^2+1)))</f>
        <v/>
      </c>
      <c r="BF65" s="68">
        <f>MAX(0,AJ65-MAX(AI65,$AA$22))/AK65*IF(BC65&gt;=Input!$AA$21*AQ65,1,0)</f>
        <v/>
      </c>
      <c r="BG65" s="68">
        <f>4*Input!$AA$14*(Input!$AA$15/2)*(1-AY65^2)/AX65*((BD65-BD64)+(1-2*AY65)/(1-AY65)*(BE65-BE64))*1000*BF65</f>
        <v/>
      </c>
      <c r="BH65" s="68">
        <f>IF(AM65="Sand",0,0.009*(AR65-10))</f>
        <v/>
      </c>
      <c r="BI65" s="68">
        <f>BH65*Input!$AA$36</f>
        <v/>
      </c>
      <c r="BJ65" s="68">
        <f>IF(AM65="Sand",0,MAX(AV65/Input!$AA$37,AQ65))</f>
        <v/>
      </c>
      <c r="BK65" s="68">
        <f>IF(AM65="Sand",0,1000*AK65/(1+AU65)*IF(AQ65+BC65&lt;=BJ65,BI65*LOG10((AQ65+BC65)/AQ65),BI65*LOG10(BJ65/AQ65)+BH65*LOG10((AQ65+BC65)/BJ65)))*BF65</f>
        <v/>
      </c>
      <c r="BL65" s="68">
        <f>IF(AM65="Sand",0,10^(INDEX(Input!$Q$48:$Q$54,MIN(MATCH(MIN(MAX(AR65,30),120),Input!$C$48:$C$54,1),6))+(MIN(MAX(AR65,30),120)-INDEX(Input!$C$48:$C$54,MIN(MATCH(MIN(MAX(AR65,30),120),Input!$C$48:$C$54,1),6)))/(INDEX(Input!$C$48:$C$54,MIN(MATCH(MIN(MAX(AR65,30),120),Input!$C$48:$C$54,1),6)+1)-INDEX(Input!$C$48:$C$54,MIN(MATCH(MIN(MAX(AR65,30),120),Input!$C$48:$C$54,1),6)))*(INDEX(Input!$Q$48:$Q$54,MIN(MATCH(MIN(MAX(AR65,30),120),Input!$C$48:$C$54,1),6)+1)-INDEX(Input!$Q$48:$Q$54,MIN(MATCH(MIN(MAX(AR65,30),120),Input!$C$48:$C$54,1),6)))))</f>
        <v/>
      </c>
      <c r="BM65" s="68">
        <f>IF(OR(AM65="Sand",BF65=0),0,Input!$AA$38*(AK65/2)^2/(BL65*1E-4*31536000))</f>
        <v/>
      </c>
      <c r="BN65" s="68">
        <f>MAX(0,MIN(AJ65,Input!$AA$20)-AI65)</f>
        <v/>
      </c>
      <c r="BO65" s="68">
        <f>MAX(0,MIN(AJ65,Input!$AA$20)-MAX(AI65,$AA$22))</f>
        <v/>
      </c>
      <c r="BP65" s="68">
        <f>MAX(0,MIN(AJ65,$AA$225)-AI65)</f>
        <v/>
      </c>
      <c r="BQ65" s="68" t="inlineStr">
        <is>
          <t>data copied from BH-01</t>
        </is>
      </c>
    </row>
    <row r="66">
      <c r="B66" s="9" t="n"/>
      <c r="C66" s="57" t="n">
        <v>39</v>
      </c>
      <c r="D66" s="41" t="n"/>
      <c r="E66" s="55">
        <f>AI66</f>
        <v/>
      </c>
      <c r="F66" s="41" t="n"/>
      <c r="G66" s="41" t="n"/>
      <c r="H66" s="55">
        <f>AJ66</f>
        <v/>
      </c>
      <c r="I66" s="41" t="n"/>
      <c r="J66" s="41" t="n"/>
      <c r="K66" s="52">
        <f>AM66</f>
        <v/>
      </c>
      <c r="L66" s="41" t="n"/>
      <c r="M66" s="41" t="n"/>
      <c r="N66" s="57">
        <f>AN66</f>
        <v/>
      </c>
      <c r="O66" s="41" t="n"/>
      <c r="P66" s="41" t="n"/>
      <c r="Q66" s="53">
        <f>AO66</f>
        <v/>
      </c>
      <c r="R66" s="41" t="n"/>
      <c r="S66" s="41" t="n"/>
      <c r="T66" s="57">
        <f>IF(AR66="","-",AR66)</f>
        <v/>
      </c>
      <c r="U66" s="41" t="n"/>
      <c r="V66" s="57">
        <f>IF(AT66="","-",AT66)</f>
        <v/>
      </c>
      <c r="W66" s="41" t="n"/>
      <c r="X66" s="55">
        <f>AU66</f>
        <v/>
      </c>
      <c r="Y66" s="41" t="n"/>
      <c r="Z66" s="66">
        <f>AV66</f>
        <v/>
      </c>
      <c r="AA66" s="41" t="n"/>
      <c r="AB66" s="41" t="n"/>
      <c r="AC66" s="53">
        <f>AW66</f>
        <v/>
      </c>
      <c r="AD66" s="41" t="n"/>
      <c r="AE66" s="41" t="n"/>
      <c r="AF66" s="15" t="n"/>
      <c r="AI66" s="67" t="n">
        <v>57</v>
      </c>
      <c r="AJ66" s="67" t="n">
        <v>58.5</v>
      </c>
      <c r="AK66" s="68">
        <f>AJ66-AI66</f>
        <v/>
      </c>
      <c r="AL66" s="68">
        <f>(AI66+AJ66)/2</f>
        <v/>
      </c>
      <c r="AM66" s="67" t="inlineStr">
        <is>
          <t>Sand</t>
        </is>
      </c>
      <c r="AN66" s="67" t="n">
        <v>35</v>
      </c>
      <c r="AO66" s="68">
        <f>IF(AL66&gt;$AA$19,$AA$21,$AA$20)</f>
        <v/>
      </c>
      <c r="AP66" s="68">
        <f>AP65+AO66*AK66</f>
        <v/>
      </c>
      <c r="AQ66" s="68">
        <f>AP66-AO66*AK66/2-10*MAX(AL66-$AA$19,0)</f>
        <v/>
      </c>
      <c r="AR66" s="67" t="n"/>
      <c r="AS66" s="67" t="n"/>
      <c r="AT66" s="68">
        <f>IF(AR66="","",AR66-AS66)</f>
        <v/>
      </c>
      <c r="AU66" s="67" t="n">
        <v>0.65</v>
      </c>
      <c r="AV66" s="68">
        <f>IF(AM66="Sand",0,Input!$AA$31*AN66)</f>
        <v/>
      </c>
      <c r="AW66" s="68">
        <f>IF(AM66="Sand",27.1+0.3*MIN(Input!$AA$32*AN66,60)-0.00054*MIN(Input!$AA$32*AN66,60)^2,MIN(MAX(DEGREES(ASIN(0.8-0.094*LN(MAX(IF(AT66="",10,AT66),5)))),20),30))</f>
        <v/>
      </c>
      <c r="AX66" s="68">
        <f>IF(AM66="Sand",Input!$AA$33*Input!$AA$32*AN66,Input!$AA$34*AV66)</f>
        <v/>
      </c>
      <c r="AY66" s="68">
        <f>IF(AM66="Sand",Input!$AA$35,0.5)</f>
        <v/>
      </c>
      <c r="AZ66" s="68">
        <f>Input!$AA$15/2/AL66</f>
        <v/>
      </c>
      <c r="BA66" s="68">
        <f>Input!$AA$16/2/AL66</f>
        <v/>
      </c>
      <c r="BB66" s="68">
        <f>1/(4*PI())*(2*AZ66*BA66*SQRT(AZ66^2+BA66^2+1)/(AZ66^2+BA66^2+1+AZ66^2*BA66^2)*(AZ66^2+BA66^2+2)/(AZ66^2+BA66^2+1)+ATAN2(AZ66^2+BA66^2+1-AZ66^2*BA66^2,2*AZ66*BA66*SQRT(AZ66^2+BA66^2+1)))</f>
        <v/>
      </c>
      <c r="BC66" s="68">
        <f>4*Input!$AA$14*BB66</f>
        <v/>
      </c>
      <c r="BD66" s="68">
        <f>((Input!$AA$16/Input!$AA$15)*LN((1+SQRT((Input!$AA$16/Input!$AA$15)^2+1))*SQRT((Input!$AA$16/Input!$AA$15)^2+(AJ66/(Input!$AA$15/2))^2)/((Input!$AA$16/Input!$AA$15)*(1+SQRT((Input!$AA$16/Input!$AA$15)^2+(AJ66/(Input!$AA$15/2))^2+1))))+LN(((Input!$AA$16/Input!$AA$15)+SQRT((Input!$AA$16/Input!$AA$15)^2+1))*SQRT(1+(AJ66/(Input!$AA$15/2))^2)/((Input!$AA$16/Input!$AA$15)+SQRT((Input!$AA$16/Input!$AA$15)^2+(AJ66/(Input!$AA$15/2))^2+1))))/PI()</f>
        <v/>
      </c>
      <c r="BE66" s="68">
        <f>(AJ66/(Input!$AA$15/2))/(2*PI())*ATAN((Input!$AA$16/Input!$AA$15)/((AJ66/(Input!$AA$15/2))*SQRT((Input!$AA$16/Input!$AA$15)^2+(AJ66/(Input!$AA$15/2))^2+1)))</f>
        <v/>
      </c>
      <c r="BF66" s="68">
        <f>MAX(0,AJ66-MAX(AI66,$AA$22))/AK66*IF(BC66&gt;=Input!$AA$21*AQ66,1,0)</f>
        <v/>
      </c>
      <c r="BG66" s="68">
        <f>4*Input!$AA$14*(Input!$AA$15/2)*(1-AY66^2)/AX66*((BD66-BD65)+(1-2*AY66)/(1-AY66)*(BE66-BE65))*1000*BF66</f>
        <v/>
      </c>
      <c r="BH66" s="68">
        <f>IF(AM66="Sand",0,0.009*(AR66-10))</f>
        <v/>
      </c>
      <c r="BI66" s="68">
        <f>BH66*Input!$AA$36</f>
        <v/>
      </c>
      <c r="BJ66" s="68">
        <f>IF(AM66="Sand",0,MAX(AV66/Input!$AA$37,AQ66))</f>
        <v/>
      </c>
      <c r="BK66" s="68">
        <f>IF(AM66="Sand",0,1000*AK66/(1+AU66)*IF(AQ66+BC66&lt;=BJ66,BI66*LOG10((AQ66+BC66)/AQ66),BI66*LOG10(BJ66/AQ66)+BH66*LOG10((AQ66+BC66)/BJ66)))*BF66</f>
        <v/>
      </c>
      <c r="BL66" s="68">
        <f>IF(AM66="Sand",0,10^(INDEX(Input!$Q$48:$Q$54,MIN(MATCH(MIN(MAX(AR66,30),120),Input!$C$48:$C$54,1),6))+(MIN(MAX(AR66,30),120)-INDEX(Input!$C$48:$C$54,MIN(MATCH(MIN(MAX(AR66,30),120),Input!$C$48:$C$54,1),6)))/(INDEX(Input!$C$48:$C$54,MIN(MATCH(MIN(MAX(AR66,30),120),Input!$C$48:$C$54,1),6)+1)-INDEX(Input!$C$48:$C$54,MIN(MATCH(MIN(MAX(AR66,30),120),Input!$C$48:$C$54,1),6)))*(INDEX(Input!$Q$48:$Q$54,MIN(MATCH(MIN(MAX(AR66,30),120),Input!$C$48:$C$54,1),6)+1)-INDEX(Input!$Q$48:$Q$54,MIN(MATCH(MIN(MAX(AR66,30),120),Input!$C$48:$C$54,1),6)))))</f>
        <v/>
      </c>
      <c r="BM66" s="68">
        <f>IF(OR(AM66="Sand",BF66=0),0,Input!$AA$38*(AK66/2)^2/(BL66*1E-4*31536000))</f>
        <v/>
      </c>
      <c r="BN66" s="68">
        <f>MAX(0,MIN(AJ66,Input!$AA$20)-AI66)</f>
        <v/>
      </c>
      <c r="BO66" s="68">
        <f>MAX(0,MIN(AJ66,Input!$AA$20)-MAX(AI66,$AA$22))</f>
        <v/>
      </c>
      <c r="BP66" s="68">
        <f>MAX(0,MIN(AJ66,$AA$225)-AI66)</f>
        <v/>
      </c>
      <c r="BQ66" s="68" t="inlineStr">
        <is>
          <t>data copied from BH-01</t>
        </is>
      </c>
    </row>
    <row r="67">
      <c r="B67" s="9" t="n"/>
      <c r="C67" s="57" t="n">
        <v>40</v>
      </c>
      <c r="D67" s="41" t="n"/>
      <c r="E67" s="55">
        <f>AI67</f>
        <v/>
      </c>
      <c r="F67" s="41" t="n"/>
      <c r="G67" s="41" t="n"/>
      <c r="H67" s="55">
        <f>AJ67</f>
        <v/>
      </c>
      <c r="I67" s="41" t="n"/>
      <c r="J67" s="41" t="n"/>
      <c r="K67" s="52">
        <f>AM67</f>
        <v/>
      </c>
      <c r="L67" s="41" t="n"/>
      <c r="M67" s="41" t="n"/>
      <c r="N67" s="57">
        <f>AN67</f>
        <v/>
      </c>
      <c r="O67" s="41" t="n"/>
      <c r="P67" s="41" t="n"/>
      <c r="Q67" s="53">
        <f>AO67</f>
        <v/>
      </c>
      <c r="R67" s="41" t="n"/>
      <c r="S67" s="41" t="n"/>
      <c r="T67" s="57">
        <f>IF(AR67="","-",AR67)</f>
        <v/>
      </c>
      <c r="U67" s="41" t="n"/>
      <c r="V67" s="57">
        <f>IF(AT67="","-",AT67)</f>
        <v/>
      </c>
      <c r="W67" s="41" t="n"/>
      <c r="X67" s="55">
        <f>AU67</f>
        <v/>
      </c>
      <c r="Y67" s="41" t="n"/>
      <c r="Z67" s="66">
        <f>AV67</f>
        <v/>
      </c>
      <c r="AA67" s="41" t="n"/>
      <c r="AB67" s="41" t="n"/>
      <c r="AC67" s="53">
        <f>AW67</f>
        <v/>
      </c>
      <c r="AD67" s="41" t="n"/>
      <c r="AE67" s="41" t="n"/>
      <c r="AF67" s="15" t="n"/>
      <c r="AI67" s="67" t="n">
        <v>58.5</v>
      </c>
      <c r="AJ67" s="67" t="n">
        <v>59.5</v>
      </c>
      <c r="AK67" s="68">
        <f>AJ67-AI67</f>
        <v/>
      </c>
      <c r="AL67" s="68">
        <f>(AI67+AJ67)/2</f>
        <v/>
      </c>
      <c r="AM67" s="67" t="inlineStr">
        <is>
          <t>Sand</t>
        </is>
      </c>
      <c r="AN67" s="67" t="n">
        <v>42</v>
      </c>
      <c r="AO67" s="68">
        <f>IF(AL67&gt;$AA$19,$AA$21,$AA$20)</f>
        <v/>
      </c>
      <c r="AP67" s="68">
        <f>AP66+AO67*AK67</f>
        <v/>
      </c>
      <c r="AQ67" s="68">
        <f>AP67-AO67*AK67/2-10*MAX(AL67-$AA$19,0)</f>
        <v/>
      </c>
      <c r="AR67" s="67" t="n"/>
      <c r="AS67" s="67" t="n"/>
      <c r="AT67" s="68">
        <f>IF(AR67="","",AR67-AS67)</f>
        <v/>
      </c>
      <c r="AU67" s="67" t="n">
        <v>0.65</v>
      </c>
      <c r="AV67" s="68">
        <f>IF(AM67="Sand",0,Input!$AA$31*AN67)</f>
        <v/>
      </c>
      <c r="AW67" s="68">
        <f>IF(AM67="Sand",27.1+0.3*MIN(Input!$AA$32*AN67,60)-0.00054*MIN(Input!$AA$32*AN67,60)^2,MIN(MAX(DEGREES(ASIN(0.8-0.094*LN(MAX(IF(AT67="",10,AT67),5)))),20),30))</f>
        <v/>
      </c>
      <c r="AX67" s="68">
        <f>IF(AM67="Sand",Input!$AA$33*Input!$AA$32*AN67,Input!$AA$34*AV67)</f>
        <v/>
      </c>
      <c r="AY67" s="68">
        <f>IF(AM67="Sand",Input!$AA$35,0.5)</f>
        <v/>
      </c>
      <c r="AZ67" s="68">
        <f>Input!$AA$15/2/AL67</f>
        <v/>
      </c>
      <c r="BA67" s="68">
        <f>Input!$AA$16/2/AL67</f>
        <v/>
      </c>
      <c r="BB67" s="68">
        <f>1/(4*PI())*(2*AZ67*BA67*SQRT(AZ67^2+BA67^2+1)/(AZ67^2+BA67^2+1+AZ67^2*BA67^2)*(AZ67^2+BA67^2+2)/(AZ67^2+BA67^2+1)+ATAN2(AZ67^2+BA67^2+1-AZ67^2*BA67^2,2*AZ67*BA67*SQRT(AZ67^2+BA67^2+1)))</f>
        <v/>
      </c>
      <c r="BC67" s="68">
        <f>4*Input!$AA$14*BB67</f>
        <v/>
      </c>
      <c r="BD67" s="68">
        <f>((Input!$AA$16/Input!$AA$15)*LN((1+SQRT((Input!$AA$16/Input!$AA$15)^2+1))*SQRT((Input!$AA$16/Input!$AA$15)^2+(AJ67/(Input!$AA$15/2))^2)/((Input!$AA$16/Input!$AA$15)*(1+SQRT((Input!$AA$16/Input!$AA$15)^2+(AJ67/(Input!$AA$15/2))^2+1))))+LN(((Input!$AA$16/Input!$AA$15)+SQRT((Input!$AA$16/Input!$AA$15)^2+1))*SQRT(1+(AJ67/(Input!$AA$15/2))^2)/((Input!$AA$16/Input!$AA$15)+SQRT((Input!$AA$16/Input!$AA$15)^2+(AJ67/(Input!$AA$15/2))^2+1))))/PI()</f>
        <v/>
      </c>
      <c r="BE67" s="68">
        <f>(AJ67/(Input!$AA$15/2))/(2*PI())*ATAN((Input!$AA$16/Input!$AA$15)/((AJ67/(Input!$AA$15/2))*SQRT((Input!$AA$16/Input!$AA$15)^2+(AJ67/(Input!$AA$15/2))^2+1)))</f>
        <v/>
      </c>
      <c r="BF67" s="68">
        <f>MAX(0,AJ67-MAX(AI67,$AA$22))/AK67*IF(BC67&gt;=Input!$AA$21*AQ67,1,0)</f>
        <v/>
      </c>
      <c r="BG67" s="68">
        <f>4*Input!$AA$14*(Input!$AA$15/2)*(1-AY67^2)/AX67*((BD67-BD66)+(1-2*AY67)/(1-AY67)*(BE67-BE66))*1000*BF67</f>
        <v/>
      </c>
      <c r="BH67" s="68">
        <f>IF(AM67="Sand",0,0.009*(AR67-10))</f>
        <v/>
      </c>
      <c r="BI67" s="68">
        <f>BH67*Input!$AA$36</f>
        <v/>
      </c>
      <c r="BJ67" s="68">
        <f>IF(AM67="Sand",0,MAX(AV67/Input!$AA$37,AQ67))</f>
        <v/>
      </c>
      <c r="BK67" s="68">
        <f>IF(AM67="Sand",0,1000*AK67/(1+AU67)*IF(AQ67+BC67&lt;=BJ67,BI67*LOG10((AQ67+BC67)/AQ67),BI67*LOG10(BJ67/AQ67)+BH67*LOG10((AQ67+BC67)/BJ67)))*BF67</f>
        <v/>
      </c>
      <c r="BL67" s="68">
        <f>IF(AM67="Sand",0,10^(INDEX(Input!$Q$48:$Q$54,MIN(MATCH(MIN(MAX(AR67,30),120),Input!$C$48:$C$54,1),6))+(MIN(MAX(AR67,30),120)-INDEX(Input!$C$48:$C$54,MIN(MATCH(MIN(MAX(AR67,30),120),Input!$C$48:$C$54,1),6)))/(INDEX(Input!$C$48:$C$54,MIN(MATCH(MIN(MAX(AR67,30),120),Input!$C$48:$C$54,1),6)+1)-INDEX(Input!$C$48:$C$54,MIN(MATCH(MIN(MAX(AR67,30),120),Input!$C$48:$C$54,1),6)))*(INDEX(Input!$Q$48:$Q$54,MIN(MATCH(MIN(MAX(AR67,30),120),Input!$C$48:$C$54,1),6)+1)-INDEX(Input!$Q$48:$Q$54,MIN(MATCH(MIN(MAX(AR67,30),120),Input!$C$48:$C$54,1),6)))))</f>
        <v/>
      </c>
      <c r="BM67" s="68">
        <f>IF(OR(AM67="Sand",BF67=0),0,Input!$AA$38*(AK67/2)^2/(BL67*1E-4*31536000))</f>
        <v/>
      </c>
      <c r="BN67" s="68">
        <f>MAX(0,MIN(AJ67,Input!$AA$20)-AI67)</f>
        <v/>
      </c>
      <c r="BO67" s="68">
        <f>MAX(0,MIN(AJ67,Input!$AA$20)-MAX(AI67,$AA$22))</f>
        <v/>
      </c>
      <c r="BP67" s="68">
        <f>MAX(0,MIN(AJ67,$AA$225)-AI67)</f>
        <v/>
      </c>
      <c r="BQ67" s="68" t="inlineStr">
        <is>
          <t>data copied from BH-01</t>
        </is>
      </c>
    </row>
    <row r="68">
      <c r="B68" s="9" t="n"/>
      <c r="C68" s="69" t="n">
        <v>41</v>
      </c>
      <c r="D68" s="46" t="n"/>
      <c r="E68" s="70">
        <f>AI68</f>
        <v/>
      </c>
      <c r="F68" s="46" t="n"/>
      <c r="G68" s="46" t="n"/>
      <c r="H68" s="70">
        <f>AJ68</f>
        <v/>
      </c>
      <c r="I68" s="46" t="n"/>
      <c r="J68" s="46" t="n"/>
      <c r="K68" s="59">
        <f>AM68</f>
        <v/>
      </c>
      <c r="L68" s="46" t="n"/>
      <c r="M68" s="46" t="n"/>
      <c r="N68" s="69">
        <f>AN68</f>
        <v/>
      </c>
      <c r="O68" s="46" t="n"/>
      <c r="P68" s="46" t="n"/>
      <c r="Q68" s="60">
        <f>AO68</f>
        <v/>
      </c>
      <c r="R68" s="46" t="n"/>
      <c r="S68" s="46" t="n"/>
      <c r="T68" s="69">
        <f>IF(AR68="","-",AR68)</f>
        <v/>
      </c>
      <c r="U68" s="46" t="n"/>
      <c r="V68" s="69">
        <f>IF(AT68="","-",AT68)</f>
        <v/>
      </c>
      <c r="W68" s="46" t="n"/>
      <c r="X68" s="70">
        <f>AU68</f>
        <v/>
      </c>
      <c r="Y68" s="46" t="n"/>
      <c r="Z68" s="71">
        <f>AV68</f>
        <v/>
      </c>
      <c r="AA68" s="46" t="n"/>
      <c r="AB68" s="46" t="n"/>
      <c r="AC68" s="60">
        <f>AW68</f>
        <v/>
      </c>
      <c r="AD68" s="46" t="n"/>
      <c r="AE68" s="46" t="n"/>
      <c r="AF68" s="15" t="n"/>
      <c r="AI68" s="67" t="n">
        <v>59.5</v>
      </c>
      <c r="AJ68" s="67" t="n">
        <v>60</v>
      </c>
      <c r="AK68" s="68">
        <f>AJ68-AI68</f>
        <v/>
      </c>
      <c r="AL68" s="68">
        <f>(AI68+AJ68)/2</f>
        <v/>
      </c>
      <c r="AM68" s="67" t="inlineStr">
        <is>
          <t>Sand</t>
        </is>
      </c>
      <c r="AN68" s="67" t="n">
        <v>46</v>
      </c>
      <c r="AO68" s="68">
        <f>IF(AL68&gt;$AA$19,$AA$21,$AA$20)</f>
        <v/>
      </c>
      <c r="AP68" s="68">
        <f>AP67+AO68*AK68</f>
        <v/>
      </c>
      <c r="AQ68" s="68">
        <f>AP68-AO68*AK68/2-10*MAX(AL68-$AA$19,0)</f>
        <v/>
      </c>
      <c r="AR68" s="67" t="n"/>
      <c r="AS68" s="67" t="n"/>
      <c r="AT68" s="68">
        <f>IF(AR68="","",AR68-AS68)</f>
        <v/>
      </c>
      <c r="AU68" s="67" t="n">
        <v>0.65</v>
      </c>
      <c r="AV68" s="68">
        <f>IF(AM68="Sand",0,Input!$AA$31*AN68)</f>
        <v/>
      </c>
      <c r="AW68" s="68">
        <f>IF(AM68="Sand",27.1+0.3*MIN(Input!$AA$32*AN68,60)-0.00054*MIN(Input!$AA$32*AN68,60)^2,MIN(MAX(DEGREES(ASIN(0.8-0.094*LN(MAX(IF(AT68="",10,AT68),5)))),20),30))</f>
        <v/>
      </c>
      <c r="AX68" s="68">
        <f>IF(AM68="Sand",Input!$AA$33*Input!$AA$32*AN68,Input!$AA$34*AV68)</f>
        <v/>
      </c>
      <c r="AY68" s="68">
        <f>IF(AM68="Sand",Input!$AA$35,0.5)</f>
        <v/>
      </c>
      <c r="AZ68" s="68">
        <f>Input!$AA$15/2/AL68</f>
        <v/>
      </c>
      <c r="BA68" s="68">
        <f>Input!$AA$16/2/AL68</f>
        <v/>
      </c>
      <c r="BB68" s="68">
        <f>1/(4*PI())*(2*AZ68*BA68*SQRT(AZ68^2+BA68^2+1)/(AZ68^2+BA68^2+1+AZ68^2*BA68^2)*(AZ68^2+BA68^2+2)/(AZ68^2+BA68^2+1)+ATAN2(AZ68^2+BA68^2+1-AZ68^2*BA68^2,2*AZ68*BA68*SQRT(AZ68^2+BA68^2+1)))</f>
        <v/>
      </c>
      <c r="BC68" s="68">
        <f>4*Input!$AA$14*BB68</f>
        <v/>
      </c>
      <c r="BD68" s="68">
        <f>((Input!$AA$16/Input!$AA$15)*LN((1+SQRT((Input!$AA$16/Input!$AA$15)^2+1))*SQRT((Input!$AA$16/Input!$AA$15)^2+(AJ68/(Input!$AA$15/2))^2)/((Input!$AA$16/Input!$AA$15)*(1+SQRT((Input!$AA$16/Input!$AA$15)^2+(AJ68/(Input!$AA$15/2))^2+1))))+LN(((Input!$AA$16/Input!$AA$15)+SQRT((Input!$AA$16/Input!$AA$15)^2+1))*SQRT(1+(AJ68/(Input!$AA$15/2))^2)/((Input!$AA$16/Input!$AA$15)+SQRT((Input!$AA$16/Input!$AA$15)^2+(AJ68/(Input!$AA$15/2))^2+1))))/PI()</f>
        <v/>
      </c>
      <c r="BE68" s="68">
        <f>(AJ68/(Input!$AA$15/2))/(2*PI())*ATAN((Input!$AA$16/Input!$AA$15)/((AJ68/(Input!$AA$15/2))*SQRT((Input!$AA$16/Input!$AA$15)^2+(AJ68/(Input!$AA$15/2))^2+1)))</f>
        <v/>
      </c>
      <c r="BF68" s="68">
        <f>MAX(0,AJ68-MAX(AI68,$AA$22))/AK68*IF(BC68&gt;=Input!$AA$21*AQ68,1,0)</f>
        <v/>
      </c>
      <c r="BG68" s="68">
        <f>4*Input!$AA$14*(Input!$AA$15/2)*(1-AY68^2)/AX68*((BD68-BD67)+(1-2*AY68)/(1-AY68)*(BE68-BE67))*1000*BF68</f>
        <v/>
      </c>
      <c r="BH68" s="68">
        <f>IF(AM68="Sand",0,0.009*(AR68-10))</f>
        <v/>
      </c>
      <c r="BI68" s="68">
        <f>BH68*Input!$AA$36</f>
        <v/>
      </c>
      <c r="BJ68" s="68">
        <f>IF(AM68="Sand",0,MAX(AV68/Input!$AA$37,AQ68))</f>
        <v/>
      </c>
      <c r="BK68" s="68">
        <f>IF(AM68="Sand",0,1000*AK68/(1+AU68)*IF(AQ68+BC68&lt;=BJ68,BI68*LOG10((AQ68+BC68)/AQ68),BI68*LOG10(BJ68/AQ68)+BH68*LOG10((AQ68+BC68)/BJ68)))*BF68</f>
        <v/>
      </c>
      <c r="BL68" s="68">
        <f>IF(AM68="Sand",0,10^(INDEX(Input!$Q$48:$Q$54,MIN(MATCH(MIN(MAX(AR68,30),120),Input!$C$48:$C$54,1),6))+(MIN(MAX(AR68,30),120)-INDEX(Input!$C$48:$C$54,MIN(MATCH(MIN(MAX(AR68,30),120),Input!$C$48:$C$54,1),6)))/(INDEX(Input!$C$48:$C$54,MIN(MATCH(MIN(MAX(AR68,30),120),Input!$C$48:$C$54,1),6)+1)-INDEX(Input!$C$48:$C$54,MIN(MATCH(MIN(MAX(AR68,30),120),Input!$C$48:$C$54,1),6)))*(INDEX(Input!$Q$48:$Q$54,MIN(MATCH(MIN(MAX(AR68,30),120),Input!$C$48:$C$54,1),6)+1)-INDEX(Input!$Q$48:$Q$54,MIN(MATCH(MIN(MAX(AR68,30),120),Input!$C$48:$C$54,1),6)))))</f>
        <v/>
      </c>
      <c r="BM68" s="68">
        <f>IF(OR(AM68="Sand",BF68=0),0,Input!$AA$38*(AK68/2)^2/(BL68*1E-4*31536000))</f>
        <v/>
      </c>
      <c r="BN68" s="68">
        <f>MAX(0,MIN(AJ68,Input!$AA$20)-AI68)</f>
        <v/>
      </c>
      <c r="BO68" s="68">
        <f>MAX(0,MIN(AJ68,Input!$AA$20)-MAX(AI68,$AA$22))</f>
        <v/>
      </c>
      <c r="BP68" s="68">
        <f>MAX(0,MIN(AJ68,$AA$225)-AI68)</f>
        <v/>
      </c>
      <c r="BQ68" s="68" t="inlineStr">
        <is>
          <t>data copied from BH-01</t>
        </is>
      </c>
    </row>
    <row r="69">
      <c r="B69" s="9" t="n"/>
      <c r="C69" s="24" t="inlineStr">
        <is>
          <t>cu = k·N (silt/clay); φ' sand from Wolff (1989), silt/clay from PI; γ from laboratory average above/below GWL.</t>
        </is>
      </c>
      <c r="AF69" s="15" t="n"/>
    </row>
    <row r="70">
      <c r="B70" s="9" t="n"/>
      <c r="C70" s="24" t="inlineStr">
        <is>
          <t>Below 25 m the SPT data of BH-01 are used (BH-04 drilled to 25 m only).</t>
        </is>
      </c>
      <c r="AF70" s="15" t="n"/>
    </row>
    <row r="71">
      <c r="B71" s="9" t="n"/>
      <c r="AF71" s="15" t="n"/>
    </row>
    <row r="72">
      <c r="B72" s="9" t="n"/>
      <c r="AF72" s="15" t="n"/>
    </row>
    <row r="73">
      <c r="B73" s="47" t="n"/>
      <c r="C73" s="48" t="n"/>
      <c r="D73" s="48" t="n"/>
      <c r="E73" s="48" t="n"/>
      <c r="F73" s="48" t="n"/>
      <c r="G73" s="48" t="n"/>
      <c r="H73" s="48" t="n"/>
      <c r="I73" s="48" t="n"/>
      <c r="J73" s="48" t="n"/>
      <c r="K73" s="48" t="n"/>
      <c r="L73" s="48" t="n"/>
      <c r="M73" s="48" t="n"/>
      <c r="N73" s="48" t="n"/>
      <c r="O73" s="48" t="n"/>
      <c r="P73" s="48" t="n"/>
      <c r="Q73" s="48" t="n"/>
      <c r="R73" s="48" t="n"/>
      <c r="S73" s="48" t="n"/>
      <c r="T73" s="48" t="n"/>
      <c r="U73" s="48" t="n"/>
      <c r="V73" s="48" t="n"/>
      <c r="W73" s="48" t="n"/>
      <c r="X73" s="49" t="inlineStr">
        <is>
          <t>Sheet :</t>
        </is>
      </c>
      <c r="Y73" s="48" t="n"/>
      <c r="Z73" s="48" t="n"/>
      <c r="AA73" s="48" t="n"/>
      <c r="AB73" s="49" t="n">
        <v>1</v>
      </c>
      <c r="AC73" s="48" t="n"/>
      <c r="AD73" s="48" t="n"/>
      <c r="AE73" s="48" t="n"/>
      <c r="AF73" s="50" t="n"/>
    </row>
    <row r="74">
      <c r="B74" s="1" t="n"/>
      <c r="C74" s="2" t="inlineStr">
        <is>
          <t>PROJECT :</t>
        </is>
      </c>
      <c r="D74" s="3" t="n"/>
      <c r="E74" s="3" t="n"/>
      <c r="F74" s="3" t="n"/>
      <c r="G74" s="3" t="n"/>
      <c r="H74" s="4" t="inlineStr">
        <is>
          <t>GEOTHERMAL WELLPAD PSPE BORA PULU - SIGI, CENTRAL SULAWESI</t>
        </is>
      </c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5" t="inlineStr">
        <is>
          <t>Prepared by :</t>
        </is>
      </c>
      <c r="Y74" s="6" t="n"/>
      <c r="Z74" s="6" t="n"/>
      <c r="AA74" s="6" t="n"/>
      <c r="AB74" s="7" t="inlineStr">
        <is>
          <t>Date</t>
        </is>
      </c>
      <c r="AC74" s="6" t="n"/>
      <c r="AD74" s="6" t="n"/>
      <c r="AE74" s="6" t="n"/>
      <c r="AF74" s="8" t="n"/>
    </row>
    <row r="75">
      <c r="B75" s="9" t="n"/>
      <c r="C75" s="10" t="inlineStr">
        <is>
          <t>CLIENT :</t>
        </is>
      </c>
      <c r="H75" s="11" t="inlineStr">
        <is>
          <t>PT EDC PANAS BUMI INDONESIA</t>
        </is>
      </c>
      <c r="X75" s="12" t="inlineStr">
        <is>
          <t>DF</t>
        </is>
      </c>
      <c r="Y75" s="13" t="n"/>
      <c r="Z75" s="13" t="n"/>
      <c r="AA75" s="13" t="n"/>
      <c r="AB75" s="14" t="n">
        <v>46301</v>
      </c>
      <c r="AC75" s="13" t="n"/>
      <c r="AD75" s="13" t="n"/>
      <c r="AE75" s="13" t="n"/>
      <c r="AF75" s="15" t="n"/>
    </row>
    <row r="76">
      <c r="B76" s="9" t="n"/>
      <c r="C76" s="10" t="inlineStr">
        <is>
          <t>LOCATION :</t>
        </is>
      </c>
      <c r="H76" s="11" t="inlineStr">
        <is>
          <t>BH-04 (Wellpad D)</t>
        </is>
      </c>
      <c r="X76" s="12" t="inlineStr">
        <is>
          <t>Verified by :</t>
        </is>
      </c>
      <c r="Y76" s="13" t="n"/>
      <c r="Z76" s="13" t="n"/>
      <c r="AA76" s="13" t="n"/>
      <c r="AB76" s="14" t="inlineStr">
        <is>
          <t>Date</t>
        </is>
      </c>
      <c r="AC76" s="13" t="n"/>
      <c r="AD76" s="13" t="n"/>
      <c r="AE76" s="13" t="n"/>
      <c r="AF76" s="15" t="n"/>
    </row>
    <row r="77">
      <c r="B77" s="16" t="n"/>
      <c r="C77" s="17" t="inlineStr">
        <is>
          <t>SHEET :</t>
        </is>
      </c>
      <c r="D77" s="18" t="n"/>
      <c r="E77" s="18" t="n"/>
      <c r="F77" s="18" t="n"/>
      <c r="G77" s="18" t="n"/>
      <c r="H77" s="19" t="inlineStr">
        <is>
          <t>BEARING CAPACITY AND SETTLEMENT OF SUBGRADE</t>
        </is>
      </c>
      <c r="I77" s="18" t="n"/>
      <c r="J77" s="18" t="n"/>
      <c r="K77" s="18" t="n"/>
      <c r="L77" s="18" t="n"/>
      <c r="M77" s="18" t="n"/>
      <c r="N77" s="18" t="n"/>
      <c r="O77" s="18" t="n"/>
      <c r="P77" s="18" t="n"/>
      <c r="Q77" s="18" t="n"/>
      <c r="R77" s="18" t="n"/>
      <c r="S77" s="18" t="n"/>
      <c r="T77" s="18" t="n"/>
      <c r="U77" s="18" t="n"/>
      <c r="V77" s="18" t="n"/>
      <c r="W77" s="18" t="n"/>
      <c r="X77" s="20" t="inlineStr">
        <is>
          <t>BC</t>
        </is>
      </c>
      <c r="Y77" s="21" t="n"/>
      <c r="Z77" s="21" t="n"/>
      <c r="AA77" s="21" t="n"/>
      <c r="AB77" s="22" t="n">
        <v>46301</v>
      </c>
      <c r="AC77" s="21" t="n"/>
      <c r="AD77" s="21" t="n"/>
      <c r="AE77" s="21" t="n"/>
      <c r="AF77" s="23" t="n"/>
    </row>
    <row r="78">
      <c r="B78" s="9" t="n"/>
      <c r="AF78" s="15" t="n"/>
    </row>
    <row r="79">
      <c r="B79" s="9" t="n"/>
      <c r="C79" s="11" t="inlineStr">
        <is>
          <t>3. BEARING CAPACITY OF SUBGRADE</t>
        </is>
      </c>
      <c r="AF79" s="15" t="n"/>
    </row>
    <row r="80">
      <c r="B80" s="9" t="n"/>
      <c r="C80" s="25" t="inlineStr">
        <is>
          <t>The bearing capacity is evaluated with the general bearing capacity equation (Terzaghi 1943, Vesic 1975; SNI 8460:2017).</t>
        </is>
      </c>
      <c r="AF80" s="15" t="n"/>
    </row>
    <row r="81">
      <c r="B81" s="9" t="n"/>
      <c r="C81" s="25" t="inlineStr">
        <is>
          <t>Undrained (short-term) condition governs where silt/clay exists within 0 - Hb: qu = cu·Nc·sc.</t>
        </is>
      </c>
      <c r="AF81" s="15" t="n"/>
    </row>
    <row r="82">
      <c r="B82" s="9" t="n"/>
      <c r="C82" s="25" t="inlineStr">
        <is>
          <t>Drained (long-term) condition for granular soil: qu = 0.5·γ'·B·Nγ·sγ·rγ (c' = 0, load at ground surface, q = 0).</t>
        </is>
      </c>
      <c r="AF82" s="15" t="n"/>
    </row>
    <row r="83">
      <c r="B83" s="9" t="n"/>
      <c r="C83" s="25" t="inlineStr">
        <is>
          <t>The governing ultimate capacity is the smaller of the two; qall = qu / SF.</t>
        </is>
      </c>
      <c r="AF83" s="15" t="n"/>
    </row>
    <row r="84">
      <c r="B84" s="9" t="n"/>
      <c r="AF84" s="15" t="n"/>
    </row>
    <row r="85">
      <c r="B85" s="9" t="n"/>
      <c r="C85" s="11" t="inlineStr">
        <is>
          <t>3.1. Without ground improvement</t>
        </is>
      </c>
      <c r="AF85" s="15" t="n"/>
    </row>
    <row r="86">
      <c r="B86" s="9" t="n"/>
      <c r="C86" s="25" t="inlineStr">
        <is>
          <t>Thickness of silt/clay within 0 - Hb</t>
        </is>
      </c>
      <c r="O86" s="26" t="inlineStr">
        <is>
          <t>Σh (fine soil)</t>
        </is>
      </c>
      <c r="X86" s="27" t="inlineStr">
        <is>
          <t>Σh =</t>
        </is>
      </c>
      <c r="Y86" s="13" t="n"/>
      <c r="Z86" s="13" t="n"/>
      <c r="AA86" s="61">
        <f>SUMPRODUCT(--(AM28:AM68&lt;&gt;"Sand"),BN28:BN68)</f>
        <v/>
      </c>
      <c r="AB86" s="13" t="n"/>
      <c r="AC86" s="13" t="n"/>
      <c r="AD86" s="25" t="inlineStr">
        <is>
          <t>m</t>
        </is>
      </c>
      <c r="AF86" s="15" t="n"/>
    </row>
    <row r="87">
      <c r="B87" s="9" t="n"/>
      <c r="C87" s="25" t="inlineStr">
        <is>
          <t>Average undrained shear strength</t>
        </is>
      </c>
      <c r="O87" s="26" t="inlineStr">
        <is>
          <t>weighted by thickness</t>
        </is>
      </c>
      <c r="X87" s="27" t="inlineStr">
        <is>
          <t>cu =</t>
        </is>
      </c>
      <c r="Y87" s="13" t="n"/>
      <c r="Z87" s="13" t="n"/>
      <c r="AA87" s="62">
        <f>IF($AA$86=0,0,SUMPRODUCT(--(AM28:AM68&lt;&gt;"Sand"),BN28:BN68,AV28:AV68)/$AA$86)</f>
        <v/>
      </c>
      <c r="AB87" s="13" t="n"/>
      <c r="AC87" s="13" t="n"/>
      <c r="AD87" s="25" t="inlineStr">
        <is>
          <t>kPa</t>
        </is>
      </c>
      <c r="AF87" s="15" t="n"/>
    </row>
    <row r="88">
      <c r="B88" s="9" t="n"/>
      <c r="C88" s="25" t="inlineStr">
        <is>
          <t>Average effective friction angle</t>
        </is>
      </c>
      <c r="O88" s="26" t="inlineStr">
        <is>
          <t>incl. replacement fill</t>
        </is>
      </c>
      <c r="X88" s="27" t="inlineStr">
        <is>
          <t>φ' =</t>
        </is>
      </c>
      <c r="Y88" s="13" t="n"/>
      <c r="Z88" s="13" t="n"/>
      <c r="AA88" s="62">
        <f>(SUMPRODUCT(BN28:BN68,AW28:AW68)+MIN(0,Input!$AA$20)*Input!$AA$26)/Input!$AA$20</f>
        <v/>
      </c>
      <c r="AB88" s="13" t="n"/>
      <c r="AC88" s="13" t="n"/>
      <c r="AD88" s="25" t="inlineStr">
        <is>
          <t>°</t>
        </is>
      </c>
      <c r="AF88" s="15" t="n"/>
    </row>
    <row r="89">
      <c r="B89" s="9" t="n"/>
      <c r="C89" s="25" t="inlineStr">
        <is>
          <t>Average effective unit weight</t>
        </is>
      </c>
      <c r="O89" s="26" t="inlineStr">
        <is>
          <t>0 - Hb</t>
        </is>
      </c>
      <c r="X89" s="27" t="inlineStr">
        <is>
          <t>γ' =</t>
        </is>
      </c>
      <c r="Y89" s="13" t="n"/>
      <c r="Z89" s="13" t="n"/>
      <c r="AA89" s="62">
        <f>(SUMPRODUCT(BN28:BN68,AO28:AO68)+MIN(0,Input!$AA$20)*Input!$AA$25)/Input!$AA$20-10*MAX(0,Input!$AA$20-$AA$19)/Input!$AA$20</f>
        <v/>
      </c>
      <c r="AB89" s="13" t="n"/>
      <c r="AC89" s="13" t="n"/>
      <c r="AD89" s="25" t="inlineStr">
        <is>
          <t>kN/m³</t>
        </is>
      </c>
      <c r="AF89" s="15" t="n"/>
    </row>
    <row r="90">
      <c r="B90" s="9" t="n"/>
      <c r="C90" s="25" t="inlineStr">
        <is>
          <t>Shape factor (undrained), Nc = 5.14</t>
        </is>
      </c>
      <c r="O90" s="26" t="inlineStr">
        <is>
          <t>sc = 1 + 0.2 B/L</t>
        </is>
      </c>
      <c r="X90" s="27" t="inlineStr">
        <is>
          <t>sc =</t>
        </is>
      </c>
      <c r="Y90" s="13" t="n"/>
      <c r="Z90" s="13" t="n"/>
      <c r="AA90" s="61">
        <f>1+0.2*Input!$AA$15/Input!$AA$16</f>
        <v/>
      </c>
      <c r="AB90" s="13" t="n"/>
      <c r="AC90" s="13" t="n"/>
      <c r="AD90" s="25" t="inlineStr">
        <is>
          <t>-</t>
        </is>
      </c>
      <c r="AF90" s="15" t="n"/>
    </row>
    <row r="91">
      <c r="B91" s="9" t="n"/>
      <c r="C91" s="25" t="inlineStr">
        <is>
          <t>Ultimate capacity, undrained</t>
        </is>
      </c>
      <c r="O91" s="26" t="inlineStr">
        <is>
          <t>qu = cu·Nc·sc</t>
        </is>
      </c>
      <c r="X91" s="27" t="inlineStr">
        <is>
          <t>qu,u =</t>
        </is>
      </c>
      <c r="Y91" s="13" t="n"/>
      <c r="Z91" s="13" t="n"/>
      <c r="AA91" s="62">
        <f>IF($AA$86=0,"n/a",$AA$87*5.14*$AA$90)</f>
        <v/>
      </c>
      <c r="AB91" s="13" t="n"/>
      <c r="AC91" s="13" t="n"/>
      <c r="AD91" s="25" t="inlineStr">
        <is>
          <t>kPa</t>
        </is>
      </c>
      <c r="AF91" s="15" t="n"/>
    </row>
    <row r="92">
      <c r="B92" s="9" t="n"/>
      <c r="C92" s="25" t="inlineStr">
        <is>
          <t>Bearing capacity factor</t>
        </is>
      </c>
      <c r="O92" s="26" t="inlineStr">
        <is>
          <t>Nq = e^(π·tanφ)·tan²(45+φ/2)</t>
        </is>
      </c>
      <c r="X92" s="27" t="inlineStr">
        <is>
          <t>Nq =</t>
        </is>
      </c>
      <c r="Y92" s="13" t="n"/>
      <c r="Z92" s="13" t="n"/>
      <c r="AA92" s="61">
        <f>EXP(PI()*TAN(RADIANS($AA$88)))*TAN(RADIANS(45+$AA$88/2))^2</f>
        <v/>
      </c>
      <c r="AB92" s="13" t="n"/>
      <c r="AC92" s="13" t="n"/>
      <c r="AD92" s="25" t="inlineStr">
        <is>
          <t>-</t>
        </is>
      </c>
      <c r="AF92" s="15" t="n"/>
    </row>
    <row r="93">
      <c r="B93" s="9" t="n"/>
      <c r="C93" s="25" t="inlineStr">
        <is>
          <t>Bearing capacity factor (Vesic)</t>
        </is>
      </c>
      <c r="O93" s="26" t="inlineStr">
        <is>
          <t>Nγ = 2(Nq+1)·tanφ</t>
        </is>
      </c>
      <c r="X93" s="27" t="inlineStr">
        <is>
          <t>Nγ =</t>
        </is>
      </c>
      <c r="Y93" s="13" t="n"/>
      <c r="Z93" s="13" t="n"/>
      <c r="AA93" s="61">
        <f>2*($AA$92+1)*TAN(RADIANS($AA$88))</f>
        <v/>
      </c>
      <c r="AB93" s="13" t="n"/>
      <c r="AC93" s="13" t="n"/>
      <c r="AD93" s="25" t="inlineStr">
        <is>
          <t>-</t>
        </is>
      </c>
      <c r="AF93" s="15" t="n"/>
    </row>
    <row r="94">
      <c r="B94" s="9" t="n"/>
      <c r="C94" s="25" t="inlineStr">
        <is>
          <t>Shape and size factors</t>
        </is>
      </c>
      <c r="O94" s="26" t="inlineStr">
        <is>
          <t>sγ = 1-0.4B/L; rγ = 1-0.25log(B/2)</t>
        </is>
      </c>
      <c r="X94" s="27" t="inlineStr">
        <is>
          <t>sγ·rγ =</t>
        </is>
      </c>
      <c r="Y94" s="13" t="n"/>
      <c r="Z94" s="13" t="n"/>
      <c r="AA94" s="72">
        <f>(1-0.4*Input!$AA$15/Input!$AA$16)*IF(Input!$AA$15&gt;2,1-0.25*LOG10(Input!$AA$15/2),1)</f>
        <v/>
      </c>
      <c r="AB94" s="13" t="n"/>
      <c r="AC94" s="13" t="n"/>
      <c r="AD94" s="25" t="inlineStr">
        <is>
          <t>-</t>
        </is>
      </c>
      <c r="AF94" s="15" t="n"/>
    </row>
    <row r="95">
      <c r="B95" s="9" t="n"/>
      <c r="C95" s="25" t="inlineStr">
        <is>
          <t>Ultimate capacity, drained</t>
        </is>
      </c>
      <c r="O95" s="26" t="inlineStr">
        <is>
          <t>qu = 0.5·γ'·B·Nγ·sγ·rγ</t>
        </is>
      </c>
      <c r="X95" s="27" t="inlineStr">
        <is>
          <t>qu,d =</t>
        </is>
      </c>
      <c r="Y95" s="13" t="n"/>
      <c r="Z95" s="13" t="n"/>
      <c r="AA95" s="62">
        <f>0.5*$AA$89*Input!$AA$15*$AA$93*$AA$94</f>
        <v/>
      </c>
      <c r="AB95" s="13" t="n"/>
      <c r="AC95" s="13" t="n"/>
      <c r="AD95" s="25" t="inlineStr">
        <is>
          <t>kPa</t>
        </is>
      </c>
      <c r="AF95" s="15" t="n"/>
    </row>
    <row r="96">
      <c r="B96" s="9" t="n"/>
      <c r="C96" s="25" t="inlineStr">
        <is>
          <t>Governing ultimate bearing capacity</t>
        </is>
      </c>
      <c r="O96" s="26" t="inlineStr">
        <is>
          <t>min (undrained, drained)</t>
        </is>
      </c>
      <c r="X96" s="27" t="inlineStr">
        <is>
          <t>qu =</t>
        </is>
      </c>
      <c r="Y96" s="13" t="n"/>
      <c r="Z96" s="13" t="n"/>
      <c r="AA96" s="30">
        <f>IF($AA$86=0,$AA$95,MIN($AA$91,$AA$95))</f>
        <v/>
      </c>
      <c r="AB96" s="13" t="n"/>
      <c r="AC96" s="13" t="n"/>
      <c r="AD96" s="25" t="inlineStr">
        <is>
          <t>kPa</t>
        </is>
      </c>
      <c r="AF96" s="15" t="n"/>
    </row>
    <row r="97">
      <c r="B97" s="9" t="n"/>
      <c r="C97" s="25" t="inlineStr">
        <is>
          <t>Allowable bearing capacity</t>
        </is>
      </c>
      <c r="O97" s="26" t="inlineStr">
        <is>
          <t>qall = qu / SF</t>
        </is>
      </c>
      <c r="X97" s="27" t="inlineStr">
        <is>
          <t>qall =</t>
        </is>
      </c>
      <c r="Y97" s="13" t="n"/>
      <c r="Z97" s="13" t="n"/>
      <c r="AA97" s="30">
        <f>$AA$96/Input!$AA$19</f>
        <v/>
      </c>
      <c r="AB97" s="13" t="n"/>
      <c r="AC97" s="13" t="n"/>
      <c r="AD97" s="25" t="inlineStr">
        <is>
          <t>kPa</t>
        </is>
      </c>
      <c r="AF97" s="15" t="n"/>
    </row>
    <row r="98">
      <c r="B98" s="9" t="n"/>
      <c r="C98" s="25" t="inlineStr">
        <is>
          <t>Working pressure</t>
        </is>
      </c>
      <c r="O98" s="26" t="inlineStr">
        <is>
          <t>q = Hf·γf + qs</t>
        </is>
      </c>
      <c r="X98" s="27" t="inlineStr">
        <is>
          <t>q =</t>
        </is>
      </c>
      <c r="Y98" s="13" t="n"/>
      <c r="Z98" s="13" t="n"/>
      <c r="AA98" s="62">
        <f>Input!$AA$14</f>
        <v/>
      </c>
      <c r="AB98" s="13" t="n"/>
      <c r="AC98" s="13" t="n"/>
      <c r="AD98" s="25" t="inlineStr">
        <is>
          <t>kPa</t>
        </is>
      </c>
      <c r="AF98" s="15" t="n"/>
    </row>
    <row r="99">
      <c r="B99" s="9" t="n"/>
      <c r="C99" s="25" t="inlineStr">
        <is>
          <t>Actual factor of safety</t>
        </is>
      </c>
      <c r="O99" s="26" t="inlineStr">
        <is>
          <t>FS = qu / q</t>
        </is>
      </c>
      <c r="X99" s="27" t="inlineStr">
        <is>
          <t>FS =</t>
        </is>
      </c>
      <c r="Y99" s="13" t="n"/>
      <c r="Z99" s="13" t="n"/>
      <c r="AA99" s="61">
        <f>$AA$96/Input!$AA$14</f>
        <v/>
      </c>
      <c r="AB99" s="13" t="n"/>
      <c r="AC99" s="13" t="n"/>
      <c r="AD99" s="25" t="inlineStr">
        <is>
          <t>-</t>
        </is>
      </c>
      <c r="AF99" s="15" t="n"/>
    </row>
    <row r="100">
      <c r="B100" s="9" t="n"/>
      <c r="C100" s="25" t="inlineStr">
        <is>
          <t>Allowable fill height with surcharge</t>
        </is>
      </c>
      <c r="O100" s="26" t="inlineStr">
        <is>
          <t>Hall = (qall - qs) / γf</t>
        </is>
      </c>
      <c r="X100" s="27" t="inlineStr">
        <is>
          <t>Hall =</t>
        </is>
      </c>
      <c r="Y100" s="13" t="n"/>
      <c r="Z100" s="13" t="n"/>
      <c r="AA100" s="61">
        <f>MAX(0,($AA$97-Input!$AA$13)/Input!$AA$12)</f>
        <v/>
      </c>
      <c r="AB100" s="13" t="n"/>
      <c r="AC100" s="13" t="n"/>
      <c r="AD100" s="25" t="inlineStr">
        <is>
          <t>m</t>
        </is>
      </c>
      <c r="AF100" s="15" t="n"/>
    </row>
    <row r="101">
      <c r="B101" s="9" t="n"/>
      <c r="C101" s="11" t="inlineStr">
        <is>
          <t>Bearing capacity check</t>
        </is>
      </c>
      <c r="X101" s="73">
        <f>IF($AA$97&gt;=Input!$AA$14,"qall ≥ q …. OK!!","qall &lt; q …. NG!!")</f>
        <v/>
      </c>
      <c r="Y101" s="13" t="n"/>
      <c r="Z101" s="13" t="n"/>
      <c r="AA101" s="13" t="n"/>
      <c r="AB101" s="13" t="n"/>
      <c r="AC101" s="13" t="n"/>
      <c r="AD101" s="13" t="n"/>
      <c r="AE101" s="13" t="n"/>
      <c r="AF101" s="15" t="n"/>
    </row>
    <row r="102">
      <c r="B102" s="9" t="n"/>
      <c r="AF102" s="15" t="n"/>
    </row>
    <row r="103">
      <c r="B103" s="9" t="n"/>
      <c r="C103" s="11" t="inlineStr">
        <is>
          <t>3.2. With replacement of soil 0 - Dr (design condition)</t>
        </is>
      </c>
      <c r="AF103" s="15" t="n"/>
    </row>
    <row r="104">
      <c r="B104" s="9" t="n"/>
      <c r="C104" s="25" t="inlineStr">
        <is>
          <t>Thickness of silt/clay within 0 - Hb</t>
        </is>
      </c>
      <c r="O104" s="26" t="inlineStr">
        <is>
          <t>Σh (fine soil)</t>
        </is>
      </c>
      <c r="X104" s="27" t="inlineStr">
        <is>
          <t>Σh =</t>
        </is>
      </c>
      <c r="Y104" s="13" t="n"/>
      <c r="Z104" s="13" t="n"/>
      <c r="AA104" s="61">
        <f>SUMPRODUCT(--(AM28:AM68&lt;&gt;"Sand"),BO28:BO68)</f>
        <v/>
      </c>
      <c r="AB104" s="13" t="n"/>
      <c r="AC104" s="13" t="n"/>
      <c r="AD104" s="25" t="inlineStr">
        <is>
          <t>m</t>
        </is>
      </c>
      <c r="AF104" s="15" t="n"/>
    </row>
    <row r="105">
      <c r="B105" s="9" t="n"/>
      <c r="C105" s="25" t="inlineStr">
        <is>
          <t>Average undrained shear strength</t>
        </is>
      </c>
      <c r="O105" s="26" t="inlineStr">
        <is>
          <t>weighted by thickness</t>
        </is>
      </c>
      <c r="X105" s="27" t="inlineStr">
        <is>
          <t>cu =</t>
        </is>
      </c>
      <c r="Y105" s="13" t="n"/>
      <c r="Z105" s="13" t="n"/>
      <c r="AA105" s="62">
        <f>IF($AA$104=0,0,SUMPRODUCT(--(AM28:AM68&lt;&gt;"Sand"),BO28:BO68,AV28:AV68)/$AA$104)</f>
        <v/>
      </c>
      <c r="AB105" s="13" t="n"/>
      <c r="AC105" s="13" t="n"/>
      <c r="AD105" s="25" t="inlineStr">
        <is>
          <t>kPa</t>
        </is>
      </c>
      <c r="AF105" s="15" t="n"/>
    </row>
    <row r="106">
      <c r="B106" s="9" t="n"/>
      <c r="C106" s="25" t="inlineStr">
        <is>
          <t>Average effective friction angle</t>
        </is>
      </c>
      <c r="O106" s="26" t="inlineStr">
        <is>
          <t>incl. replacement fill</t>
        </is>
      </c>
      <c r="X106" s="27" t="inlineStr">
        <is>
          <t>φ' =</t>
        </is>
      </c>
      <c r="Y106" s="13" t="n"/>
      <c r="Z106" s="13" t="n"/>
      <c r="AA106" s="62">
        <f>(SUMPRODUCT(BO28:BO68,AW28:AW68)+MIN($AA$22,Input!$AA$20)*Input!$AA$26)/Input!$AA$20</f>
        <v/>
      </c>
      <c r="AB106" s="13" t="n"/>
      <c r="AC106" s="13" t="n"/>
      <c r="AD106" s="25" t="inlineStr">
        <is>
          <t>°</t>
        </is>
      </c>
      <c r="AF106" s="15" t="n"/>
    </row>
    <row r="107">
      <c r="B107" s="9" t="n"/>
      <c r="C107" s="25" t="inlineStr">
        <is>
          <t>Average effective unit weight</t>
        </is>
      </c>
      <c r="O107" s="26" t="inlineStr">
        <is>
          <t>0 - Hb</t>
        </is>
      </c>
      <c r="X107" s="27" t="inlineStr">
        <is>
          <t>γ' =</t>
        </is>
      </c>
      <c r="Y107" s="13" t="n"/>
      <c r="Z107" s="13" t="n"/>
      <c r="AA107" s="62">
        <f>(SUMPRODUCT(BO28:BO68,AO28:AO68)+MIN($AA$22,Input!$AA$20)*Input!$AA$25)/Input!$AA$20-10*MAX(0,Input!$AA$20-$AA$19)/Input!$AA$20</f>
        <v/>
      </c>
      <c r="AB107" s="13" t="n"/>
      <c r="AC107" s="13" t="n"/>
      <c r="AD107" s="25" t="inlineStr">
        <is>
          <t>kN/m³</t>
        </is>
      </c>
      <c r="AF107" s="15" t="n"/>
    </row>
    <row r="108">
      <c r="B108" s="9" t="n"/>
      <c r="C108" s="25" t="inlineStr">
        <is>
          <t>Shape factor (undrained), Nc = 5.14</t>
        </is>
      </c>
      <c r="O108" s="26" t="inlineStr">
        <is>
          <t>sc = 1 + 0.2 B/L</t>
        </is>
      </c>
      <c r="X108" s="27" t="inlineStr">
        <is>
          <t>sc =</t>
        </is>
      </c>
      <c r="Y108" s="13" t="n"/>
      <c r="Z108" s="13" t="n"/>
      <c r="AA108" s="61">
        <f>1+0.2*Input!$AA$15/Input!$AA$16</f>
        <v/>
      </c>
      <c r="AB108" s="13" t="n"/>
      <c r="AC108" s="13" t="n"/>
      <c r="AD108" s="25" t="inlineStr">
        <is>
          <t>-</t>
        </is>
      </c>
      <c r="AF108" s="15" t="n"/>
    </row>
    <row r="109">
      <c r="B109" s="9" t="n"/>
      <c r="C109" s="25" t="inlineStr">
        <is>
          <t>Ultimate capacity, undrained</t>
        </is>
      </c>
      <c r="O109" s="26" t="inlineStr">
        <is>
          <t>qu = cu·Nc·sc</t>
        </is>
      </c>
      <c r="X109" s="27" t="inlineStr">
        <is>
          <t>qu,u =</t>
        </is>
      </c>
      <c r="Y109" s="13" t="n"/>
      <c r="Z109" s="13" t="n"/>
      <c r="AA109" s="62">
        <f>IF($AA$104=0,"n/a",$AA$105*5.14*$AA$108)</f>
        <v/>
      </c>
      <c r="AB109" s="13" t="n"/>
      <c r="AC109" s="13" t="n"/>
      <c r="AD109" s="25" t="inlineStr">
        <is>
          <t>kPa</t>
        </is>
      </c>
      <c r="AF109" s="15" t="n"/>
    </row>
    <row r="110">
      <c r="B110" s="9" t="n"/>
      <c r="C110" s="25" t="inlineStr">
        <is>
          <t>Bearing capacity factor</t>
        </is>
      </c>
      <c r="O110" s="26" t="inlineStr">
        <is>
          <t>Nq = e^(π·tanφ)·tan²(45+φ/2)</t>
        </is>
      </c>
      <c r="X110" s="27" t="inlineStr">
        <is>
          <t>Nq =</t>
        </is>
      </c>
      <c r="Y110" s="13" t="n"/>
      <c r="Z110" s="13" t="n"/>
      <c r="AA110" s="61">
        <f>EXP(PI()*TAN(RADIANS($AA$106)))*TAN(RADIANS(45+$AA$106/2))^2</f>
        <v/>
      </c>
      <c r="AB110" s="13" t="n"/>
      <c r="AC110" s="13" t="n"/>
      <c r="AD110" s="25" t="inlineStr">
        <is>
          <t>-</t>
        </is>
      </c>
      <c r="AF110" s="15" t="n"/>
    </row>
    <row r="111">
      <c r="B111" s="9" t="n"/>
      <c r="C111" s="25" t="inlineStr">
        <is>
          <t>Bearing capacity factor (Vesic)</t>
        </is>
      </c>
      <c r="O111" s="26" t="inlineStr">
        <is>
          <t>Nγ = 2(Nq+1)·tanφ</t>
        </is>
      </c>
      <c r="X111" s="27" t="inlineStr">
        <is>
          <t>Nγ =</t>
        </is>
      </c>
      <c r="Y111" s="13" t="n"/>
      <c r="Z111" s="13" t="n"/>
      <c r="AA111" s="61">
        <f>2*($AA$110+1)*TAN(RADIANS($AA$106))</f>
        <v/>
      </c>
      <c r="AB111" s="13" t="n"/>
      <c r="AC111" s="13" t="n"/>
      <c r="AD111" s="25" t="inlineStr">
        <is>
          <t>-</t>
        </is>
      </c>
      <c r="AF111" s="15" t="n"/>
    </row>
    <row r="112">
      <c r="B112" s="9" t="n"/>
      <c r="C112" s="25" t="inlineStr">
        <is>
          <t>Shape and size factors</t>
        </is>
      </c>
      <c r="O112" s="26" t="inlineStr">
        <is>
          <t>sγ = 1-0.4B/L; rγ = 1-0.25log(B/2)</t>
        </is>
      </c>
      <c r="X112" s="27" t="inlineStr">
        <is>
          <t>sγ·rγ =</t>
        </is>
      </c>
      <c r="Y112" s="13" t="n"/>
      <c r="Z112" s="13" t="n"/>
      <c r="AA112" s="72">
        <f>(1-0.4*Input!$AA$15/Input!$AA$16)*IF(Input!$AA$15&gt;2,1-0.25*LOG10(Input!$AA$15/2),1)</f>
        <v/>
      </c>
      <c r="AB112" s="13" t="n"/>
      <c r="AC112" s="13" t="n"/>
      <c r="AD112" s="25" t="inlineStr">
        <is>
          <t>-</t>
        </is>
      </c>
      <c r="AF112" s="15" t="n"/>
    </row>
    <row r="113">
      <c r="B113" s="9" t="n"/>
      <c r="C113" s="25" t="inlineStr">
        <is>
          <t>Ultimate capacity, drained</t>
        </is>
      </c>
      <c r="O113" s="26" t="inlineStr">
        <is>
          <t>qu = 0.5·γ'·B·Nγ·sγ·rγ</t>
        </is>
      </c>
      <c r="X113" s="27" t="inlineStr">
        <is>
          <t>qu,d =</t>
        </is>
      </c>
      <c r="Y113" s="13" t="n"/>
      <c r="Z113" s="13" t="n"/>
      <c r="AA113" s="62">
        <f>0.5*$AA$107*Input!$AA$15*$AA$111*$AA$112</f>
        <v/>
      </c>
      <c r="AB113" s="13" t="n"/>
      <c r="AC113" s="13" t="n"/>
      <c r="AD113" s="25" t="inlineStr">
        <is>
          <t>kPa</t>
        </is>
      </c>
      <c r="AF113" s="15" t="n"/>
    </row>
    <row r="114">
      <c r="B114" s="9" t="n"/>
      <c r="C114" s="25" t="inlineStr">
        <is>
          <t>Governing ultimate bearing capacity</t>
        </is>
      </c>
      <c r="O114" s="26" t="inlineStr">
        <is>
          <t>min (undrained, drained)</t>
        </is>
      </c>
      <c r="X114" s="27" t="inlineStr">
        <is>
          <t>qu =</t>
        </is>
      </c>
      <c r="Y114" s="13" t="n"/>
      <c r="Z114" s="13" t="n"/>
      <c r="AA114" s="30">
        <f>IF($AA$104=0,$AA$113,MIN($AA$109,$AA$113))</f>
        <v/>
      </c>
      <c r="AB114" s="13" t="n"/>
      <c r="AC114" s="13" t="n"/>
      <c r="AD114" s="25" t="inlineStr">
        <is>
          <t>kPa</t>
        </is>
      </c>
      <c r="AF114" s="15" t="n"/>
    </row>
    <row r="115">
      <c r="B115" s="9" t="n"/>
      <c r="C115" s="25" t="inlineStr">
        <is>
          <t>Allowable bearing capacity</t>
        </is>
      </c>
      <c r="O115" s="26" t="inlineStr">
        <is>
          <t>qall = qu / SF</t>
        </is>
      </c>
      <c r="X115" s="27" t="inlineStr">
        <is>
          <t>qall =</t>
        </is>
      </c>
      <c r="Y115" s="13" t="n"/>
      <c r="Z115" s="13" t="n"/>
      <c r="AA115" s="30">
        <f>$AA$114/Input!$AA$19</f>
        <v/>
      </c>
      <c r="AB115" s="13" t="n"/>
      <c r="AC115" s="13" t="n"/>
      <c r="AD115" s="25" t="inlineStr">
        <is>
          <t>kPa</t>
        </is>
      </c>
      <c r="AF115" s="15" t="n"/>
    </row>
    <row r="116">
      <c r="B116" s="9" t="n"/>
      <c r="C116" s="25" t="inlineStr">
        <is>
          <t>Working pressure</t>
        </is>
      </c>
      <c r="O116" s="26" t="inlineStr">
        <is>
          <t>q = Hf·γf + qs</t>
        </is>
      </c>
      <c r="X116" s="27" t="inlineStr">
        <is>
          <t>q =</t>
        </is>
      </c>
      <c r="Y116" s="13" t="n"/>
      <c r="Z116" s="13" t="n"/>
      <c r="AA116" s="62">
        <f>Input!$AA$14</f>
        <v/>
      </c>
      <c r="AB116" s="13" t="n"/>
      <c r="AC116" s="13" t="n"/>
      <c r="AD116" s="25" t="inlineStr">
        <is>
          <t>kPa</t>
        </is>
      </c>
      <c r="AF116" s="15" t="n"/>
    </row>
    <row r="117">
      <c r="B117" s="9" t="n"/>
      <c r="C117" s="25" t="inlineStr">
        <is>
          <t>Actual factor of safety</t>
        </is>
      </c>
      <c r="O117" s="26" t="inlineStr">
        <is>
          <t>FS = qu / q</t>
        </is>
      </c>
      <c r="X117" s="27" t="inlineStr">
        <is>
          <t>FS =</t>
        </is>
      </c>
      <c r="Y117" s="13" t="n"/>
      <c r="Z117" s="13" t="n"/>
      <c r="AA117" s="61">
        <f>$AA$114/Input!$AA$14</f>
        <v/>
      </c>
      <c r="AB117" s="13" t="n"/>
      <c r="AC117" s="13" t="n"/>
      <c r="AD117" s="25" t="inlineStr">
        <is>
          <t>-</t>
        </is>
      </c>
      <c r="AF117" s="15" t="n"/>
    </row>
    <row r="118">
      <c r="B118" s="9" t="n"/>
      <c r="C118" s="25" t="inlineStr">
        <is>
          <t>Allowable fill height with surcharge</t>
        </is>
      </c>
      <c r="O118" s="26" t="inlineStr">
        <is>
          <t>Hall = (qall - qs) / γf</t>
        </is>
      </c>
      <c r="X118" s="27" t="inlineStr">
        <is>
          <t>Hall =</t>
        </is>
      </c>
      <c r="Y118" s="13" t="n"/>
      <c r="Z118" s="13" t="n"/>
      <c r="AA118" s="61">
        <f>MAX(0,($AA$115-Input!$AA$13)/Input!$AA$12)</f>
        <v/>
      </c>
      <c r="AB118" s="13" t="n"/>
      <c r="AC118" s="13" t="n"/>
      <c r="AD118" s="25" t="inlineStr">
        <is>
          <t>m</t>
        </is>
      </c>
      <c r="AF118" s="15" t="n"/>
    </row>
    <row r="119">
      <c r="B119" s="9" t="n"/>
      <c r="C119" s="11" t="inlineStr">
        <is>
          <t>Bearing capacity check</t>
        </is>
      </c>
      <c r="X119" s="73">
        <f>IF($AA$115&gt;=Input!$AA$14,"qall ≥ q …. OK!!","qall &lt; q …. NG!!")</f>
        <v/>
      </c>
      <c r="Y119" s="13" t="n"/>
      <c r="Z119" s="13" t="n"/>
      <c r="AA119" s="13" t="n"/>
      <c r="AB119" s="13" t="n"/>
      <c r="AC119" s="13" t="n"/>
      <c r="AD119" s="13" t="n"/>
      <c r="AE119" s="13" t="n"/>
      <c r="AF119" s="15" t="n"/>
    </row>
    <row r="120">
      <c r="B120" s="9" t="n"/>
      <c r="AF120" s="15" t="n"/>
    </row>
    <row r="121">
      <c r="B121" s="9" t="n"/>
      <c r="C121" s="11" t="inlineStr">
        <is>
          <t>3.3. Granular soil - allowable pressure for 25 mm settlement (Meyerhof 1965, Bowles 1996)</t>
        </is>
      </c>
      <c r="AF121" s="15" t="n"/>
    </row>
    <row r="122">
      <c r="B122" s="9" t="n"/>
      <c r="C122" s="25" t="inlineStr">
        <is>
          <t>Average N60 of sand layers within 0 - Hb</t>
        </is>
      </c>
      <c r="O122" s="26" t="inlineStr"/>
      <c r="X122" s="27" t="inlineStr">
        <is>
          <t>N60 =</t>
        </is>
      </c>
      <c r="Y122" s="13" t="n"/>
      <c r="Z122" s="13" t="n"/>
      <c r="AA122" s="62">
        <f>IFERROR(SUMPRODUCT(--(AM28:AM68="Sand"),BN28:BN68,AN28:AN68)/SUMPRODUCT(--(AM28:AM68="Sand"),BN28:BN68)*Input!$AA$32,"n/a")</f>
        <v/>
      </c>
      <c r="AB122" s="13" t="n"/>
      <c r="AC122" s="13" t="n"/>
      <c r="AD122" s="25" t="inlineStr">
        <is>
          <t>-</t>
        </is>
      </c>
      <c r="AF122" s="15" t="n"/>
    </row>
    <row r="123">
      <c r="B123" s="9" t="n"/>
      <c r="C123" s="25" t="inlineStr">
        <is>
          <t>Allowable pressure (S = 25 mm, Kd = 1)</t>
        </is>
      </c>
      <c r="O123" s="26" t="inlineStr">
        <is>
          <t>qa = (N55/0.08)·((B+0.3)/B)²</t>
        </is>
      </c>
      <c r="X123" s="27" t="inlineStr">
        <is>
          <t>qa =</t>
        </is>
      </c>
      <c r="Y123" s="13" t="n"/>
      <c r="Z123" s="13" t="n"/>
      <c r="AA123" s="62">
        <f>IFERROR(($AA$122*60/55)/0.08*((Input!$AA$15+0.3)/Input!$AA$15)^2,"n/a")</f>
        <v/>
      </c>
      <c r="AB123" s="13" t="n"/>
      <c r="AC123" s="13" t="n"/>
      <c r="AD123" s="25" t="inlineStr">
        <is>
          <t>kPa</t>
        </is>
      </c>
      <c r="AF123" s="15" t="n"/>
    </row>
    <row r="124">
      <c r="B124" s="9" t="n"/>
      <c r="C124" s="24" t="inlineStr">
        <is>
          <t>For granular soil the shear capacity is normally far above the applied load; settlement governs the design (Section 4).</t>
        </is>
      </c>
      <c r="AF124" s="15" t="n"/>
    </row>
    <row r="125">
      <c r="B125" s="9" t="n"/>
      <c r="AF125" s="15" t="n"/>
    </row>
    <row r="126">
      <c r="B126" s="9" t="n"/>
      <c r="AF126" s="15" t="n"/>
    </row>
    <row r="127">
      <c r="B127" s="9" t="n"/>
      <c r="AF127" s="15" t="n"/>
    </row>
    <row r="128">
      <c r="B128" s="9" t="n"/>
      <c r="AF128" s="15" t="n"/>
    </row>
    <row r="129">
      <c r="B129" s="9" t="n"/>
      <c r="AF129" s="15" t="n"/>
    </row>
    <row r="130">
      <c r="B130" s="9" t="n"/>
      <c r="AF130" s="15" t="n"/>
    </row>
    <row r="131">
      <c r="B131" s="9" t="n"/>
      <c r="AF131" s="15" t="n"/>
    </row>
    <row r="132">
      <c r="B132" s="9" t="n"/>
      <c r="AF132" s="15" t="n"/>
    </row>
    <row r="133">
      <c r="B133" s="9" t="n"/>
      <c r="AF133" s="15" t="n"/>
    </row>
    <row r="134">
      <c r="B134" s="9" t="n"/>
      <c r="AF134" s="15" t="n"/>
    </row>
    <row r="135">
      <c r="B135" s="9" t="n"/>
      <c r="AF135" s="15" t="n"/>
    </row>
    <row r="136">
      <c r="B136" s="9" t="n"/>
      <c r="AF136" s="15" t="n"/>
    </row>
    <row r="137">
      <c r="B137" s="9" t="n"/>
      <c r="AF137" s="15" t="n"/>
    </row>
    <row r="138">
      <c r="B138" s="9" t="n"/>
      <c r="AF138" s="15" t="n"/>
    </row>
    <row r="139">
      <c r="B139" s="9" t="n"/>
      <c r="AF139" s="15" t="n"/>
    </row>
    <row r="140">
      <c r="B140" s="9" t="n"/>
      <c r="AF140" s="15" t="n"/>
    </row>
    <row r="141">
      <c r="B141" s="9" t="n"/>
      <c r="AF141" s="15" t="n"/>
    </row>
    <row r="142">
      <c r="B142" s="9" t="n"/>
      <c r="AF142" s="15" t="n"/>
    </row>
    <row r="143">
      <c r="B143" s="9" t="n"/>
      <c r="AF143" s="15" t="n"/>
    </row>
    <row r="144">
      <c r="B144" s="9" t="n"/>
      <c r="AF144" s="15" t="n"/>
    </row>
    <row r="145">
      <c r="B145" s="47" t="n"/>
      <c r="C145" s="48" t="n"/>
      <c r="D145" s="48" t="n"/>
      <c r="E145" s="48" t="n"/>
      <c r="F145" s="48" t="n"/>
      <c r="G145" s="48" t="n"/>
      <c r="H145" s="48" t="n"/>
      <c r="I145" s="48" t="n"/>
      <c r="J145" s="48" t="n"/>
      <c r="K145" s="48" t="n"/>
      <c r="L145" s="48" t="n"/>
      <c r="M145" s="48" t="n"/>
      <c r="N145" s="48" t="n"/>
      <c r="O145" s="48" t="n"/>
      <c r="P145" s="48" t="n"/>
      <c r="Q145" s="48" t="n"/>
      <c r="R145" s="48" t="n"/>
      <c r="S145" s="48" t="n"/>
      <c r="T145" s="48" t="n"/>
      <c r="U145" s="48" t="n"/>
      <c r="V145" s="48" t="n"/>
      <c r="W145" s="48" t="n"/>
      <c r="X145" s="49" t="inlineStr">
        <is>
          <t>Sheet :</t>
        </is>
      </c>
      <c r="Y145" s="48" t="n"/>
      <c r="Z145" s="48" t="n"/>
      <c r="AA145" s="48" t="n"/>
      <c r="AB145" s="49" t="n">
        <v>2</v>
      </c>
      <c r="AC145" s="48" t="n"/>
      <c r="AD145" s="48" t="n"/>
      <c r="AE145" s="48" t="n"/>
      <c r="AF145" s="50" t="n"/>
    </row>
    <row r="146">
      <c r="B146" s="1" t="n"/>
      <c r="C146" s="2" t="inlineStr">
        <is>
          <t>PROJECT :</t>
        </is>
      </c>
      <c r="D146" s="3" t="n"/>
      <c r="E146" s="3" t="n"/>
      <c r="F146" s="3" t="n"/>
      <c r="G146" s="3" t="n"/>
      <c r="H146" s="4" t="inlineStr">
        <is>
          <t>GEOTHERMAL WELLPAD PSPE BORA PULU - SIGI, CENTRAL SULAWESI</t>
        </is>
      </c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5" t="inlineStr">
        <is>
          <t>Prepared by :</t>
        </is>
      </c>
      <c r="Y146" s="6" t="n"/>
      <c r="Z146" s="6" t="n"/>
      <c r="AA146" s="6" t="n"/>
      <c r="AB146" s="7" t="inlineStr">
        <is>
          <t>Date</t>
        </is>
      </c>
      <c r="AC146" s="6" t="n"/>
      <c r="AD146" s="6" t="n"/>
      <c r="AE146" s="6" t="n"/>
      <c r="AF146" s="8" t="n"/>
    </row>
    <row r="147">
      <c r="B147" s="9" t="n"/>
      <c r="C147" s="10" t="inlineStr">
        <is>
          <t>CLIENT :</t>
        </is>
      </c>
      <c r="H147" s="11" t="inlineStr">
        <is>
          <t>PT EDC PANAS BUMI INDONESIA</t>
        </is>
      </c>
      <c r="X147" s="12" t="inlineStr">
        <is>
          <t>DF</t>
        </is>
      </c>
      <c r="Y147" s="13" t="n"/>
      <c r="Z147" s="13" t="n"/>
      <c r="AA147" s="13" t="n"/>
      <c r="AB147" s="14" t="n">
        <v>46301</v>
      </c>
      <c r="AC147" s="13" t="n"/>
      <c r="AD147" s="13" t="n"/>
      <c r="AE147" s="13" t="n"/>
      <c r="AF147" s="15" t="n"/>
    </row>
    <row r="148">
      <c r="B148" s="9" t="n"/>
      <c r="C148" s="10" t="inlineStr">
        <is>
          <t>LOCATION :</t>
        </is>
      </c>
      <c r="H148" s="11" t="inlineStr">
        <is>
          <t>BH-04 (Wellpad D)</t>
        </is>
      </c>
      <c r="X148" s="12" t="inlineStr">
        <is>
          <t>Verified by :</t>
        </is>
      </c>
      <c r="Y148" s="13" t="n"/>
      <c r="Z148" s="13" t="n"/>
      <c r="AA148" s="13" t="n"/>
      <c r="AB148" s="14" t="inlineStr">
        <is>
          <t>Date</t>
        </is>
      </c>
      <c r="AC148" s="13" t="n"/>
      <c r="AD148" s="13" t="n"/>
      <c r="AE148" s="13" t="n"/>
      <c r="AF148" s="15" t="n"/>
    </row>
    <row r="149">
      <c r="B149" s="16" t="n"/>
      <c r="C149" s="17" t="inlineStr">
        <is>
          <t>SHEET :</t>
        </is>
      </c>
      <c r="D149" s="18" t="n"/>
      <c r="E149" s="18" t="n"/>
      <c r="F149" s="18" t="n"/>
      <c r="G149" s="18" t="n"/>
      <c r="H149" s="19" t="inlineStr">
        <is>
          <t>BEARING CAPACITY AND SETTLEMENT OF SUBGRADE</t>
        </is>
      </c>
      <c r="I149" s="18" t="n"/>
      <c r="J149" s="18" t="n"/>
      <c r="K149" s="18" t="n"/>
      <c r="L149" s="18" t="n"/>
      <c r="M149" s="18" t="n"/>
      <c r="N149" s="18" t="n"/>
      <c r="O149" s="18" t="n"/>
      <c r="P149" s="18" t="n"/>
      <c r="Q149" s="18" t="n"/>
      <c r="R149" s="18" t="n"/>
      <c r="S149" s="18" t="n"/>
      <c r="T149" s="18" t="n"/>
      <c r="U149" s="18" t="n"/>
      <c r="V149" s="18" t="n"/>
      <c r="W149" s="18" t="n"/>
      <c r="X149" s="20" t="inlineStr">
        <is>
          <t>BC</t>
        </is>
      </c>
      <c r="Y149" s="21" t="n"/>
      <c r="Z149" s="21" t="n"/>
      <c r="AA149" s="21" t="n"/>
      <c r="AB149" s="22" t="n">
        <v>46301</v>
      </c>
      <c r="AC149" s="21" t="n"/>
      <c r="AD149" s="21" t="n"/>
      <c r="AE149" s="21" t="n"/>
      <c r="AF149" s="23" t="n"/>
    </row>
    <row r="150">
      <c r="B150" s="9" t="n"/>
      <c r="AF150" s="15" t="n"/>
    </row>
    <row r="151">
      <c r="B151" s="9" t="n"/>
      <c r="C151" s="11" t="inlineStr">
        <is>
          <t>4. IMMEDIATE SETTLEMENT (design condition)</t>
        </is>
      </c>
      <c r="AF151" s="15" t="n"/>
    </row>
    <row r="152">
      <c r="B152" s="9" t="n"/>
      <c r="C152" s="25" t="inlineStr">
        <is>
          <t>Layered elastic method (Steinbrenner 1934; Bowles 1996) at the centre of a flexible B × L area:</t>
        </is>
      </c>
      <c r="AF152" s="15" t="n"/>
    </row>
    <row r="153">
      <c r="B153" s="9" t="n"/>
      <c r="C153" s="25" t="inlineStr">
        <is>
          <t xml:space="preserve">      Si = 4·q·(B/2)·(1 - ν²)/E · [ΔF1 + (1 - 2ν)/(1 - ν)·ΔF2]   for each sub-layer.</t>
        </is>
      </c>
      <c r="AF153" s="15" t="n"/>
    </row>
    <row r="154">
      <c r="B154" s="9" t="n"/>
      <c r="C154" s="25" t="inlineStr">
        <is>
          <t>Sand: drained modulus E = k·N60 and ν of sand; silt/clay: undrained modulus Eu = k·cu and ν = 0.5.</t>
        </is>
      </c>
      <c r="AF154" s="15" t="n"/>
    </row>
    <row r="155">
      <c r="B155" s="9" t="n"/>
      <c r="C155" s="25" t="inlineStr">
        <is>
          <t>Layers with Δσz &lt; 10 % σ'v0 (below the influence depth) and soil replaced to depth Dr are excluded.</t>
        </is>
      </c>
      <c r="AF155" s="15" t="n"/>
    </row>
    <row r="156">
      <c r="B156" s="9" t="n"/>
      <c r="C156" s="25" t="inlineStr">
        <is>
          <t>Table 2. Immediate settlement of BH-04</t>
        </is>
      </c>
      <c r="AF156" s="15" t="n"/>
    </row>
    <row r="157" ht="27" customHeight="1">
      <c r="B157" s="9" t="n"/>
      <c r="C157" s="33" t="inlineStr">
        <is>
          <t>No</t>
        </is>
      </c>
      <c r="D157" s="34" t="n"/>
      <c r="E157" s="33" t="inlineStr">
        <is>
          <t>Top</t>
        </is>
      </c>
      <c r="F157" s="34" t="n"/>
      <c r="G157" s="34" t="n"/>
      <c r="H157" s="33" t="inlineStr">
        <is>
          <t>Bottom</t>
        </is>
      </c>
      <c r="I157" s="34" t="n"/>
      <c r="J157" s="34" t="n"/>
      <c r="K157" s="33" t="inlineStr">
        <is>
          <t>Soil</t>
        </is>
      </c>
      <c r="L157" s="34" t="n"/>
      <c r="M157" s="34" t="n"/>
      <c r="N157" s="33" t="inlineStr">
        <is>
          <t>E</t>
        </is>
      </c>
      <c r="O157" s="34" t="n"/>
      <c r="P157" s="34" t="n"/>
      <c r="Q157" s="33" t="inlineStr">
        <is>
          <t>ν</t>
        </is>
      </c>
      <c r="R157" s="34" t="n"/>
      <c r="S157" s="33" t="inlineStr">
        <is>
          <t>σ'v0</t>
        </is>
      </c>
      <c r="T157" s="34" t="n"/>
      <c r="U157" s="34" t="n"/>
      <c r="V157" s="33" t="inlineStr">
        <is>
          <t>Δσz</t>
        </is>
      </c>
      <c r="W157" s="34" t="n"/>
      <c r="X157" s="34" t="n"/>
      <c r="Y157" s="33" t="inlineStr">
        <is>
          <t>F1</t>
        </is>
      </c>
      <c r="Z157" s="34" t="n"/>
      <c r="AA157" s="33" t="inlineStr">
        <is>
          <t>F2</t>
        </is>
      </c>
      <c r="AB157" s="34" t="n"/>
      <c r="AC157" s="33" t="inlineStr">
        <is>
          <t>Si</t>
        </is>
      </c>
      <c r="AD157" s="34" t="n"/>
      <c r="AE157" s="34" t="n"/>
      <c r="AF157" s="15" t="n"/>
    </row>
    <row r="158">
      <c r="B158" s="9" t="n"/>
      <c r="C158" s="35" t="inlineStr"/>
      <c r="D158" s="36" t="n"/>
      <c r="E158" s="35" t="inlineStr">
        <is>
          <t>m</t>
        </is>
      </c>
      <c r="F158" s="36" t="n"/>
      <c r="G158" s="36" t="n"/>
      <c r="H158" s="35" t="inlineStr">
        <is>
          <t>m</t>
        </is>
      </c>
      <c r="I158" s="36" t="n"/>
      <c r="J158" s="36" t="n"/>
      <c r="K158" s="35" t="inlineStr"/>
      <c r="L158" s="36" t="n"/>
      <c r="M158" s="36" t="n"/>
      <c r="N158" s="35" t="inlineStr">
        <is>
          <t>kPa</t>
        </is>
      </c>
      <c r="O158" s="36" t="n"/>
      <c r="P158" s="36" t="n"/>
      <c r="Q158" s="35" t="inlineStr">
        <is>
          <t>-</t>
        </is>
      </c>
      <c r="R158" s="36" t="n"/>
      <c r="S158" s="35" t="inlineStr">
        <is>
          <t>kPa</t>
        </is>
      </c>
      <c r="T158" s="36" t="n"/>
      <c r="U158" s="36" t="n"/>
      <c r="V158" s="35" t="inlineStr">
        <is>
          <t>kPa</t>
        </is>
      </c>
      <c r="W158" s="36" t="n"/>
      <c r="X158" s="36" t="n"/>
      <c r="Y158" s="35" t="inlineStr">
        <is>
          <t>-</t>
        </is>
      </c>
      <c r="Z158" s="36" t="n"/>
      <c r="AA158" s="35" t="inlineStr">
        <is>
          <t>-</t>
        </is>
      </c>
      <c r="AB158" s="36" t="n"/>
      <c r="AC158" s="35" t="inlineStr">
        <is>
          <t>mm</t>
        </is>
      </c>
      <c r="AD158" s="36" t="n"/>
      <c r="AE158" s="36" t="n"/>
      <c r="AF158" s="15" t="n"/>
    </row>
    <row r="159">
      <c r="B159" s="9" t="n"/>
      <c r="C159" s="57" t="n">
        <v>1</v>
      </c>
      <c r="D159" s="41" t="n"/>
      <c r="E159" s="55">
        <f>AI28</f>
        <v/>
      </c>
      <c r="F159" s="41" t="n"/>
      <c r="G159" s="41" t="n"/>
      <c r="H159" s="55">
        <f>AJ28</f>
        <v/>
      </c>
      <c r="I159" s="41" t="n"/>
      <c r="J159" s="41" t="n"/>
      <c r="K159" s="52">
        <f>AM28</f>
        <v/>
      </c>
      <c r="L159" s="41" t="n"/>
      <c r="M159" s="41" t="n"/>
      <c r="N159" s="54">
        <f>AX28</f>
        <v/>
      </c>
      <c r="O159" s="41" t="n"/>
      <c r="P159" s="41" t="n"/>
      <c r="Q159" s="53">
        <f>AY28</f>
        <v/>
      </c>
      <c r="R159" s="41" t="n"/>
      <c r="S159" s="53">
        <f>AQ28</f>
        <v/>
      </c>
      <c r="T159" s="41" t="n"/>
      <c r="U159" s="41" t="n"/>
      <c r="V159" s="53">
        <f>BC28</f>
        <v/>
      </c>
      <c r="W159" s="41" t="n"/>
      <c r="X159" s="41" t="n"/>
      <c r="Y159" s="40">
        <f>BD28</f>
        <v/>
      </c>
      <c r="Z159" s="41" t="n"/>
      <c r="AA159" s="40">
        <f>BE28</f>
        <v/>
      </c>
      <c r="AB159" s="41" t="n"/>
      <c r="AC159" s="53">
        <f>BG28</f>
        <v/>
      </c>
      <c r="AD159" s="41" t="n"/>
      <c r="AE159" s="41" t="n"/>
      <c r="AF159" s="15" t="n"/>
    </row>
    <row r="160">
      <c r="B160" s="9" t="n"/>
      <c r="C160" s="57" t="n">
        <v>2</v>
      </c>
      <c r="D160" s="41" t="n"/>
      <c r="E160" s="55">
        <f>AI29</f>
        <v/>
      </c>
      <c r="F160" s="41" t="n"/>
      <c r="G160" s="41" t="n"/>
      <c r="H160" s="55">
        <f>AJ29</f>
        <v/>
      </c>
      <c r="I160" s="41" t="n"/>
      <c r="J160" s="41" t="n"/>
      <c r="K160" s="52">
        <f>AM29</f>
        <v/>
      </c>
      <c r="L160" s="41" t="n"/>
      <c r="M160" s="41" t="n"/>
      <c r="N160" s="54">
        <f>AX29</f>
        <v/>
      </c>
      <c r="O160" s="41" t="n"/>
      <c r="P160" s="41" t="n"/>
      <c r="Q160" s="53">
        <f>AY29</f>
        <v/>
      </c>
      <c r="R160" s="41" t="n"/>
      <c r="S160" s="53">
        <f>AQ29</f>
        <v/>
      </c>
      <c r="T160" s="41" t="n"/>
      <c r="U160" s="41" t="n"/>
      <c r="V160" s="53">
        <f>BC29</f>
        <v/>
      </c>
      <c r="W160" s="41" t="n"/>
      <c r="X160" s="41" t="n"/>
      <c r="Y160" s="40">
        <f>BD29</f>
        <v/>
      </c>
      <c r="Z160" s="41" t="n"/>
      <c r="AA160" s="40">
        <f>BE29</f>
        <v/>
      </c>
      <c r="AB160" s="41" t="n"/>
      <c r="AC160" s="53">
        <f>BG29</f>
        <v/>
      </c>
      <c r="AD160" s="41" t="n"/>
      <c r="AE160" s="41" t="n"/>
      <c r="AF160" s="15" t="n"/>
    </row>
    <row r="161">
      <c r="B161" s="9" t="n"/>
      <c r="C161" s="57" t="n">
        <v>3</v>
      </c>
      <c r="D161" s="41" t="n"/>
      <c r="E161" s="55">
        <f>AI30</f>
        <v/>
      </c>
      <c r="F161" s="41" t="n"/>
      <c r="G161" s="41" t="n"/>
      <c r="H161" s="55">
        <f>AJ30</f>
        <v/>
      </c>
      <c r="I161" s="41" t="n"/>
      <c r="J161" s="41" t="n"/>
      <c r="K161" s="52">
        <f>AM30</f>
        <v/>
      </c>
      <c r="L161" s="41" t="n"/>
      <c r="M161" s="41" t="n"/>
      <c r="N161" s="54">
        <f>AX30</f>
        <v/>
      </c>
      <c r="O161" s="41" t="n"/>
      <c r="P161" s="41" t="n"/>
      <c r="Q161" s="53">
        <f>AY30</f>
        <v/>
      </c>
      <c r="R161" s="41" t="n"/>
      <c r="S161" s="53">
        <f>AQ30</f>
        <v/>
      </c>
      <c r="T161" s="41" t="n"/>
      <c r="U161" s="41" t="n"/>
      <c r="V161" s="53">
        <f>BC30</f>
        <v/>
      </c>
      <c r="W161" s="41" t="n"/>
      <c r="X161" s="41" t="n"/>
      <c r="Y161" s="40">
        <f>BD30</f>
        <v/>
      </c>
      <c r="Z161" s="41" t="n"/>
      <c r="AA161" s="40">
        <f>BE30</f>
        <v/>
      </c>
      <c r="AB161" s="41" t="n"/>
      <c r="AC161" s="53">
        <f>BG30</f>
        <v/>
      </c>
      <c r="AD161" s="41" t="n"/>
      <c r="AE161" s="41" t="n"/>
      <c r="AF161" s="15" t="n"/>
    </row>
    <row r="162">
      <c r="B162" s="9" t="n"/>
      <c r="C162" s="57" t="n">
        <v>4</v>
      </c>
      <c r="D162" s="41" t="n"/>
      <c r="E162" s="55">
        <f>AI31</f>
        <v/>
      </c>
      <c r="F162" s="41" t="n"/>
      <c r="G162" s="41" t="n"/>
      <c r="H162" s="55">
        <f>AJ31</f>
        <v/>
      </c>
      <c r="I162" s="41" t="n"/>
      <c r="J162" s="41" t="n"/>
      <c r="K162" s="52">
        <f>AM31</f>
        <v/>
      </c>
      <c r="L162" s="41" t="n"/>
      <c r="M162" s="41" t="n"/>
      <c r="N162" s="54">
        <f>AX31</f>
        <v/>
      </c>
      <c r="O162" s="41" t="n"/>
      <c r="P162" s="41" t="n"/>
      <c r="Q162" s="53">
        <f>AY31</f>
        <v/>
      </c>
      <c r="R162" s="41" t="n"/>
      <c r="S162" s="53">
        <f>AQ31</f>
        <v/>
      </c>
      <c r="T162" s="41" t="n"/>
      <c r="U162" s="41" t="n"/>
      <c r="V162" s="53">
        <f>BC31</f>
        <v/>
      </c>
      <c r="W162" s="41" t="n"/>
      <c r="X162" s="41" t="n"/>
      <c r="Y162" s="40">
        <f>BD31</f>
        <v/>
      </c>
      <c r="Z162" s="41" t="n"/>
      <c r="AA162" s="40">
        <f>BE31</f>
        <v/>
      </c>
      <c r="AB162" s="41" t="n"/>
      <c r="AC162" s="53">
        <f>BG31</f>
        <v/>
      </c>
      <c r="AD162" s="41" t="n"/>
      <c r="AE162" s="41" t="n"/>
      <c r="AF162" s="15" t="n"/>
    </row>
    <row r="163">
      <c r="B163" s="9" t="n"/>
      <c r="C163" s="57" t="n">
        <v>5</v>
      </c>
      <c r="D163" s="41" t="n"/>
      <c r="E163" s="55">
        <f>AI32</f>
        <v/>
      </c>
      <c r="F163" s="41" t="n"/>
      <c r="G163" s="41" t="n"/>
      <c r="H163" s="55">
        <f>AJ32</f>
        <v/>
      </c>
      <c r="I163" s="41" t="n"/>
      <c r="J163" s="41" t="n"/>
      <c r="K163" s="52">
        <f>AM32</f>
        <v/>
      </c>
      <c r="L163" s="41" t="n"/>
      <c r="M163" s="41" t="n"/>
      <c r="N163" s="54">
        <f>AX32</f>
        <v/>
      </c>
      <c r="O163" s="41" t="n"/>
      <c r="P163" s="41" t="n"/>
      <c r="Q163" s="53">
        <f>AY32</f>
        <v/>
      </c>
      <c r="R163" s="41" t="n"/>
      <c r="S163" s="53">
        <f>AQ32</f>
        <v/>
      </c>
      <c r="T163" s="41" t="n"/>
      <c r="U163" s="41" t="n"/>
      <c r="V163" s="53">
        <f>BC32</f>
        <v/>
      </c>
      <c r="W163" s="41" t="n"/>
      <c r="X163" s="41" t="n"/>
      <c r="Y163" s="40">
        <f>BD32</f>
        <v/>
      </c>
      <c r="Z163" s="41" t="n"/>
      <c r="AA163" s="40">
        <f>BE32</f>
        <v/>
      </c>
      <c r="AB163" s="41" t="n"/>
      <c r="AC163" s="53">
        <f>BG32</f>
        <v/>
      </c>
      <c r="AD163" s="41" t="n"/>
      <c r="AE163" s="41" t="n"/>
      <c r="AF163" s="15" t="n"/>
    </row>
    <row r="164">
      <c r="B164" s="9" t="n"/>
      <c r="C164" s="57" t="n">
        <v>6</v>
      </c>
      <c r="D164" s="41" t="n"/>
      <c r="E164" s="55">
        <f>AI33</f>
        <v/>
      </c>
      <c r="F164" s="41" t="n"/>
      <c r="G164" s="41" t="n"/>
      <c r="H164" s="55">
        <f>AJ33</f>
        <v/>
      </c>
      <c r="I164" s="41" t="n"/>
      <c r="J164" s="41" t="n"/>
      <c r="K164" s="52">
        <f>AM33</f>
        <v/>
      </c>
      <c r="L164" s="41" t="n"/>
      <c r="M164" s="41" t="n"/>
      <c r="N164" s="54">
        <f>AX33</f>
        <v/>
      </c>
      <c r="O164" s="41" t="n"/>
      <c r="P164" s="41" t="n"/>
      <c r="Q164" s="53">
        <f>AY33</f>
        <v/>
      </c>
      <c r="R164" s="41" t="n"/>
      <c r="S164" s="53">
        <f>AQ33</f>
        <v/>
      </c>
      <c r="T164" s="41" t="n"/>
      <c r="U164" s="41" t="n"/>
      <c r="V164" s="53">
        <f>BC33</f>
        <v/>
      </c>
      <c r="W164" s="41" t="n"/>
      <c r="X164" s="41" t="n"/>
      <c r="Y164" s="40">
        <f>BD33</f>
        <v/>
      </c>
      <c r="Z164" s="41" t="n"/>
      <c r="AA164" s="40">
        <f>BE33</f>
        <v/>
      </c>
      <c r="AB164" s="41" t="n"/>
      <c r="AC164" s="53">
        <f>BG33</f>
        <v/>
      </c>
      <c r="AD164" s="41" t="n"/>
      <c r="AE164" s="41" t="n"/>
      <c r="AF164" s="15" t="n"/>
    </row>
    <row r="165">
      <c r="B165" s="9" t="n"/>
      <c r="C165" s="57" t="n">
        <v>7</v>
      </c>
      <c r="D165" s="41" t="n"/>
      <c r="E165" s="55">
        <f>AI34</f>
        <v/>
      </c>
      <c r="F165" s="41" t="n"/>
      <c r="G165" s="41" t="n"/>
      <c r="H165" s="55">
        <f>AJ34</f>
        <v/>
      </c>
      <c r="I165" s="41" t="n"/>
      <c r="J165" s="41" t="n"/>
      <c r="K165" s="52">
        <f>AM34</f>
        <v/>
      </c>
      <c r="L165" s="41" t="n"/>
      <c r="M165" s="41" t="n"/>
      <c r="N165" s="54">
        <f>AX34</f>
        <v/>
      </c>
      <c r="O165" s="41" t="n"/>
      <c r="P165" s="41" t="n"/>
      <c r="Q165" s="53">
        <f>AY34</f>
        <v/>
      </c>
      <c r="R165" s="41" t="n"/>
      <c r="S165" s="53">
        <f>AQ34</f>
        <v/>
      </c>
      <c r="T165" s="41" t="n"/>
      <c r="U165" s="41" t="n"/>
      <c r="V165" s="53">
        <f>BC34</f>
        <v/>
      </c>
      <c r="W165" s="41" t="n"/>
      <c r="X165" s="41" t="n"/>
      <c r="Y165" s="40">
        <f>BD34</f>
        <v/>
      </c>
      <c r="Z165" s="41" t="n"/>
      <c r="AA165" s="40">
        <f>BE34</f>
        <v/>
      </c>
      <c r="AB165" s="41" t="n"/>
      <c r="AC165" s="53">
        <f>BG34</f>
        <v/>
      </c>
      <c r="AD165" s="41" t="n"/>
      <c r="AE165" s="41" t="n"/>
      <c r="AF165" s="15" t="n"/>
    </row>
    <row r="166">
      <c r="B166" s="9" t="n"/>
      <c r="C166" s="57" t="n">
        <v>8</v>
      </c>
      <c r="D166" s="41" t="n"/>
      <c r="E166" s="55">
        <f>AI35</f>
        <v/>
      </c>
      <c r="F166" s="41" t="n"/>
      <c r="G166" s="41" t="n"/>
      <c r="H166" s="55">
        <f>AJ35</f>
        <v/>
      </c>
      <c r="I166" s="41" t="n"/>
      <c r="J166" s="41" t="n"/>
      <c r="K166" s="52">
        <f>AM35</f>
        <v/>
      </c>
      <c r="L166" s="41" t="n"/>
      <c r="M166" s="41" t="n"/>
      <c r="N166" s="54">
        <f>AX35</f>
        <v/>
      </c>
      <c r="O166" s="41" t="n"/>
      <c r="P166" s="41" t="n"/>
      <c r="Q166" s="53">
        <f>AY35</f>
        <v/>
      </c>
      <c r="R166" s="41" t="n"/>
      <c r="S166" s="53">
        <f>AQ35</f>
        <v/>
      </c>
      <c r="T166" s="41" t="n"/>
      <c r="U166" s="41" t="n"/>
      <c r="V166" s="53">
        <f>BC35</f>
        <v/>
      </c>
      <c r="W166" s="41" t="n"/>
      <c r="X166" s="41" t="n"/>
      <c r="Y166" s="40">
        <f>BD35</f>
        <v/>
      </c>
      <c r="Z166" s="41" t="n"/>
      <c r="AA166" s="40">
        <f>BE35</f>
        <v/>
      </c>
      <c r="AB166" s="41" t="n"/>
      <c r="AC166" s="53">
        <f>BG35</f>
        <v/>
      </c>
      <c r="AD166" s="41" t="n"/>
      <c r="AE166" s="41" t="n"/>
      <c r="AF166" s="15" t="n"/>
    </row>
    <row r="167">
      <c r="B167" s="9" t="n"/>
      <c r="C167" s="57" t="n">
        <v>9</v>
      </c>
      <c r="D167" s="41" t="n"/>
      <c r="E167" s="55">
        <f>AI36</f>
        <v/>
      </c>
      <c r="F167" s="41" t="n"/>
      <c r="G167" s="41" t="n"/>
      <c r="H167" s="55">
        <f>AJ36</f>
        <v/>
      </c>
      <c r="I167" s="41" t="n"/>
      <c r="J167" s="41" t="n"/>
      <c r="K167" s="52">
        <f>AM36</f>
        <v/>
      </c>
      <c r="L167" s="41" t="n"/>
      <c r="M167" s="41" t="n"/>
      <c r="N167" s="54">
        <f>AX36</f>
        <v/>
      </c>
      <c r="O167" s="41" t="n"/>
      <c r="P167" s="41" t="n"/>
      <c r="Q167" s="53">
        <f>AY36</f>
        <v/>
      </c>
      <c r="R167" s="41" t="n"/>
      <c r="S167" s="53">
        <f>AQ36</f>
        <v/>
      </c>
      <c r="T167" s="41" t="n"/>
      <c r="U167" s="41" t="n"/>
      <c r="V167" s="53">
        <f>BC36</f>
        <v/>
      </c>
      <c r="W167" s="41" t="n"/>
      <c r="X167" s="41" t="n"/>
      <c r="Y167" s="40">
        <f>BD36</f>
        <v/>
      </c>
      <c r="Z167" s="41" t="n"/>
      <c r="AA167" s="40">
        <f>BE36</f>
        <v/>
      </c>
      <c r="AB167" s="41" t="n"/>
      <c r="AC167" s="53">
        <f>BG36</f>
        <v/>
      </c>
      <c r="AD167" s="41" t="n"/>
      <c r="AE167" s="41" t="n"/>
      <c r="AF167" s="15" t="n"/>
    </row>
    <row r="168">
      <c r="B168" s="9" t="n"/>
      <c r="C168" s="57" t="n">
        <v>10</v>
      </c>
      <c r="D168" s="41" t="n"/>
      <c r="E168" s="55">
        <f>AI37</f>
        <v/>
      </c>
      <c r="F168" s="41" t="n"/>
      <c r="G168" s="41" t="n"/>
      <c r="H168" s="55">
        <f>AJ37</f>
        <v/>
      </c>
      <c r="I168" s="41" t="n"/>
      <c r="J168" s="41" t="n"/>
      <c r="K168" s="52">
        <f>AM37</f>
        <v/>
      </c>
      <c r="L168" s="41" t="n"/>
      <c r="M168" s="41" t="n"/>
      <c r="N168" s="54">
        <f>AX37</f>
        <v/>
      </c>
      <c r="O168" s="41" t="n"/>
      <c r="P168" s="41" t="n"/>
      <c r="Q168" s="53">
        <f>AY37</f>
        <v/>
      </c>
      <c r="R168" s="41" t="n"/>
      <c r="S168" s="53">
        <f>AQ37</f>
        <v/>
      </c>
      <c r="T168" s="41" t="n"/>
      <c r="U168" s="41" t="n"/>
      <c r="V168" s="53">
        <f>BC37</f>
        <v/>
      </c>
      <c r="W168" s="41" t="n"/>
      <c r="X168" s="41" t="n"/>
      <c r="Y168" s="40">
        <f>BD37</f>
        <v/>
      </c>
      <c r="Z168" s="41" t="n"/>
      <c r="AA168" s="40">
        <f>BE37</f>
        <v/>
      </c>
      <c r="AB168" s="41" t="n"/>
      <c r="AC168" s="53">
        <f>BG37</f>
        <v/>
      </c>
      <c r="AD168" s="41" t="n"/>
      <c r="AE168" s="41" t="n"/>
      <c r="AF168" s="15" t="n"/>
    </row>
    <row r="169">
      <c r="B169" s="9" t="n"/>
      <c r="C169" s="57" t="n">
        <v>11</v>
      </c>
      <c r="D169" s="41" t="n"/>
      <c r="E169" s="55">
        <f>AI38</f>
        <v/>
      </c>
      <c r="F169" s="41" t="n"/>
      <c r="G169" s="41" t="n"/>
      <c r="H169" s="55">
        <f>AJ38</f>
        <v/>
      </c>
      <c r="I169" s="41" t="n"/>
      <c r="J169" s="41" t="n"/>
      <c r="K169" s="52">
        <f>AM38</f>
        <v/>
      </c>
      <c r="L169" s="41" t="n"/>
      <c r="M169" s="41" t="n"/>
      <c r="N169" s="54">
        <f>AX38</f>
        <v/>
      </c>
      <c r="O169" s="41" t="n"/>
      <c r="P169" s="41" t="n"/>
      <c r="Q169" s="53">
        <f>AY38</f>
        <v/>
      </c>
      <c r="R169" s="41" t="n"/>
      <c r="S169" s="53">
        <f>AQ38</f>
        <v/>
      </c>
      <c r="T169" s="41" t="n"/>
      <c r="U169" s="41" t="n"/>
      <c r="V169" s="53">
        <f>BC38</f>
        <v/>
      </c>
      <c r="W169" s="41" t="n"/>
      <c r="X169" s="41" t="n"/>
      <c r="Y169" s="40">
        <f>BD38</f>
        <v/>
      </c>
      <c r="Z169" s="41" t="n"/>
      <c r="AA169" s="40">
        <f>BE38</f>
        <v/>
      </c>
      <c r="AB169" s="41" t="n"/>
      <c r="AC169" s="53">
        <f>BG38</f>
        <v/>
      </c>
      <c r="AD169" s="41" t="n"/>
      <c r="AE169" s="41" t="n"/>
      <c r="AF169" s="15" t="n"/>
    </row>
    <row r="170">
      <c r="B170" s="9" t="n"/>
      <c r="C170" s="57" t="n">
        <v>12</v>
      </c>
      <c r="D170" s="41" t="n"/>
      <c r="E170" s="55">
        <f>AI39</f>
        <v/>
      </c>
      <c r="F170" s="41" t="n"/>
      <c r="G170" s="41" t="n"/>
      <c r="H170" s="55">
        <f>AJ39</f>
        <v/>
      </c>
      <c r="I170" s="41" t="n"/>
      <c r="J170" s="41" t="n"/>
      <c r="K170" s="52">
        <f>AM39</f>
        <v/>
      </c>
      <c r="L170" s="41" t="n"/>
      <c r="M170" s="41" t="n"/>
      <c r="N170" s="54">
        <f>AX39</f>
        <v/>
      </c>
      <c r="O170" s="41" t="n"/>
      <c r="P170" s="41" t="n"/>
      <c r="Q170" s="53">
        <f>AY39</f>
        <v/>
      </c>
      <c r="R170" s="41" t="n"/>
      <c r="S170" s="53">
        <f>AQ39</f>
        <v/>
      </c>
      <c r="T170" s="41" t="n"/>
      <c r="U170" s="41" t="n"/>
      <c r="V170" s="53">
        <f>BC39</f>
        <v/>
      </c>
      <c r="W170" s="41" t="n"/>
      <c r="X170" s="41" t="n"/>
      <c r="Y170" s="40">
        <f>BD39</f>
        <v/>
      </c>
      <c r="Z170" s="41" t="n"/>
      <c r="AA170" s="40">
        <f>BE39</f>
        <v/>
      </c>
      <c r="AB170" s="41" t="n"/>
      <c r="AC170" s="53">
        <f>BG39</f>
        <v/>
      </c>
      <c r="AD170" s="41" t="n"/>
      <c r="AE170" s="41" t="n"/>
      <c r="AF170" s="15" t="n"/>
    </row>
    <row r="171">
      <c r="B171" s="9" t="n"/>
      <c r="C171" s="57" t="n">
        <v>13</v>
      </c>
      <c r="D171" s="41" t="n"/>
      <c r="E171" s="55">
        <f>AI40</f>
        <v/>
      </c>
      <c r="F171" s="41" t="n"/>
      <c r="G171" s="41" t="n"/>
      <c r="H171" s="55">
        <f>AJ40</f>
        <v/>
      </c>
      <c r="I171" s="41" t="n"/>
      <c r="J171" s="41" t="n"/>
      <c r="K171" s="52">
        <f>AM40</f>
        <v/>
      </c>
      <c r="L171" s="41" t="n"/>
      <c r="M171" s="41" t="n"/>
      <c r="N171" s="54">
        <f>AX40</f>
        <v/>
      </c>
      <c r="O171" s="41" t="n"/>
      <c r="P171" s="41" t="n"/>
      <c r="Q171" s="53">
        <f>AY40</f>
        <v/>
      </c>
      <c r="R171" s="41" t="n"/>
      <c r="S171" s="53">
        <f>AQ40</f>
        <v/>
      </c>
      <c r="T171" s="41" t="n"/>
      <c r="U171" s="41" t="n"/>
      <c r="V171" s="53">
        <f>BC40</f>
        <v/>
      </c>
      <c r="W171" s="41" t="n"/>
      <c r="X171" s="41" t="n"/>
      <c r="Y171" s="40">
        <f>BD40</f>
        <v/>
      </c>
      <c r="Z171" s="41" t="n"/>
      <c r="AA171" s="40">
        <f>BE40</f>
        <v/>
      </c>
      <c r="AB171" s="41" t="n"/>
      <c r="AC171" s="53">
        <f>BG40</f>
        <v/>
      </c>
      <c r="AD171" s="41" t="n"/>
      <c r="AE171" s="41" t="n"/>
      <c r="AF171" s="15" t="n"/>
    </row>
    <row r="172">
      <c r="B172" s="9" t="n"/>
      <c r="C172" s="57" t="n">
        <v>14</v>
      </c>
      <c r="D172" s="41" t="n"/>
      <c r="E172" s="55">
        <f>AI41</f>
        <v/>
      </c>
      <c r="F172" s="41" t="n"/>
      <c r="G172" s="41" t="n"/>
      <c r="H172" s="55">
        <f>AJ41</f>
        <v/>
      </c>
      <c r="I172" s="41" t="n"/>
      <c r="J172" s="41" t="n"/>
      <c r="K172" s="52">
        <f>AM41</f>
        <v/>
      </c>
      <c r="L172" s="41" t="n"/>
      <c r="M172" s="41" t="n"/>
      <c r="N172" s="54">
        <f>AX41</f>
        <v/>
      </c>
      <c r="O172" s="41" t="n"/>
      <c r="P172" s="41" t="n"/>
      <c r="Q172" s="53">
        <f>AY41</f>
        <v/>
      </c>
      <c r="R172" s="41" t="n"/>
      <c r="S172" s="53">
        <f>AQ41</f>
        <v/>
      </c>
      <c r="T172" s="41" t="n"/>
      <c r="U172" s="41" t="n"/>
      <c r="V172" s="53">
        <f>BC41</f>
        <v/>
      </c>
      <c r="W172" s="41" t="n"/>
      <c r="X172" s="41" t="n"/>
      <c r="Y172" s="40">
        <f>BD41</f>
        <v/>
      </c>
      <c r="Z172" s="41" t="n"/>
      <c r="AA172" s="40">
        <f>BE41</f>
        <v/>
      </c>
      <c r="AB172" s="41" t="n"/>
      <c r="AC172" s="53">
        <f>BG41</f>
        <v/>
      </c>
      <c r="AD172" s="41" t="n"/>
      <c r="AE172" s="41" t="n"/>
      <c r="AF172" s="15" t="n"/>
    </row>
    <row r="173">
      <c r="B173" s="9" t="n"/>
      <c r="C173" s="57" t="n">
        <v>15</v>
      </c>
      <c r="D173" s="41" t="n"/>
      <c r="E173" s="55">
        <f>AI42</f>
        <v/>
      </c>
      <c r="F173" s="41" t="n"/>
      <c r="G173" s="41" t="n"/>
      <c r="H173" s="55">
        <f>AJ42</f>
        <v/>
      </c>
      <c r="I173" s="41" t="n"/>
      <c r="J173" s="41" t="n"/>
      <c r="K173" s="52">
        <f>AM42</f>
        <v/>
      </c>
      <c r="L173" s="41" t="n"/>
      <c r="M173" s="41" t="n"/>
      <c r="N173" s="54">
        <f>AX42</f>
        <v/>
      </c>
      <c r="O173" s="41" t="n"/>
      <c r="P173" s="41" t="n"/>
      <c r="Q173" s="53">
        <f>AY42</f>
        <v/>
      </c>
      <c r="R173" s="41" t="n"/>
      <c r="S173" s="53">
        <f>AQ42</f>
        <v/>
      </c>
      <c r="T173" s="41" t="n"/>
      <c r="U173" s="41" t="n"/>
      <c r="V173" s="53">
        <f>BC42</f>
        <v/>
      </c>
      <c r="W173" s="41" t="n"/>
      <c r="X173" s="41" t="n"/>
      <c r="Y173" s="40">
        <f>BD42</f>
        <v/>
      </c>
      <c r="Z173" s="41" t="n"/>
      <c r="AA173" s="40">
        <f>BE42</f>
        <v/>
      </c>
      <c r="AB173" s="41" t="n"/>
      <c r="AC173" s="53">
        <f>BG42</f>
        <v/>
      </c>
      <c r="AD173" s="41" t="n"/>
      <c r="AE173" s="41" t="n"/>
      <c r="AF173" s="15" t="n"/>
    </row>
    <row r="174">
      <c r="B174" s="9" t="n"/>
      <c r="C174" s="57" t="n">
        <v>16</v>
      </c>
      <c r="D174" s="41" t="n"/>
      <c r="E174" s="55">
        <f>AI43</f>
        <v/>
      </c>
      <c r="F174" s="41" t="n"/>
      <c r="G174" s="41" t="n"/>
      <c r="H174" s="55">
        <f>AJ43</f>
        <v/>
      </c>
      <c r="I174" s="41" t="n"/>
      <c r="J174" s="41" t="n"/>
      <c r="K174" s="52">
        <f>AM43</f>
        <v/>
      </c>
      <c r="L174" s="41" t="n"/>
      <c r="M174" s="41" t="n"/>
      <c r="N174" s="54">
        <f>AX43</f>
        <v/>
      </c>
      <c r="O174" s="41" t="n"/>
      <c r="P174" s="41" t="n"/>
      <c r="Q174" s="53">
        <f>AY43</f>
        <v/>
      </c>
      <c r="R174" s="41" t="n"/>
      <c r="S174" s="53">
        <f>AQ43</f>
        <v/>
      </c>
      <c r="T174" s="41" t="n"/>
      <c r="U174" s="41" t="n"/>
      <c r="V174" s="53">
        <f>BC43</f>
        <v/>
      </c>
      <c r="W174" s="41" t="n"/>
      <c r="X174" s="41" t="n"/>
      <c r="Y174" s="40">
        <f>BD43</f>
        <v/>
      </c>
      <c r="Z174" s="41" t="n"/>
      <c r="AA174" s="40">
        <f>BE43</f>
        <v/>
      </c>
      <c r="AB174" s="41" t="n"/>
      <c r="AC174" s="53">
        <f>BG43</f>
        <v/>
      </c>
      <c r="AD174" s="41" t="n"/>
      <c r="AE174" s="41" t="n"/>
      <c r="AF174" s="15" t="n"/>
    </row>
    <row r="175">
      <c r="B175" s="9" t="n"/>
      <c r="C175" s="57" t="n">
        <v>17</v>
      </c>
      <c r="D175" s="41" t="n"/>
      <c r="E175" s="55">
        <f>AI44</f>
        <v/>
      </c>
      <c r="F175" s="41" t="n"/>
      <c r="G175" s="41" t="n"/>
      <c r="H175" s="55">
        <f>AJ44</f>
        <v/>
      </c>
      <c r="I175" s="41" t="n"/>
      <c r="J175" s="41" t="n"/>
      <c r="K175" s="52">
        <f>AM44</f>
        <v/>
      </c>
      <c r="L175" s="41" t="n"/>
      <c r="M175" s="41" t="n"/>
      <c r="N175" s="54">
        <f>AX44</f>
        <v/>
      </c>
      <c r="O175" s="41" t="n"/>
      <c r="P175" s="41" t="n"/>
      <c r="Q175" s="53">
        <f>AY44</f>
        <v/>
      </c>
      <c r="R175" s="41" t="n"/>
      <c r="S175" s="53">
        <f>AQ44</f>
        <v/>
      </c>
      <c r="T175" s="41" t="n"/>
      <c r="U175" s="41" t="n"/>
      <c r="V175" s="53">
        <f>BC44</f>
        <v/>
      </c>
      <c r="W175" s="41" t="n"/>
      <c r="X175" s="41" t="n"/>
      <c r="Y175" s="40">
        <f>BD44</f>
        <v/>
      </c>
      <c r="Z175" s="41" t="n"/>
      <c r="AA175" s="40">
        <f>BE44</f>
        <v/>
      </c>
      <c r="AB175" s="41" t="n"/>
      <c r="AC175" s="53">
        <f>BG44</f>
        <v/>
      </c>
      <c r="AD175" s="41" t="n"/>
      <c r="AE175" s="41" t="n"/>
      <c r="AF175" s="15" t="n"/>
    </row>
    <row r="176">
      <c r="B176" s="9" t="n"/>
      <c r="C176" s="57" t="n">
        <v>18</v>
      </c>
      <c r="D176" s="41" t="n"/>
      <c r="E176" s="55">
        <f>AI45</f>
        <v/>
      </c>
      <c r="F176" s="41" t="n"/>
      <c r="G176" s="41" t="n"/>
      <c r="H176" s="55">
        <f>AJ45</f>
        <v/>
      </c>
      <c r="I176" s="41" t="n"/>
      <c r="J176" s="41" t="n"/>
      <c r="K176" s="52">
        <f>AM45</f>
        <v/>
      </c>
      <c r="L176" s="41" t="n"/>
      <c r="M176" s="41" t="n"/>
      <c r="N176" s="54">
        <f>AX45</f>
        <v/>
      </c>
      <c r="O176" s="41" t="n"/>
      <c r="P176" s="41" t="n"/>
      <c r="Q176" s="53">
        <f>AY45</f>
        <v/>
      </c>
      <c r="R176" s="41" t="n"/>
      <c r="S176" s="53">
        <f>AQ45</f>
        <v/>
      </c>
      <c r="T176" s="41" t="n"/>
      <c r="U176" s="41" t="n"/>
      <c r="V176" s="53">
        <f>BC45</f>
        <v/>
      </c>
      <c r="W176" s="41" t="n"/>
      <c r="X176" s="41" t="n"/>
      <c r="Y176" s="40">
        <f>BD45</f>
        <v/>
      </c>
      <c r="Z176" s="41" t="n"/>
      <c r="AA176" s="40">
        <f>BE45</f>
        <v/>
      </c>
      <c r="AB176" s="41" t="n"/>
      <c r="AC176" s="53">
        <f>BG45</f>
        <v/>
      </c>
      <c r="AD176" s="41" t="n"/>
      <c r="AE176" s="41" t="n"/>
      <c r="AF176" s="15" t="n"/>
    </row>
    <row r="177">
      <c r="B177" s="9" t="n"/>
      <c r="C177" s="57" t="n">
        <v>19</v>
      </c>
      <c r="D177" s="41" t="n"/>
      <c r="E177" s="55">
        <f>AI46</f>
        <v/>
      </c>
      <c r="F177" s="41" t="n"/>
      <c r="G177" s="41" t="n"/>
      <c r="H177" s="55">
        <f>AJ46</f>
        <v/>
      </c>
      <c r="I177" s="41" t="n"/>
      <c r="J177" s="41" t="n"/>
      <c r="K177" s="52">
        <f>AM46</f>
        <v/>
      </c>
      <c r="L177" s="41" t="n"/>
      <c r="M177" s="41" t="n"/>
      <c r="N177" s="54">
        <f>AX46</f>
        <v/>
      </c>
      <c r="O177" s="41" t="n"/>
      <c r="P177" s="41" t="n"/>
      <c r="Q177" s="53">
        <f>AY46</f>
        <v/>
      </c>
      <c r="R177" s="41" t="n"/>
      <c r="S177" s="53">
        <f>AQ46</f>
        <v/>
      </c>
      <c r="T177" s="41" t="n"/>
      <c r="U177" s="41" t="n"/>
      <c r="V177" s="53">
        <f>BC46</f>
        <v/>
      </c>
      <c r="W177" s="41" t="n"/>
      <c r="X177" s="41" t="n"/>
      <c r="Y177" s="40">
        <f>BD46</f>
        <v/>
      </c>
      <c r="Z177" s="41" t="n"/>
      <c r="AA177" s="40">
        <f>BE46</f>
        <v/>
      </c>
      <c r="AB177" s="41" t="n"/>
      <c r="AC177" s="53">
        <f>BG46</f>
        <v/>
      </c>
      <c r="AD177" s="41" t="n"/>
      <c r="AE177" s="41" t="n"/>
      <c r="AF177" s="15" t="n"/>
    </row>
    <row r="178">
      <c r="B178" s="9" t="n"/>
      <c r="C178" s="57" t="n">
        <v>20</v>
      </c>
      <c r="D178" s="41" t="n"/>
      <c r="E178" s="55">
        <f>AI47</f>
        <v/>
      </c>
      <c r="F178" s="41" t="n"/>
      <c r="G178" s="41" t="n"/>
      <c r="H178" s="55">
        <f>AJ47</f>
        <v/>
      </c>
      <c r="I178" s="41" t="n"/>
      <c r="J178" s="41" t="n"/>
      <c r="K178" s="52">
        <f>AM47</f>
        <v/>
      </c>
      <c r="L178" s="41" t="n"/>
      <c r="M178" s="41" t="n"/>
      <c r="N178" s="54">
        <f>AX47</f>
        <v/>
      </c>
      <c r="O178" s="41" t="n"/>
      <c r="P178" s="41" t="n"/>
      <c r="Q178" s="53">
        <f>AY47</f>
        <v/>
      </c>
      <c r="R178" s="41" t="n"/>
      <c r="S178" s="53">
        <f>AQ47</f>
        <v/>
      </c>
      <c r="T178" s="41" t="n"/>
      <c r="U178" s="41" t="n"/>
      <c r="V178" s="53">
        <f>BC47</f>
        <v/>
      </c>
      <c r="W178" s="41" t="n"/>
      <c r="X178" s="41" t="n"/>
      <c r="Y178" s="40">
        <f>BD47</f>
        <v/>
      </c>
      <c r="Z178" s="41" t="n"/>
      <c r="AA178" s="40">
        <f>BE47</f>
        <v/>
      </c>
      <c r="AB178" s="41" t="n"/>
      <c r="AC178" s="53">
        <f>BG47</f>
        <v/>
      </c>
      <c r="AD178" s="41" t="n"/>
      <c r="AE178" s="41" t="n"/>
      <c r="AF178" s="15" t="n"/>
    </row>
    <row r="179">
      <c r="B179" s="9" t="n"/>
      <c r="C179" s="57" t="n">
        <v>21</v>
      </c>
      <c r="D179" s="41" t="n"/>
      <c r="E179" s="55">
        <f>AI48</f>
        <v/>
      </c>
      <c r="F179" s="41" t="n"/>
      <c r="G179" s="41" t="n"/>
      <c r="H179" s="55">
        <f>AJ48</f>
        <v/>
      </c>
      <c r="I179" s="41" t="n"/>
      <c r="J179" s="41" t="n"/>
      <c r="K179" s="52">
        <f>AM48</f>
        <v/>
      </c>
      <c r="L179" s="41" t="n"/>
      <c r="M179" s="41" t="n"/>
      <c r="N179" s="54">
        <f>AX48</f>
        <v/>
      </c>
      <c r="O179" s="41" t="n"/>
      <c r="P179" s="41" t="n"/>
      <c r="Q179" s="53">
        <f>AY48</f>
        <v/>
      </c>
      <c r="R179" s="41" t="n"/>
      <c r="S179" s="53">
        <f>AQ48</f>
        <v/>
      </c>
      <c r="T179" s="41" t="n"/>
      <c r="U179" s="41" t="n"/>
      <c r="V179" s="53">
        <f>BC48</f>
        <v/>
      </c>
      <c r="W179" s="41" t="n"/>
      <c r="X179" s="41" t="n"/>
      <c r="Y179" s="40">
        <f>BD48</f>
        <v/>
      </c>
      <c r="Z179" s="41" t="n"/>
      <c r="AA179" s="40">
        <f>BE48</f>
        <v/>
      </c>
      <c r="AB179" s="41" t="n"/>
      <c r="AC179" s="53">
        <f>BG48</f>
        <v/>
      </c>
      <c r="AD179" s="41" t="n"/>
      <c r="AE179" s="41" t="n"/>
      <c r="AF179" s="15" t="n"/>
    </row>
    <row r="180">
      <c r="B180" s="9" t="n"/>
      <c r="C180" s="57" t="n">
        <v>22</v>
      </c>
      <c r="D180" s="41" t="n"/>
      <c r="E180" s="55">
        <f>AI49</f>
        <v/>
      </c>
      <c r="F180" s="41" t="n"/>
      <c r="G180" s="41" t="n"/>
      <c r="H180" s="55">
        <f>AJ49</f>
        <v/>
      </c>
      <c r="I180" s="41" t="n"/>
      <c r="J180" s="41" t="n"/>
      <c r="K180" s="52">
        <f>AM49</f>
        <v/>
      </c>
      <c r="L180" s="41" t="n"/>
      <c r="M180" s="41" t="n"/>
      <c r="N180" s="54">
        <f>AX49</f>
        <v/>
      </c>
      <c r="O180" s="41" t="n"/>
      <c r="P180" s="41" t="n"/>
      <c r="Q180" s="53">
        <f>AY49</f>
        <v/>
      </c>
      <c r="R180" s="41" t="n"/>
      <c r="S180" s="53">
        <f>AQ49</f>
        <v/>
      </c>
      <c r="T180" s="41" t="n"/>
      <c r="U180" s="41" t="n"/>
      <c r="V180" s="53">
        <f>BC49</f>
        <v/>
      </c>
      <c r="W180" s="41" t="n"/>
      <c r="X180" s="41" t="n"/>
      <c r="Y180" s="40">
        <f>BD49</f>
        <v/>
      </c>
      <c r="Z180" s="41" t="n"/>
      <c r="AA180" s="40">
        <f>BE49</f>
        <v/>
      </c>
      <c r="AB180" s="41" t="n"/>
      <c r="AC180" s="53">
        <f>BG49</f>
        <v/>
      </c>
      <c r="AD180" s="41" t="n"/>
      <c r="AE180" s="41" t="n"/>
      <c r="AF180" s="15" t="n"/>
    </row>
    <row r="181">
      <c r="B181" s="9" t="n"/>
      <c r="C181" s="57" t="n">
        <v>23</v>
      </c>
      <c r="D181" s="41" t="n"/>
      <c r="E181" s="55">
        <f>AI50</f>
        <v/>
      </c>
      <c r="F181" s="41" t="n"/>
      <c r="G181" s="41" t="n"/>
      <c r="H181" s="55">
        <f>AJ50</f>
        <v/>
      </c>
      <c r="I181" s="41" t="n"/>
      <c r="J181" s="41" t="n"/>
      <c r="K181" s="52">
        <f>AM50</f>
        <v/>
      </c>
      <c r="L181" s="41" t="n"/>
      <c r="M181" s="41" t="n"/>
      <c r="N181" s="54">
        <f>AX50</f>
        <v/>
      </c>
      <c r="O181" s="41" t="n"/>
      <c r="P181" s="41" t="n"/>
      <c r="Q181" s="53">
        <f>AY50</f>
        <v/>
      </c>
      <c r="R181" s="41" t="n"/>
      <c r="S181" s="53">
        <f>AQ50</f>
        <v/>
      </c>
      <c r="T181" s="41" t="n"/>
      <c r="U181" s="41" t="n"/>
      <c r="V181" s="53">
        <f>BC50</f>
        <v/>
      </c>
      <c r="W181" s="41" t="n"/>
      <c r="X181" s="41" t="n"/>
      <c r="Y181" s="40">
        <f>BD50</f>
        <v/>
      </c>
      <c r="Z181" s="41" t="n"/>
      <c r="AA181" s="40">
        <f>BE50</f>
        <v/>
      </c>
      <c r="AB181" s="41" t="n"/>
      <c r="AC181" s="53">
        <f>BG50</f>
        <v/>
      </c>
      <c r="AD181" s="41" t="n"/>
      <c r="AE181" s="41" t="n"/>
      <c r="AF181" s="15" t="n"/>
    </row>
    <row r="182">
      <c r="B182" s="9" t="n"/>
      <c r="C182" s="57" t="n">
        <v>24</v>
      </c>
      <c r="D182" s="41" t="n"/>
      <c r="E182" s="55">
        <f>AI51</f>
        <v/>
      </c>
      <c r="F182" s="41" t="n"/>
      <c r="G182" s="41" t="n"/>
      <c r="H182" s="55">
        <f>AJ51</f>
        <v/>
      </c>
      <c r="I182" s="41" t="n"/>
      <c r="J182" s="41" t="n"/>
      <c r="K182" s="52">
        <f>AM51</f>
        <v/>
      </c>
      <c r="L182" s="41" t="n"/>
      <c r="M182" s="41" t="n"/>
      <c r="N182" s="54">
        <f>AX51</f>
        <v/>
      </c>
      <c r="O182" s="41" t="n"/>
      <c r="P182" s="41" t="n"/>
      <c r="Q182" s="53">
        <f>AY51</f>
        <v/>
      </c>
      <c r="R182" s="41" t="n"/>
      <c r="S182" s="53">
        <f>AQ51</f>
        <v/>
      </c>
      <c r="T182" s="41" t="n"/>
      <c r="U182" s="41" t="n"/>
      <c r="V182" s="53">
        <f>BC51</f>
        <v/>
      </c>
      <c r="W182" s="41" t="n"/>
      <c r="X182" s="41" t="n"/>
      <c r="Y182" s="40">
        <f>BD51</f>
        <v/>
      </c>
      <c r="Z182" s="41" t="n"/>
      <c r="AA182" s="40">
        <f>BE51</f>
        <v/>
      </c>
      <c r="AB182" s="41" t="n"/>
      <c r="AC182" s="53">
        <f>BG51</f>
        <v/>
      </c>
      <c r="AD182" s="41" t="n"/>
      <c r="AE182" s="41" t="n"/>
      <c r="AF182" s="15" t="n"/>
    </row>
    <row r="183">
      <c r="B183" s="9" t="n"/>
      <c r="C183" s="57" t="n">
        <v>25</v>
      </c>
      <c r="D183" s="41" t="n"/>
      <c r="E183" s="55">
        <f>AI52</f>
        <v/>
      </c>
      <c r="F183" s="41" t="n"/>
      <c r="G183" s="41" t="n"/>
      <c r="H183" s="55">
        <f>AJ52</f>
        <v/>
      </c>
      <c r="I183" s="41" t="n"/>
      <c r="J183" s="41" t="n"/>
      <c r="K183" s="52">
        <f>AM52</f>
        <v/>
      </c>
      <c r="L183" s="41" t="n"/>
      <c r="M183" s="41" t="n"/>
      <c r="N183" s="54">
        <f>AX52</f>
        <v/>
      </c>
      <c r="O183" s="41" t="n"/>
      <c r="P183" s="41" t="n"/>
      <c r="Q183" s="53">
        <f>AY52</f>
        <v/>
      </c>
      <c r="R183" s="41" t="n"/>
      <c r="S183" s="53">
        <f>AQ52</f>
        <v/>
      </c>
      <c r="T183" s="41" t="n"/>
      <c r="U183" s="41" t="n"/>
      <c r="V183" s="53">
        <f>BC52</f>
        <v/>
      </c>
      <c r="W183" s="41" t="n"/>
      <c r="X183" s="41" t="n"/>
      <c r="Y183" s="40">
        <f>BD52</f>
        <v/>
      </c>
      <c r="Z183" s="41" t="n"/>
      <c r="AA183" s="40">
        <f>BE52</f>
        <v/>
      </c>
      <c r="AB183" s="41" t="n"/>
      <c r="AC183" s="53">
        <f>BG52</f>
        <v/>
      </c>
      <c r="AD183" s="41" t="n"/>
      <c r="AE183" s="41" t="n"/>
      <c r="AF183" s="15" t="n"/>
    </row>
    <row r="184">
      <c r="B184" s="9" t="n"/>
      <c r="C184" s="57" t="n">
        <v>26</v>
      </c>
      <c r="D184" s="41" t="n"/>
      <c r="E184" s="55">
        <f>AI53</f>
        <v/>
      </c>
      <c r="F184" s="41" t="n"/>
      <c r="G184" s="41" t="n"/>
      <c r="H184" s="55">
        <f>AJ53</f>
        <v/>
      </c>
      <c r="I184" s="41" t="n"/>
      <c r="J184" s="41" t="n"/>
      <c r="K184" s="52">
        <f>AM53</f>
        <v/>
      </c>
      <c r="L184" s="41" t="n"/>
      <c r="M184" s="41" t="n"/>
      <c r="N184" s="54">
        <f>AX53</f>
        <v/>
      </c>
      <c r="O184" s="41" t="n"/>
      <c r="P184" s="41" t="n"/>
      <c r="Q184" s="53">
        <f>AY53</f>
        <v/>
      </c>
      <c r="R184" s="41" t="n"/>
      <c r="S184" s="53">
        <f>AQ53</f>
        <v/>
      </c>
      <c r="T184" s="41" t="n"/>
      <c r="U184" s="41" t="n"/>
      <c r="V184" s="53">
        <f>BC53</f>
        <v/>
      </c>
      <c r="W184" s="41" t="n"/>
      <c r="X184" s="41" t="n"/>
      <c r="Y184" s="40">
        <f>BD53</f>
        <v/>
      </c>
      <c r="Z184" s="41" t="n"/>
      <c r="AA184" s="40">
        <f>BE53</f>
        <v/>
      </c>
      <c r="AB184" s="41" t="n"/>
      <c r="AC184" s="53">
        <f>BG53</f>
        <v/>
      </c>
      <c r="AD184" s="41" t="n"/>
      <c r="AE184" s="41" t="n"/>
      <c r="AF184" s="15" t="n"/>
    </row>
    <row r="185">
      <c r="B185" s="9" t="n"/>
      <c r="C185" s="57" t="n">
        <v>27</v>
      </c>
      <c r="D185" s="41" t="n"/>
      <c r="E185" s="55">
        <f>AI54</f>
        <v/>
      </c>
      <c r="F185" s="41" t="n"/>
      <c r="G185" s="41" t="n"/>
      <c r="H185" s="55">
        <f>AJ54</f>
        <v/>
      </c>
      <c r="I185" s="41" t="n"/>
      <c r="J185" s="41" t="n"/>
      <c r="K185" s="52">
        <f>AM54</f>
        <v/>
      </c>
      <c r="L185" s="41" t="n"/>
      <c r="M185" s="41" t="n"/>
      <c r="N185" s="54">
        <f>AX54</f>
        <v/>
      </c>
      <c r="O185" s="41" t="n"/>
      <c r="P185" s="41" t="n"/>
      <c r="Q185" s="53">
        <f>AY54</f>
        <v/>
      </c>
      <c r="R185" s="41" t="n"/>
      <c r="S185" s="53">
        <f>AQ54</f>
        <v/>
      </c>
      <c r="T185" s="41" t="n"/>
      <c r="U185" s="41" t="n"/>
      <c r="V185" s="53">
        <f>BC54</f>
        <v/>
      </c>
      <c r="W185" s="41" t="n"/>
      <c r="X185" s="41" t="n"/>
      <c r="Y185" s="40">
        <f>BD54</f>
        <v/>
      </c>
      <c r="Z185" s="41" t="n"/>
      <c r="AA185" s="40">
        <f>BE54</f>
        <v/>
      </c>
      <c r="AB185" s="41" t="n"/>
      <c r="AC185" s="53">
        <f>BG54</f>
        <v/>
      </c>
      <c r="AD185" s="41" t="n"/>
      <c r="AE185" s="41" t="n"/>
      <c r="AF185" s="15" t="n"/>
    </row>
    <row r="186">
      <c r="B186" s="9" t="n"/>
      <c r="C186" s="57" t="n">
        <v>28</v>
      </c>
      <c r="D186" s="41" t="n"/>
      <c r="E186" s="55">
        <f>AI55</f>
        <v/>
      </c>
      <c r="F186" s="41" t="n"/>
      <c r="G186" s="41" t="n"/>
      <c r="H186" s="55">
        <f>AJ55</f>
        <v/>
      </c>
      <c r="I186" s="41" t="n"/>
      <c r="J186" s="41" t="n"/>
      <c r="K186" s="52">
        <f>AM55</f>
        <v/>
      </c>
      <c r="L186" s="41" t="n"/>
      <c r="M186" s="41" t="n"/>
      <c r="N186" s="54">
        <f>AX55</f>
        <v/>
      </c>
      <c r="O186" s="41" t="n"/>
      <c r="P186" s="41" t="n"/>
      <c r="Q186" s="53">
        <f>AY55</f>
        <v/>
      </c>
      <c r="R186" s="41" t="n"/>
      <c r="S186" s="53">
        <f>AQ55</f>
        <v/>
      </c>
      <c r="T186" s="41" t="n"/>
      <c r="U186" s="41" t="n"/>
      <c r="V186" s="53">
        <f>BC55</f>
        <v/>
      </c>
      <c r="W186" s="41" t="n"/>
      <c r="X186" s="41" t="n"/>
      <c r="Y186" s="40">
        <f>BD55</f>
        <v/>
      </c>
      <c r="Z186" s="41" t="n"/>
      <c r="AA186" s="40">
        <f>BE55</f>
        <v/>
      </c>
      <c r="AB186" s="41" t="n"/>
      <c r="AC186" s="53">
        <f>BG55</f>
        <v/>
      </c>
      <c r="AD186" s="41" t="n"/>
      <c r="AE186" s="41" t="n"/>
      <c r="AF186" s="15" t="n"/>
    </row>
    <row r="187">
      <c r="B187" s="9" t="n"/>
      <c r="C187" s="57" t="n">
        <v>29</v>
      </c>
      <c r="D187" s="41" t="n"/>
      <c r="E187" s="55">
        <f>AI56</f>
        <v/>
      </c>
      <c r="F187" s="41" t="n"/>
      <c r="G187" s="41" t="n"/>
      <c r="H187" s="55">
        <f>AJ56</f>
        <v/>
      </c>
      <c r="I187" s="41" t="n"/>
      <c r="J187" s="41" t="n"/>
      <c r="K187" s="52">
        <f>AM56</f>
        <v/>
      </c>
      <c r="L187" s="41" t="n"/>
      <c r="M187" s="41" t="n"/>
      <c r="N187" s="54">
        <f>AX56</f>
        <v/>
      </c>
      <c r="O187" s="41" t="n"/>
      <c r="P187" s="41" t="n"/>
      <c r="Q187" s="53">
        <f>AY56</f>
        <v/>
      </c>
      <c r="R187" s="41" t="n"/>
      <c r="S187" s="53">
        <f>AQ56</f>
        <v/>
      </c>
      <c r="T187" s="41" t="n"/>
      <c r="U187" s="41" t="n"/>
      <c r="V187" s="53">
        <f>BC56</f>
        <v/>
      </c>
      <c r="W187" s="41" t="n"/>
      <c r="X187" s="41" t="n"/>
      <c r="Y187" s="40">
        <f>BD56</f>
        <v/>
      </c>
      <c r="Z187" s="41" t="n"/>
      <c r="AA187" s="40">
        <f>BE56</f>
        <v/>
      </c>
      <c r="AB187" s="41" t="n"/>
      <c r="AC187" s="53">
        <f>BG56</f>
        <v/>
      </c>
      <c r="AD187" s="41" t="n"/>
      <c r="AE187" s="41" t="n"/>
      <c r="AF187" s="15" t="n"/>
    </row>
    <row r="188">
      <c r="B188" s="9" t="n"/>
      <c r="C188" s="57" t="n">
        <v>30</v>
      </c>
      <c r="D188" s="41" t="n"/>
      <c r="E188" s="55">
        <f>AI57</f>
        <v/>
      </c>
      <c r="F188" s="41" t="n"/>
      <c r="G188" s="41" t="n"/>
      <c r="H188" s="55">
        <f>AJ57</f>
        <v/>
      </c>
      <c r="I188" s="41" t="n"/>
      <c r="J188" s="41" t="n"/>
      <c r="K188" s="52">
        <f>AM57</f>
        <v/>
      </c>
      <c r="L188" s="41" t="n"/>
      <c r="M188" s="41" t="n"/>
      <c r="N188" s="54">
        <f>AX57</f>
        <v/>
      </c>
      <c r="O188" s="41" t="n"/>
      <c r="P188" s="41" t="n"/>
      <c r="Q188" s="53">
        <f>AY57</f>
        <v/>
      </c>
      <c r="R188" s="41" t="n"/>
      <c r="S188" s="53">
        <f>AQ57</f>
        <v/>
      </c>
      <c r="T188" s="41" t="n"/>
      <c r="U188" s="41" t="n"/>
      <c r="V188" s="53">
        <f>BC57</f>
        <v/>
      </c>
      <c r="W188" s="41" t="n"/>
      <c r="X188" s="41" t="n"/>
      <c r="Y188" s="40">
        <f>BD57</f>
        <v/>
      </c>
      <c r="Z188" s="41" t="n"/>
      <c r="AA188" s="40">
        <f>BE57</f>
        <v/>
      </c>
      <c r="AB188" s="41" t="n"/>
      <c r="AC188" s="53">
        <f>BG57</f>
        <v/>
      </c>
      <c r="AD188" s="41" t="n"/>
      <c r="AE188" s="41" t="n"/>
      <c r="AF188" s="15" t="n"/>
    </row>
    <row r="189">
      <c r="B189" s="9" t="n"/>
      <c r="C189" s="57" t="n">
        <v>31</v>
      </c>
      <c r="D189" s="41" t="n"/>
      <c r="E189" s="55">
        <f>AI58</f>
        <v/>
      </c>
      <c r="F189" s="41" t="n"/>
      <c r="G189" s="41" t="n"/>
      <c r="H189" s="55">
        <f>AJ58</f>
        <v/>
      </c>
      <c r="I189" s="41" t="n"/>
      <c r="J189" s="41" t="n"/>
      <c r="K189" s="52">
        <f>AM58</f>
        <v/>
      </c>
      <c r="L189" s="41" t="n"/>
      <c r="M189" s="41" t="n"/>
      <c r="N189" s="54">
        <f>AX58</f>
        <v/>
      </c>
      <c r="O189" s="41" t="n"/>
      <c r="P189" s="41" t="n"/>
      <c r="Q189" s="53">
        <f>AY58</f>
        <v/>
      </c>
      <c r="R189" s="41" t="n"/>
      <c r="S189" s="53">
        <f>AQ58</f>
        <v/>
      </c>
      <c r="T189" s="41" t="n"/>
      <c r="U189" s="41" t="n"/>
      <c r="V189" s="53">
        <f>BC58</f>
        <v/>
      </c>
      <c r="W189" s="41" t="n"/>
      <c r="X189" s="41" t="n"/>
      <c r="Y189" s="40">
        <f>BD58</f>
        <v/>
      </c>
      <c r="Z189" s="41" t="n"/>
      <c r="AA189" s="40">
        <f>BE58</f>
        <v/>
      </c>
      <c r="AB189" s="41" t="n"/>
      <c r="AC189" s="53">
        <f>BG58</f>
        <v/>
      </c>
      <c r="AD189" s="41" t="n"/>
      <c r="AE189" s="41" t="n"/>
      <c r="AF189" s="15" t="n"/>
    </row>
    <row r="190">
      <c r="B190" s="9" t="n"/>
      <c r="C190" s="57" t="n">
        <v>32</v>
      </c>
      <c r="D190" s="41" t="n"/>
      <c r="E190" s="55">
        <f>AI59</f>
        <v/>
      </c>
      <c r="F190" s="41" t="n"/>
      <c r="G190" s="41" t="n"/>
      <c r="H190" s="55">
        <f>AJ59</f>
        <v/>
      </c>
      <c r="I190" s="41" t="n"/>
      <c r="J190" s="41" t="n"/>
      <c r="K190" s="52">
        <f>AM59</f>
        <v/>
      </c>
      <c r="L190" s="41" t="n"/>
      <c r="M190" s="41" t="n"/>
      <c r="N190" s="54">
        <f>AX59</f>
        <v/>
      </c>
      <c r="O190" s="41" t="n"/>
      <c r="P190" s="41" t="n"/>
      <c r="Q190" s="53">
        <f>AY59</f>
        <v/>
      </c>
      <c r="R190" s="41" t="n"/>
      <c r="S190" s="53">
        <f>AQ59</f>
        <v/>
      </c>
      <c r="T190" s="41" t="n"/>
      <c r="U190" s="41" t="n"/>
      <c r="V190" s="53">
        <f>BC59</f>
        <v/>
      </c>
      <c r="W190" s="41" t="n"/>
      <c r="X190" s="41" t="n"/>
      <c r="Y190" s="40">
        <f>BD59</f>
        <v/>
      </c>
      <c r="Z190" s="41" t="n"/>
      <c r="AA190" s="40">
        <f>BE59</f>
        <v/>
      </c>
      <c r="AB190" s="41" t="n"/>
      <c r="AC190" s="53">
        <f>BG59</f>
        <v/>
      </c>
      <c r="AD190" s="41" t="n"/>
      <c r="AE190" s="41" t="n"/>
      <c r="AF190" s="15" t="n"/>
    </row>
    <row r="191">
      <c r="B191" s="9" t="n"/>
      <c r="C191" s="57" t="n">
        <v>33</v>
      </c>
      <c r="D191" s="41" t="n"/>
      <c r="E191" s="55">
        <f>AI60</f>
        <v/>
      </c>
      <c r="F191" s="41" t="n"/>
      <c r="G191" s="41" t="n"/>
      <c r="H191" s="55">
        <f>AJ60</f>
        <v/>
      </c>
      <c r="I191" s="41" t="n"/>
      <c r="J191" s="41" t="n"/>
      <c r="K191" s="52">
        <f>AM60</f>
        <v/>
      </c>
      <c r="L191" s="41" t="n"/>
      <c r="M191" s="41" t="n"/>
      <c r="N191" s="54">
        <f>AX60</f>
        <v/>
      </c>
      <c r="O191" s="41" t="n"/>
      <c r="P191" s="41" t="n"/>
      <c r="Q191" s="53">
        <f>AY60</f>
        <v/>
      </c>
      <c r="R191" s="41" t="n"/>
      <c r="S191" s="53">
        <f>AQ60</f>
        <v/>
      </c>
      <c r="T191" s="41" t="n"/>
      <c r="U191" s="41" t="n"/>
      <c r="V191" s="53">
        <f>BC60</f>
        <v/>
      </c>
      <c r="W191" s="41" t="n"/>
      <c r="X191" s="41" t="n"/>
      <c r="Y191" s="40">
        <f>BD60</f>
        <v/>
      </c>
      <c r="Z191" s="41" t="n"/>
      <c r="AA191" s="40">
        <f>BE60</f>
        <v/>
      </c>
      <c r="AB191" s="41" t="n"/>
      <c r="AC191" s="53">
        <f>BG60</f>
        <v/>
      </c>
      <c r="AD191" s="41" t="n"/>
      <c r="AE191" s="41" t="n"/>
      <c r="AF191" s="15" t="n"/>
    </row>
    <row r="192">
      <c r="B192" s="9" t="n"/>
      <c r="C192" s="57" t="n">
        <v>34</v>
      </c>
      <c r="D192" s="41" t="n"/>
      <c r="E192" s="55">
        <f>AI61</f>
        <v/>
      </c>
      <c r="F192" s="41" t="n"/>
      <c r="G192" s="41" t="n"/>
      <c r="H192" s="55">
        <f>AJ61</f>
        <v/>
      </c>
      <c r="I192" s="41" t="n"/>
      <c r="J192" s="41" t="n"/>
      <c r="K192" s="52">
        <f>AM61</f>
        <v/>
      </c>
      <c r="L192" s="41" t="n"/>
      <c r="M192" s="41" t="n"/>
      <c r="N192" s="54">
        <f>AX61</f>
        <v/>
      </c>
      <c r="O192" s="41" t="n"/>
      <c r="P192" s="41" t="n"/>
      <c r="Q192" s="53">
        <f>AY61</f>
        <v/>
      </c>
      <c r="R192" s="41" t="n"/>
      <c r="S192" s="53">
        <f>AQ61</f>
        <v/>
      </c>
      <c r="T192" s="41" t="n"/>
      <c r="U192" s="41" t="n"/>
      <c r="V192" s="53">
        <f>BC61</f>
        <v/>
      </c>
      <c r="W192" s="41" t="n"/>
      <c r="X192" s="41" t="n"/>
      <c r="Y192" s="40">
        <f>BD61</f>
        <v/>
      </c>
      <c r="Z192" s="41" t="n"/>
      <c r="AA192" s="40">
        <f>BE61</f>
        <v/>
      </c>
      <c r="AB192" s="41" t="n"/>
      <c r="AC192" s="53">
        <f>BG61</f>
        <v/>
      </c>
      <c r="AD192" s="41" t="n"/>
      <c r="AE192" s="41" t="n"/>
      <c r="AF192" s="15" t="n"/>
    </row>
    <row r="193">
      <c r="B193" s="9" t="n"/>
      <c r="C193" s="57" t="n">
        <v>35</v>
      </c>
      <c r="D193" s="41" t="n"/>
      <c r="E193" s="55">
        <f>AI62</f>
        <v/>
      </c>
      <c r="F193" s="41" t="n"/>
      <c r="G193" s="41" t="n"/>
      <c r="H193" s="55">
        <f>AJ62</f>
        <v/>
      </c>
      <c r="I193" s="41" t="n"/>
      <c r="J193" s="41" t="n"/>
      <c r="K193" s="52">
        <f>AM62</f>
        <v/>
      </c>
      <c r="L193" s="41" t="n"/>
      <c r="M193" s="41" t="n"/>
      <c r="N193" s="54">
        <f>AX62</f>
        <v/>
      </c>
      <c r="O193" s="41" t="n"/>
      <c r="P193" s="41" t="n"/>
      <c r="Q193" s="53">
        <f>AY62</f>
        <v/>
      </c>
      <c r="R193" s="41" t="n"/>
      <c r="S193" s="53">
        <f>AQ62</f>
        <v/>
      </c>
      <c r="T193" s="41" t="n"/>
      <c r="U193" s="41" t="n"/>
      <c r="V193" s="53">
        <f>BC62</f>
        <v/>
      </c>
      <c r="W193" s="41" t="n"/>
      <c r="X193" s="41" t="n"/>
      <c r="Y193" s="40">
        <f>BD62</f>
        <v/>
      </c>
      <c r="Z193" s="41" t="n"/>
      <c r="AA193" s="40">
        <f>BE62</f>
        <v/>
      </c>
      <c r="AB193" s="41" t="n"/>
      <c r="AC193" s="53">
        <f>BG62</f>
        <v/>
      </c>
      <c r="AD193" s="41" t="n"/>
      <c r="AE193" s="41" t="n"/>
      <c r="AF193" s="15" t="n"/>
    </row>
    <row r="194">
      <c r="B194" s="9" t="n"/>
      <c r="C194" s="57" t="n">
        <v>36</v>
      </c>
      <c r="D194" s="41" t="n"/>
      <c r="E194" s="55">
        <f>AI63</f>
        <v/>
      </c>
      <c r="F194" s="41" t="n"/>
      <c r="G194" s="41" t="n"/>
      <c r="H194" s="55">
        <f>AJ63</f>
        <v/>
      </c>
      <c r="I194" s="41" t="n"/>
      <c r="J194" s="41" t="n"/>
      <c r="K194" s="52">
        <f>AM63</f>
        <v/>
      </c>
      <c r="L194" s="41" t="n"/>
      <c r="M194" s="41" t="n"/>
      <c r="N194" s="54">
        <f>AX63</f>
        <v/>
      </c>
      <c r="O194" s="41" t="n"/>
      <c r="P194" s="41" t="n"/>
      <c r="Q194" s="53">
        <f>AY63</f>
        <v/>
      </c>
      <c r="R194" s="41" t="n"/>
      <c r="S194" s="53">
        <f>AQ63</f>
        <v/>
      </c>
      <c r="T194" s="41" t="n"/>
      <c r="U194" s="41" t="n"/>
      <c r="V194" s="53">
        <f>BC63</f>
        <v/>
      </c>
      <c r="W194" s="41" t="n"/>
      <c r="X194" s="41" t="n"/>
      <c r="Y194" s="40">
        <f>BD63</f>
        <v/>
      </c>
      <c r="Z194" s="41" t="n"/>
      <c r="AA194" s="40">
        <f>BE63</f>
        <v/>
      </c>
      <c r="AB194" s="41" t="n"/>
      <c r="AC194" s="53">
        <f>BG63</f>
        <v/>
      </c>
      <c r="AD194" s="41" t="n"/>
      <c r="AE194" s="41" t="n"/>
      <c r="AF194" s="15" t="n"/>
    </row>
    <row r="195">
      <c r="B195" s="9" t="n"/>
      <c r="C195" s="57" t="n">
        <v>37</v>
      </c>
      <c r="D195" s="41" t="n"/>
      <c r="E195" s="55">
        <f>AI64</f>
        <v/>
      </c>
      <c r="F195" s="41" t="n"/>
      <c r="G195" s="41" t="n"/>
      <c r="H195" s="55">
        <f>AJ64</f>
        <v/>
      </c>
      <c r="I195" s="41" t="n"/>
      <c r="J195" s="41" t="n"/>
      <c r="K195" s="52">
        <f>AM64</f>
        <v/>
      </c>
      <c r="L195" s="41" t="n"/>
      <c r="M195" s="41" t="n"/>
      <c r="N195" s="54">
        <f>AX64</f>
        <v/>
      </c>
      <c r="O195" s="41" t="n"/>
      <c r="P195" s="41" t="n"/>
      <c r="Q195" s="53">
        <f>AY64</f>
        <v/>
      </c>
      <c r="R195" s="41" t="n"/>
      <c r="S195" s="53">
        <f>AQ64</f>
        <v/>
      </c>
      <c r="T195" s="41" t="n"/>
      <c r="U195" s="41" t="n"/>
      <c r="V195" s="53">
        <f>BC64</f>
        <v/>
      </c>
      <c r="W195" s="41" t="n"/>
      <c r="X195" s="41" t="n"/>
      <c r="Y195" s="40">
        <f>BD64</f>
        <v/>
      </c>
      <c r="Z195" s="41" t="n"/>
      <c r="AA195" s="40">
        <f>BE64</f>
        <v/>
      </c>
      <c r="AB195" s="41" t="n"/>
      <c r="AC195" s="53">
        <f>BG64</f>
        <v/>
      </c>
      <c r="AD195" s="41" t="n"/>
      <c r="AE195" s="41" t="n"/>
      <c r="AF195" s="15" t="n"/>
    </row>
    <row r="196">
      <c r="B196" s="9" t="n"/>
      <c r="C196" s="57" t="n">
        <v>38</v>
      </c>
      <c r="D196" s="41" t="n"/>
      <c r="E196" s="55">
        <f>AI65</f>
        <v/>
      </c>
      <c r="F196" s="41" t="n"/>
      <c r="G196" s="41" t="n"/>
      <c r="H196" s="55">
        <f>AJ65</f>
        <v/>
      </c>
      <c r="I196" s="41" t="n"/>
      <c r="J196" s="41" t="n"/>
      <c r="K196" s="52">
        <f>AM65</f>
        <v/>
      </c>
      <c r="L196" s="41" t="n"/>
      <c r="M196" s="41" t="n"/>
      <c r="N196" s="54">
        <f>AX65</f>
        <v/>
      </c>
      <c r="O196" s="41" t="n"/>
      <c r="P196" s="41" t="n"/>
      <c r="Q196" s="53">
        <f>AY65</f>
        <v/>
      </c>
      <c r="R196" s="41" t="n"/>
      <c r="S196" s="53">
        <f>AQ65</f>
        <v/>
      </c>
      <c r="T196" s="41" t="n"/>
      <c r="U196" s="41" t="n"/>
      <c r="V196" s="53">
        <f>BC65</f>
        <v/>
      </c>
      <c r="W196" s="41" t="n"/>
      <c r="X196" s="41" t="n"/>
      <c r="Y196" s="40">
        <f>BD65</f>
        <v/>
      </c>
      <c r="Z196" s="41" t="n"/>
      <c r="AA196" s="40">
        <f>BE65</f>
        <v/>
      </c>
      <c r="AB196" s="41" t="n"/>
      <c r="AC196" s="53">
        <f>BG65</f>
        <v/>
      </c>
      <c r="AD196" s="41" t="n"/>
      <c r="AE196" s="41" t="n"/>
      <c r="AF196" s="15" t="n"/>
    </row>
    <row r="197">
      <c r="B197" s="9" t="n"/>
      <c r="C197" s="57" t="n">
        <v>39</v>
      </c>
      <c r="D197" s="41" t="n"/>
      <c r="E197" s="55">
        <f>AI66</f>
        <v/>
      </c>
      <c r="F197" s="41" t="n"/>
      <c r="G197" s="41" t="n"/>
      <c r="H197" s="55">
        <f>AJ66</f>
        <v/>
      </c>
      <c r="I197" s="41" t="n"/>
      <c r="J197" s="41" t="n"/>
      <c r="K197" s="52">
        <f>AM66</f>
        <v/>
      </c>
      <c r="L197" s="41" t="n"/>
      <c r="M197" s="41" t="n"/>
      <c r="N197" s="54">
        <f>AX66</f>
        <v/>
      </c>
      <c r="O197" s="41" t="n"/>
      <c r="P197" s="41" t="n"/>
      <c r="Q197" s="53">
        <f>AY66</f>
        <v/>
      </c>
      <c r="R197" s="41" t="n"/>
      <c r="S197" s="53">
        <f>AQ66</f>
        <v/>
      </c>
      <c r="T197" s="41" t="n"/>
      <c r="U197" s="41" t="n"/>
      <c r="V197" s="53">
        <f>BC66</f>
        <v/>
      </c>
      <c r="W197" s="41" t="n"/>
      <c r="X197" s="41" t="n"/>
      <c r="Y197" s="40">
        <f>BD66</f>
        <v/>
      </c>
      <c r="Z197" s="41" t="n"/>
      <c r="AA197" s="40">
        <f>BE66</f>
        <v/>
      </c>
      <c r="AB197" s="41" t="n"/>
      <c r="AC197" s="53">
        <f>BG66</f>
        <v/>
      </c>
      <c r="AD197" s="41" t="n"/>
      <c r="AE197" s="41" t="n"/>
      <c r="AF197" s="15" t="n"/>
    </row>
    <row r="198">
      <c r="B198" s="9" t="n"/>
      <c r="C198" s="57" t="n">
        <v>40</v>
      </c>
      <c r="D198" s="41" t="n"/>
      <c r="E198" s="55">
        <f>AI67</f>
        <v/>
      </c>
      <c r="F198" s="41" t="n"/>
      <c r="G198" s="41" t="n"/>
      <c r="H198" s="55">
        <f>AJ67</f>
        <v/>
      </c>
      <c r="I198" s="41" t="n"/>
      <c r="J198" s="41" t="n"/>
      <c r="K198" s="52">
        <f>AM67</f>
        <v/>
      </c>
      <c r="L198" s="41" t="n"/>
      <c r="M198" s="41" t="n"/>
      <c r="N198" s="54">
        <f>AX67</f>
        <v/>
      </c>
      <c r="O198" s="41" t="n"/>
      <c r="P198" s="41" t="n"/>
      <c r="Q198" s="53">
        <f>AY67</f>
        <v/>
      </c>
      <c r="R198" s="41" t="n"/>
      <c r="S198" s="53">
        <f>AQ67</f>
        <v/>
      </c>
      <c r="T198" s="41" t="n"/>
      <c r="U198" s="41" t="n"/>
      <c r="V198" s="53">
        <f>BC67</f>
        <v/>
      </c>
      <c r="W198" s="41" t="n"/>
      <c r="X198" s="41" t="n"/>
      <c r="Y198" s="40">
        <f>BD67</f>
        <v/>
      </c>
      <c r="Z198" s="41" t="n"/>
      <c r="AA198" s="40">
        <f>BE67</f>
        <v/>
      </c>
      <c r="AB198" s="41" t="n"/>
      <c r="AC198" s="53">
        <f>BG67</f>
        <v/>
      </c>
      <c r="AD198" s="41" t="n"/>
      <c r="AE198" s="41" t="n"/>
      <c r="AF198" s="15" t="n"/>
    </row>
    <row r="199">
      <c r="B199" s="9" t="n"/>
      <c r="C199" s="69" t="n">
        <v>41</v>
      </c>
      <c r="D199" s="46" t="n"/>
      <c r="E199" s="70">
        <f>AI68</f>
        <v/>
      </c>
      <c r="F199" s="46" t="n"/>
      <c r="G199" s="46" t="n"/>
      <c r="H199" s="70">
        <f>AJ68</f>
        <v/>
      </c>
      <c r="I199" s="46" t="n"/>
      <c r="J199" s="46" t="n"/>
      <c r="K199" s="59">
        <f>AM68</f>
        <v/>
      </c>
      <c r="L199" s="46" t="n"/>
      <c r="M199" s="46" t="n"/>
      <c r="N199" s="74">
        <f>AX68</f>
        <v/>
      </c>
      <c r="O199" s="46" t="n"/>
      <c r="P199" s="46" t="n"/>
      <c r="Q199" s="60">
        <f>AY68</f>
        <v/>
      </c>
      <c r="R199" s="46" t="n"/>
      <c r="S199" s="60">
        <f>AQ68</f>
        <v/>
      </c>
      <c r="T199" s="46" t="n"/>
      <c r="U199" s="46" t="n"/>
      <c r="V199" s="60">
        <f>BC68</f>
        <v/>
      </c>
      <c r="W199" s="46" t="n"/>
      <c r="X199" s="46" t="n"/>
      <c r="Y199" s="45">
        <f>BD68</f>
        <v/>
      </c>
      <c r="Z199" s="46" t="n"/>
      <c r="AA199" s="45">
        <f>BE68</f>
        <v/>
      </c>
      <c r="AB199" s="46" t="n"/>
      <c r="AC199" s="60">
        <f>BG68</f>
        <v/>
      </c>
      <c r="AD199" s="46" t="n"/>
      <c r="AE199" s="46" t="n"/>
      <c r="AF199" s="15" t="n"/>
    </row>
    <row r="200">
      <c r="B200" s="9" t="n"/>
      <c r="AF200" s="15" t="n"/>
    </row>
    <row r="201">
      <c r="B201" s="9" t="n"/>
      <c r="C201" s="25" t="inlineStr">
        <is>
          <t>Total immediate settlement</t>
        </is>
      </c>
      <c r="O201" s="26" t="inlineStr">
        <is>
          <t>Si = Σ Si</t>
        </is>
      </c>
      <c r="X201" s="27" t="inlineStr">
        <is>
          <t>Si =</t>
        </is>
      </c>
      <c r="Y201" s="13" t="n"/>
      <c r="Z201" s="13" t="n"/>
      <c r="AA201" s="30">
        <f>SUM(BG28:BG68)</f>
        <v/>
      </c>
      <c r="AB201" s="13" t="n"/>
      <c r="AC201" s="13" t="n"/>
      <c r="AD201" s="25" t="inlineStr">
        <is>
          <t>mm</t>
        </is>
      </c>
      <c r="AF201" s="15" t="n"/>
    </row>
    <row r="202">
      <c r="B202" s="9" t="n"/>
      <c r="C202" s="25" t="inlineStr">
        <is>
          <t xml:space="preserve">   - contribution of sand layers</t>
        </is>
      </c>
      <c r="O202" s="26" t="inlineStr"/>
      <c r="X202" s="27" t="inlineStr"/>
      <c r="Y202" s="13" t="n"/>
      <c r="Z202" s="13" t="n"/>
      <c r="AA202" s="62">
        <f>SUMPRODUCT(--(AM28:AM68="Sand"),BG28:BG68)</f>
        <v/>
      </c>
      <c r="AB202" s="13" t="n"/>
      <c r="AC202" s="13" t="n"/>
      <c r="AD202" s="25" t="inlineStr">
        <is>
          <t>mm</t>
        </is>
      </c>
      <c r="AF202" s="15" t="n"/>
    </row>
    <row r="203">
      <c r="B203" s="9" t="n"/>
      <c r="C203" s="25" t="inlineStr">
        <is>
          <t xml:space="preserve">   - contribution of silt/clay layers</t>
        </is>
      </c>
      <c r="O203" s="26" t="inlineStr"/>
      <c r="X203" s="27" t="inlineStr"/>
      <c r="Y203" s="13" t="n"/>
      <c r="Z203" s="13" t="n"/>
      <c r="AA203" s="62">
        <f>$AA$201-$AA$202</f>
        <v/>
      </c>
      <c r="AB203" s="13" t="n"/>
      <c r="AC203" s="13" t="n"/>
      <c r="AD203" s="25" t="inlineStr">
        <is>
          <t>mm</t>
        </is>
      </c>
      <c r="AF203" s="15" t="n"/>
    </row>
    <row r="204">
      <c r="B204" s="9" t="n"/>
      <c r="AF204" s="15" t="n"/>
    </row>
    <row r="205">
      <c r="B205" s="9" t="n"/>
      <c r="AF205" s="15" t="n"/>
    </row>
    <row r="206">
      <c r="B206" s="9" t="n"/>
      <c r="AF206" s="15" t="n"/>
    </row>
    <row r="207">
      <c r="B207" s="9" t="n"/>
      <c r="AF207" s="15" t="n"/>
    </row>
    <row r="208">
      <c r="B208" s="9" t="n"/>
      <c r="AF208" s="15" t="n"/>
    </row>
    <row r="209">
      <c r="B209" s="9" t="n"/>
      <c r="AF209" s="15" t="n"/>
    </row>
    <row r="210">
      <c r="B210" s="9" t="n"/>
      <c r="AF210" s="15" t="n"/>
    </row>
    <row r="211">
      <c r="B211" s="9" t="n"/>
      <c r="AF211" s="15" t="n"/>
    </row>
    <row r="212">
      <c r="B212" s="9" t="n"/>
      <c r="AF212" s="15" t="n"/>
    </row>
    <row r="213">
      <c r="B213" s="9" t="n"/>
      <c r="AF213" s="15" t="n"/>
    </row>
    <row r="214">
      <c r="B214" s="9" t="n"/>
      <c r="AF214" s="15" t="n"/>
    </row>
    <row r="215">
      <c r="B215" s="9" t="n"/>
      <c r="AF215" s="15" t="n"/>
    </row>
    <row r="216">
      <c r="B216" s="9" t="n"/>
      <c r="AF216" s="15" t="n"/>
    </row>
    <row r="217">
      <c r="B217" s="47" t="n"/>
      <c r="C217" s="48" t="n"/>
      <c r="D217" s="48" t="n"/>
      <c r="E217" s="48" t="n"/>
      <c r="F217" s="48" t="n"/>
      <c r="G217" s="48" t="n"/>
      <c r="H217" s="48" t="n"/>
      <c r="I217" s="48" t="n"/>
      <c r="J217" s="48" t="n"/>
      <c r="K217" s="48" t="n"/>
      <c r="L217" s="48" t="n"/>
      <c r="M217" s="48" t="n"/>
      <c r="N217" s="48" t="n"/>
      <c r="O217" s="48" t="n"/>
      <c r="P217" s="48" t="n"/>
      <c r="Q217" s="48" t="n"/>
      <c r="R217" s="48" t="n"/>
      <c r="S217" s="48" t="n"/>
      <c r="T217" s="48" t="n"/>
      <c r="U217" s="48" t="n"/>
      <c r="V217" s="48" t="n"/>
      <c r="W217" s="48" t="n"/>
      <c r="X217" s="49" t="inlineStr">
        <is>
          <t>Sheet :</t>
        </is>
      </c>
      <c r="Y217" s="48" t="n"/>
      <c r="Z217" s="48" t="n"/>
      <c r="AA217" s="48" t="n"/>
      <c r="AB217" s="49" t="n">
        <v>3</v>
      </c>
      <c r="AC217" s="48" t="n"/>
      <c r="AD217" s="48" t="n"/>
      <c r="AE217" s="48" t="n"/>
      <c r="AF217" s="50" t="n"/>
    </row>
    <row r="218">
      <c r="B218" s="1" t="n"/>
      <c r="C218" s="2" t="inlineStr">
        <is>
          <t>PROJECT :</t>
        </is>
      </c>
      <c r="D218" s="3" t="n"/>
      <c r="E218" s="3" t="n"/>
      <c r="F218" s="3" t="n"/>
      <c r="G218" s="3" t="n"/>
      <c r="H218" s="4" t="inlineStr">
        <is>
          <t>GEOTHERMAL WELLPAD PSPE BORA PULU - SIGI, CENTRAL SULAWESI</t>
        </is>
      </c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5" t="inlineStr">
        <is>
          <t>Prepared by :</t>
        </is>
      </c>
      <c r="Y218" s="6" t="n"/>
      <c r="Z218" s="6" t="n"/>
      <c r="AA218" s="6" t="n"/>
      <c r="AB218" s="7" t="inlineStr">
        <is>
          <t>Date</t>
        </is>
      </c>
      <c r="AC218" s="6" t="n"/>
      <c r="AD218" s="6" t="n"/>
      <c r="AE218" s="6" t="n"/>
      <c r="AF218" s="8" t="n"/>
    </row>
    <row r="219">
      <c r="B219" s="9" t="n"/>
      <c r="C219" s="10" t="inlineStr">
        <is>
          <t>CLIENT :</t>
        </is>
      </c>
      <c r="H219" s="11" t="inlineStr">
        <is>
          <t>PT EDC PANAS BUMI INDONESIA</t>
        </is>
      </c>
      <c r="X219" s="12" t="inlineStr">
        <is>
          <t>DF</t>
        </is>
      </c>
      <c r="Y219" s="13" t="n"/>
      <c r="Z219" s="13" t="n"/>
      <c r="AA219" s="13" t="n"/>
      <c r="AB219" s="14" t="n">
        <v>46301</v>
      </c>
      <c r="AC219" s="13" t="n"/>
      <c r="AD219" s="13" t="n"/>
      <c r="AE219" s="13" t="n"/>
      <c r="AF219" s="15" t="n"/>
    </row>
    <row r="220">
      <c r="B220" s="9" t="n"/>
      <c r="C220" s="10" t="inlineStr">
        <is>
          <t>LOCATION :</t>
        </is>
      </c>
      <c r="H220" s="11" t="inlineStr">
        <is>
          <t>BH-04 (Wellpad D)</t>
        </is>
      </c>
      <c r="X220" s="12" t="inlineStr">
        <is>
          <t>Verified by :</t>
        </is>
      </c>
      <c r="Y220" s="13" t="n"/>
      <c r="Z220" s="13" t="n"/>
      <c r="AA220" s="13" t="n"/>
      <c r="AB220" s="14" t="inlineStr">
        <is>
          <t>Date</t>
        </is>
      </c>
      <c r="AC220" s="13" t="n"/>
      <c r="AD220" s="13" t="n"/>
      <c r="AE220" s="13" t="n"/>
      <c r="AF220" s="15" t="n"/>
    </row>
    <row r="221">
      <c r="B221" s="16" t="n"/>
      <c r="C221" s="17" t="inlineStr">
        <is>
          <t>SHEET :</t>
        </is>
      </c>
      <c r="D221" s="18" t="n"/>
      <c r="E221" s="18" t="n"/>
      <c r="F221" s="18" t="n"/>
      <c r="G221" s="18" t="n"/>
      <c r="H221" s="19" t="inlineStr">
        <is>
          <t>BEARING CAPACITY AND SETTLEMENT OF SUBGRADE</t>
        </is>
      </c>
      <c r="I221" s="18" t="n"/>
      <c r="J221" s="18" t="n"/>
      <c r="K221" s="18" t="n"/>
      <c r="L221" s="18" t="n"/>
      <c r="M221" s="18" t="n"/>
      <c r="N221" s="18" t="n"/>
      <c r="O221" s="18" t="n"/>
      <c r="P221" s="18" t="n"/>
      <c r="Q221" s="18" t="n"/>
      <c r="R221" s="18" t="n"/>
      <c r="S221" s="18" t="n"/>
      <c r="T221" s="18" t="n"/>
      <c r="U221" s="18" t="n"/>
      <c r="V221" s="18" t="n"/>
      <c r="W221" s="18" t="n"/>
      <c r="X221" s="20" t="inlineStr">
        <is>
          <t>BC</t>
        </is>
      </c>
      <c r="Y221" s="21" t="n"/>
      <c r="Z221" s="21" t="n"/>
      <c r="AA221" s="21" t="n"/>
      <c r="AB221" s="22" t="n">
        <v>46301</v>
      </c>
      <c r="AC221" s="21" t="n"/>
      <c r="AD221" s="21" t="n"/>
      <c r="AE221" s="21" t="n"/>
      <c r="AF221" s="23" t="n"/>
    </row>
    <row r="222">
      <c r="B222" s="9" t="n"/>
      <c r="AF222" s="15" t="n"/>
    </row>
    <row r="223">
      <c r="B223" s="9" t="n"/>
      <c r="C223" s="11" t="inlineStr">
        <is>
          <t>4.1. Check for granular soil - Burland &amp; Burbidge (1985), normally consolidated sand</t>
        </is>
      </c>
      <c r="AF223" s="15" t="n"/>
    </row>
    <row r="224">
      <c r="B224" s="9" t="n"/>
      <c r="C224" s="26" t="inlineStr">
        <is>
          <t xml:space="preserve">      S = fs · fl · q · B^0.7 · Ic ,   Ic = 1.71 / N̄^1.4 ,   zI = B^0.763</t>
        </is>
      </c>
      <c r="AF224" s="15" t="n"/>
    </row>
    <row r="225">
      <c r="B225" s="9" t="n"/>
      <c r="C225" s="25" t="inlineStr">
        <is>
          <t>Depth of influence</t>
        </is>
      </c>
      <c r="O225" s="26" t="inlineStr">
        <is>
          <t>zI = B^0.763</t>
        </is>
      </c>
      <c r="X225" s="27" t="inlineStr">
        <is>
          <t>zI =</t>
        </is>
      </c>
      <c r="Y225" s="13" t="n"/>
      <c r="Z225" s="13" t="n"/>
      <c r="AA225" s="61">
        <f>MIN(Input!$AA$15^0.763,AJ68)</f>
        <v/>
      </c>
      <c r="AB225" s="13" t="n"/>
      <c r="AC225" s="13" t="n"/>
      <c r="AD225" s="25" t="inlineStr">
        <is>
          <t>m</t>
        </is>
      </c>
      <c r="AF225" s="15" t="n"/>
    </row>
    <row r="226">
      <c r="B226" s="9" t="n"/>
      <c r="C226" s="25" t="inlineStr">
        <is>
          <t>Average measured N within zI</t>
        </is>
      </c>
      <c r="O226" s="26" t="inlineStr"/>
      <c r="X226" s="27" t="inlineStr">
        <is>
          <t>N̄ =</t>
        </is>
      </c>
      <c r="Y226" s="13" t="n"/>
      <c r="Z226" s="13" t="n"/>
      <c r="AA226" s="62">
        <f>SUMPRODUCT(BP28:BP68,AN28:AN68)/$AA$225</f>
        <v/>
      </c>
      <c r="AB226" s="13" t="n"/>
      <c r="AC226" s="13" t="n"/>
      <c r="AD226" s="25" t="inlineStr">
        <is>
          <t>-</t>
        </is>
      </c>
      <c r="AF226" s="15" t="n"/>
    </row>
    <row r="227">
      <c r="B227" s="9" t="n"/>
      <c r="C227" s="25" t="inlineStr">
        <is>
          <t>Compressibility index</t>
        </is>
      </c>
      <c r="O227" s="26" t="inlineStr">
        <is>
          <t>Ic = 1.71 / N̄^1.4</t>
        </is>
      </c>
      <c r="X227" s="27" t="inlineStr">
        <is>
          <t>Ic =</t>
        </is>
      </c>
      <c r="Y227" s="13" t="n"/>
      <c r="Z227" s="13" t="n"/>
      <c r="AA227" s="75">
        <f>1.71/$AA$226^1.4</f>
        <v/>
      </c>
      <c r="AB227" s="13" t="n"/>
      <c r="AC227" s="13" t="n"/>
      <c r="AD227" s="25" t="inlineStr">
        <is>
          <t>-</t>
        </is>
      </c>
      <c r="AF227" s="15" t="n"/>
    </row>
    <row r="228">
      <c r="B228" s="9" t="n"/>
      <c r="C228" s="25" t="inlineStr">
        <is>
          <t>Shape factor</t>
        </is>
      </c>
      <c r="O228" s="26" t="inlineStr">
        <is>
          <t>fs = [1.25(L/B)/(L/B+0.25)]²</t>
        </is>
      </c>
      <c r="X228" s="27" t="inlineStr">
        <is>
          <t>fs =</t>
        </is>
      </c>
      <c r="Y228" s="13" t="n"/>
      <c r="Z228" s="13" t="n"/>
      <c r="AA228" s="61">
        <f>(1.25*Input!$AA$16/Input!$AA$15/(Input!$AA$16/Input!$AA$15+0.25))^2</f>
        <v/>
      </c>
      <c r="AB228" s="13" t="n"/>
      <c r="AC228" s="13" t="n"/>
      <c r="AD228" s="25" t="inlineStr">
        <is>
          <t>-</t>
        </is>
      </c>
      <c r="AF228" s="15" t="n"/>
    </row>
    <row r="229">
      <c r="B229" s="9" t="n"/>
      <c r="C229" s="25" t="inlineStr">
        <is>
          <t>Settlement of sand (fl = 1)</t>
        </is>
      </c>
      <c r="O229" s="26" t="inlineStr">
        <is>
          <t>S = fs·q·B^0.7·Ic</t>
        </is>
      </c>
      <c r="X229" s="27" t="inlineStr">
        <is>
          <t>S =</t>
        </is>
      </c>
      <c r="Y229" s="13" t="n"/>
      <c r="Z229" s="13" t="n"/>
      <c r="AA229" s="30">
        <f>$AA$228*Input!$AA$14*Input!$AA$15^0.7*$AA$227</f>
        <v/>
      </c>
      <c r="AB229" s="13" t="n"/>
      <c r="AC229" s="13" t="n"/>
      <c r="AD229" s="25" t="inlineStr">
        <is>
          <t>mm</t>
        </is>
      </c>
      <c r="AF229" s="15" t="n"/>
    </row>
    <row r="230">
      <c r="B230" s="9" t="n"/>
      <c r="C230" s="24" t="inlineStr">
        <is>
          <t>Burland &amp; Burbidge assumes the whole influence zone is sand; where silt/clay is present the layered elastic value governs.</t>
        </is>
      </c>
      <c r="AF230" s="15" t="n"/>
    </row>
    <row r="231">
      <c r="B231" s="9" t="n"/>
      <c r="AF231" s="15" t="n"/>
    </row>
    <row r="232">
      <c r="B232" s="9" t="n"/>
      <c r="C232" s="11" t="inlineStr">
        <is>
          <t>5. PRIMARY CONSOLIDATION SETTLEMENT (silt/clay layers, design condition)</t>
        </is>
      </c>
      <c r="AF232" s="15" t="n"/>
    </row>
    <row r="233">
      <c r="B233" s="9" t="n"/>
      <c r="C233" s="25" t="inlineStr">
        <is>
          <t>Sc = h/(1+e0) · [Cr·log(σ'p/σ'v0) + Cc·log((σ'v0+Δσz)/σ'p)]  (Das 2019); Δσz from Boussinesq at the centre of the area;</t>
        </is>
      </c>
      <c r="AF233" s="15" t="n"/>
    </row>
    <row r="234">
      <c r="B234" s="9" t="n"/>
      <c r="C234" s="25" t="inlineStr">
        <is>
          <t>σ'p = max(cu/0.22 ; σ'v0) (Mesri 1975); t90 = Tv·Hdr²/Cv with double drainage (Hdr = h/2), layers bounded by sand.</t>
        </is>
      </c>
      <c r="AF234" s="15" t="n"/>
    </row>
    <row r="235">
      <c r="B235" s="9" t="n"/>
      <c r="C235" s="25" t="inlineStr">
        <is>
          <t>Table 3. Consolidation settlement of BH-04</t>
        </is>
      </c>
      <c r="AF235" s="15" t="n"/>
    </row>
    <row r="236" ht="27" customHeight="1">
      <c r="B236" s="9" t="n"/>
      <c r="C236" s="33" t="inlineStr">
        <is>
          <t>No</t>
        </is>
      </c>
      <c r="D236" s="34" t="n"/>
      <c r="E236" s="33" t="inlineStr">
        <is>
          <t>Top</t>
        </is>
      </c>
      <c r="F236" s="34" t="n"/>
      <c r="G236" s="34" t="n"/>
      <c r="H236" s="33" t="inlineStr">
        <is>
          <t>Soil</t>
        </is>
      </c>
      <c r="I236" s="34" t="n"/>
      <c r="J236" s="34" t="n"/>
      <c r="K236" s="33" t="inlineStr">
        <is>
          <t>σ'v0</t>
        </is>
      </c>
      <c r="L236" s="34" t="n"/>
      <c r="M236" s="34" t="n"/>
      <c r="N236" s="33" t="inlineStr">
        <is>
          <t>Δσz</t>
        </is>
      </c>
      <c r="O236" s="34" t="n"/>
      <c r="P236" s="34" t="n"/>
      <c r="Q236" s="33" t="inlineStr">
        <is>
          <t>σ'p</t>
        </is>
      </c>
      <c r="R236" s="34" t="n"/>
      <c r="S236" s="34" t="n"/>
      <c r="T236" s="33" t="inlineStr">
        <is>
          <t>e0</t>
        </is>
      </c>
      <c r="U236" s="34" t="n"/>
      <c r="V236" s="33" t="inlineStr">
        <is>
          <t>Cc</t>
        </is>
      </c>
      <c r="W236" s="34" t="n"/>
      <c r="X236" s="33" t="inlineStr">
        <is>
          <t>Cr</t>
        </is>
      </c>
      <c r="Y236" s="34" t="n"/>
      <c r="Z236" s="33" t="inlineStr">
        <is>
          <t>Sc</t>
        </is>
      </c>
      <c r="AA236" s="34" t="n"/>
      <c r="AB236" s="34" t="n"/>
      <c r="AC236" s="33" t="inlineStr">
        <is>
          <t>t90</t>
        </is>
      </c>
      <c r="AD236" s="34" t="n"/>
      <c r="AE236" s="34" t="n"/>
      <c r="AF236" s="15" t="n"/>
    </row>
    <row r="237">
      <c r="B237" s="9" t="n"/>
      <c r="C237" s="35" t="inlineStr"/>
      <c r="D237" s="36" t="n"/>
      <c r="E237" s="35" t="inlineStr">
        <is>
          <t>m</t>
        </is>
      </c>
      <c r="F237" s="36" t="n"/>
      <c r="G237" s="36" t="n"/>
      <c r="H237" s="35" t="inlineStr"/>
      <c r="I237" s="36" t="n"/>
      <c r="J237" s="36" t="n"/>
      <c r="K237" s="35" t="inlineStr">
        <is>
          <t>kPa</t>
        </is>
      </c>
      <c r="L237" s="36" t="n"/>
      <c r="M237" s="36" t="n"/>
      <c r="N237" s="35" t="inlineStr">
        <is>
          <t>kPa</t>
        </is>
      </c>
      <c r="O237" s="36" t="n"/>
      <c r="P237" s="36" t="n"/>
      <c r="Q237" s="35" t="inlineStr">
        <is>
          <t>kPa</t>
        </is>
      </c>
      <c r="R237" s="36" t="n"/>
      <c r="S237" s="36" t="n"/>
      <c r="T237" s="35" t="inlineStr">
        <is>
          <t>-</t>
        </is>
      </c>
      <c r="U237" s="36" t="n"/>
      <c r="V237" s="35" t="inlineStr">
        <is>
          <t>-</t>
        </is>
      </c>
      <c r="W237" s="36" t="n"/>
      <c r="X237" s="35" t="inlineStr">
        <is>
          <t>-</t>
        </is>
      </c>
      <c r="Y237" s="36" t="n"/>
      <c r="Z237" s="35" t="inlineStr">
        <is>
          <t>mm</t>
        </is>
      </c>
      <c r="AA237" s="36" t="n"/>
      <c r="AB237" s="36" t="n"/>
      <c r="AC237" s="35" t="inlineStr">
        <is>
          <t>year</t>
        </is>
      </c>
      <c r="AD237" s="36" t="n"/>
      <c r="AE237" s="36" t="n"/>
      <c r="AF237" s="15" t="n"/>
    </row>
    <row r="238">
      <c r="B238" s="9" t="n"/>
      <c r="C238" s="57" t="n">
        <v>1</v>
      </c>
      <c r="D238" s="41" t="n"/>
      <c r="E238" s="55">
        <f>AI28</f>
        <v/>
      </c>
      <c r="F238" s="41" t="n"/>
      <c r="G238" s="41" t="n"/>
      <c r="H238" s="52">
        <f>AM28</f>
        <v/>
      </c>
      <c r="I238" s="41" t="n"/>
      <c r="J238" s="41" t="n"/>
      <c r="K238" s="53">
        <f>AQ28</f>
        <v/>
      </c>
      <c r="L238" s="41" t="n"/>
      <c r="M238" s="41" t="n"/>
      <c r="N238" s="53">
        <f>BC28</f>
        <v/>
      </c>
      <c r="O238" s="41" t="n"/>
      <c r="P238" s="41" t="n"/>
      <c r="Q238" s="66">
        <f>BJ28</f>
        <v/>
      </c>
      <c r="R238" s="41" t="n"/>
      <c r="S238" s="41" t="n"/>
      <c r="T238" s="55">
        <f>AU28</f>
        <v/>
      </c>
      <c r="U238" s="41" t="n"/>
      <c r="V238" s="76">
        <f>BH28</f>
        <v/>
      </c>
      <c r="W238" s="41" t="n"/>
      <c r="X238" s="76">
        <f>BI28</f>
        <v/>
      </c>
      <c r="Y238" s="41" t="n"/>
      <c r="Z238" s="77">
        <f>BK28</f>
        <v/>
      </c>
      <c r="AA238" s="41" t="n"/>
      <c r="AB238" s="41" t="n"/>
      <c r="AC238" s="78">
        <f>BM28</f>
        <v/>
      </c>
      <c r="AD238" s="41" t="n"/>
      <c r="AE238" s="41" t="n"/>
      <c r="AF238" s="15" t="n"/>
    </row>
    <row r="239">
      <c r="B239" s="9" t="n"/>
      <c r="C239" s="57" t="n">
        <v>2</v>
      </c>
      <c r="D239" s="41" t="n"/>
      <c r="E239" s="55">
        <f>AI29</f>
        <v/>
      </c>
      <c r="F239" s="41" t="n"/>
      <c r="G239" s="41" t="n"/>
      <c r="H239" s="52">
        <f>AM29</f>
        <v/>
      </c>
      <c r="I239" s="41" t="n"/>
      <c r="J239" s="41" t="n"/>
      <c r="K239" s="53">
        <f>AQ29</f>
        <v/>
      </c>
      <c r="L239" s="41" t="n"/>
      <c r="M239" s="41" t="n"/>
      <c r="N239" s="53">
        <f>BC29</f>
        <v/>
      </c>
      <c r="O239" s="41" t="n"/>
      <c r="P239" s="41" t="n"/>
      <c r="Q239" s="66">
        <f>BJ29</f>
        <v/>
      </c>
      <c r="R239" s="41" t="n"/>
      <c r="S239" s="41" t="n"/>
      <c r="T239" s="55">
        <f>AU29</f>
        <v/>
      </c>
      <c r="U239" s="41" t="n"/>
      <c r="V239" s="76">
        <f>BH29</f>
        <v/>
      </c>
      <c r="W239" s="41" t="n"/>
      <c r="X239" s="76">
        <f>BI29</f>
        <v/>
      </c>
      <c r="Y239" s="41" t="n"/>
      <c r="Z239" s="77">
        <f>BK29</f>
        <v/>
      </c>
      <c r="AA239" s="41" t="n"/>
      <c r="AB239" s="41" t="n"/>
      <c r="AC239" s="78">
        <f>BM29</f>
        <v/>
      </c>
      <c r="AD239" s="41" t="n"/>
      <c r="AE239" s="41" t="n"/>
      <c r="AF239" s="15" t="n"/>
    </row>
    <row r="240">
      <c r="B240" s="9" t="n"/>
      <c r="C240" s="57" t="n">
        <v>3</v>
      </c>
      <c r="D240" s="41" t="n"/>
      <c r="E240" s="55">
        <f>AI30</f>
        <v/>
      </c>
      <c r="F240" s="41" t="n"/>
      <c r="G240" s="41" t="n"/>
      <c r="H240" s="52">
        <f>AM30</f>
        <v/>
      </c>
      <c r="I240" s="41" t="n"/>
      <c r="J240" s="41" t="n"/>
      <c r="K240" s="53">
        <f>AQ30</f>
        <v/>
      </c>
      <c r="L240" s="41" t="n"/>
      <c r="M240" s="41" t="n"/>
      <c r="N240" s="53">
        <f>BC30</f>
        <v/>
      </c>
      <c r="O240" s="41" t="n"/>
      <c r="P240" s="41" t="n"/>
      <c r="Q240" s="66">
        <f>BJ30</f>
        <v/>
      </c>
      <c r="R240" s="41" t="n"/>
      <c r="S240" s="41" t="n"/>
      <c r="T240" s="55">
        <f>AU30</f>
        <v/>
      </c>
      <c r="U240" s="41" t="n"/>
      <c r="V240" s="76">
        <f>BH30</f>
        <v/>
      </c>
      <c r="W240" s="41" t="n"/>
      <c r="X240" s="76">
        <f>BI30</f>
        <v/>
      </c>
      <c r="Y240" s="41" t="n"/>
      <c r="Z240" s="77">
        <f>BK30</f>
        <v/>
      </c>
      <c r="AA240" s="41" t="n"/>
      <c r="AB240" s="41" t="n"/>
      <c r="AC240" s="78">
        <f>BM30</f>
        <v/>
      </c>
      <c r="AD240" s="41" t="n"/>
      <c r="AE240" s="41" t="n"/>
      <c r="AF240" s="15" t="n"/>
    </row>
    <row r="241">
      <c r="B241" s="9" t="n"/>
      <c r="C241" s="57" t="n">
        <v>4</v>
      </c>
      <c r="D241" s="41" t="n"/>
      <c r="E241" s="55">
        <f>AI31</f>
        <v/>
      </c>
      <c r="F241" s="41" t="n"/>
      <c r="G241" s="41" t="n"/>
      <c r="H241" s="52">
        <f>AM31</f>
        <v/>
      </c>
      <c r="I241" s="41" t="n"/>
      <c r="J241" s="41" t="n"/>
      <c r="K241" s="53">
        <f>AQ31</f>
        <v/>
      </c>
      <c r="L241" s="41" t="n"/>
      <c r="M241" s="41" t="n"/>
      <c r="N241" s="53">
        <f>BC31</f>
        <v/>
      </c>
      <c r="O241" s="41" t="n"/>
      <c r="P241" s="41" t="n"/>
      <c r="Q241" s="66">
        <f>BJ31</f>
        <v/>
      </c>
      <c r="R241" s="41" t="n"/>
      <c r="S241" s="41" t="n"/>
      <c r="T241" s="55">
        <f>AU31</f>
        <v/>
      </c>
      <c r="U241" s="41" t="n"/>
      <c r="V241" s="76">
        <f>BH31</f>
        <v/>
      </c>
      <c r="W241" s="41" t="n"/>
      <c r="X241" s="76">
        <f>BI31</f>
        <v/>
      </c>
      <c r="Y241" s="41" t="n"/>
      <c r="Z241" s="77">
        <f>BK31</f>
        <v/>
      </c>
      <c r="AA241" s="41" t="n"/>
      <c r="AB241" s="41" t="n"/>
      <c r="AC241" s="78">
        <f>BM31</f>
        <v/>
      </c>
      <c r="AD241" s="41" t="n"/>
      <c r="AE241" s="41" t="n"/>
      <c r="AF241" s="15" t="n"/>
    </row>
    <row r="242">
      <c r="B242" s="9" t="n"/>
      <c r="C242" s="57" t="n">
        <v>5</v>
      </c>
      <c r="D242" s="41" t="n"/>
      <c r="E242" s="55">
        <f>AI32</f>
        <v/>
      </c>
      <c r="F242" s="41" t="n"/>
      <c r="G242" s="41" t="n"/>
      <c r="H242" s="52">
        <f>AM32</f>
        <v/>
      </c>
      <c r="I242" s="41" t="n"/>
      <c r="J242" s="41" t="n"/>
      <c r="K242" s="53">
        <f>AQ32</f>
        <v/>
      </c>
      <c r="L242" s="41" t="n"/>
      <c r="M242" s="41" t="n"/>
      <c r="N242" s="53">
        <f>BC32</f>
        <v/>
      </c>
      <c r="O242" s="41" t="n"/>
      <c r="P242" s="41" t="n"/>
      <c r="Q242" s="66">
        <f>BJ32</f>
        <v/>
      </c>
      <c r="R242" s="41" t="n"/>
      <c r="S242" s="41" t="n"/>
      <c r="T242" s="55">
        <f>AU32</f>
        <v/>
      </c>
      <c r="U242" s="41" t="n"/>
      <c r="V242" s="76">
        <f>BH32</f>
        <v/>
      </c>
      <c r="W242" s="41" t="n"/>
      <c r="X242" s="76">
        <f>BI32</f>
        <v/>
      </c>
      <c r="Y242" s="41" t="n"/>
      <c r="Z242" s="77">
        <f>BK32</f>
        <v/>
      </c>
      <c r="AA242" s="41" t="n"/>
      <c r="AB242" s="41" t="n"/>
      <c r="AC242" s="78">
        <f>BM32</f>
        <v/>
      </c>
      <c r="AD242" s="41" t="n"/>
      <c r="AE242" s="41" t="n"/>
      <c r="AF242" s="15" t="n"/>
    </row>
    <row r="243">
      <c r="B243" s="9" t="n"/>
      <c r="C243" s="57" t="n">
        <v>6</v>
      </c>
      <c r="D243" s="41" t="n"/>
      <c r="E243" s="55">
        <f>AI33</f>
        <v/>
      </c>
      <c r="F243" s="41" t="n"/>
      <c r="G243" s="41" t="n"/>
      <c r="H243" s="52">
        <f>AM33</f>
        <v/>
      </c>
      <c r="I243" s="41" t="n"/>
      <c r="J243" s="41" t="n"/>
      <c r="K243" s="53">
        <f>AQ33</f>
        <v/>
      </c>
      <c r="L243" s="41" t="n"/>
      <c r="M243" s="41" t="n"/>
      <c r="N243" s="53">
        <f>BC33</f>
        <v/>
      </c>
      <c r="O243" s="41" t="n"/>
      <c r="P243" s="41" t="n"/>
      <c r="Q243" s="66">
        <f>BJ33</f>
        <v/>
      </c>
      <c r="R243" s="41" t="n"/>
      <c r="S243" s="41" t="n"/>
      <c r="T243" s="55">
        <f>AU33</f>
        <v/>
      </c>
      <c r="U243" s="41" t="n"/>
      <c r="V243" s="76">
        <f>BH33</f>
        <v/>
      </c>
      <c r="W243" s="41" t="n"/>
      <c r="X243" s="76">
        <f>BI33</f>
        <v/>
      </c>
      <c r="Y243" s="41" t="n"/>
      <c r="Z243" s="77">
        <f>BK33</f>
        <v/>
      </c>
      <c r="AA243" s="41" t="n"/>
      <c r="AB243" s="41" t="n"/>
      <c r="AC243" s="78">
        <f>BM33</f>
        <v/>
      </c>
      <c r="AD243" s="41" t="n"/>
      <c r="AE243" s="41" t="n"/>
      <c r="AF243" s="15" t="n"/>
    </row>
    <row r="244">
      <c r="B244" s="9" t="n"/>
      <c r="C244" s="57" t="n">
        <v>7</v>
      </c>
      <c r="D244" s="41" t="n"/>
      <c r="E244" s="55">
        <f>AI34</f>
        <v/>
      </c>
      <c r="F244" s="41" t="n"/>
      <c r="G244" s="41" t="n"/>
      <c r="H244" s="52">
        <f>AM34</f>
        <v/>
      </c>
      <c r="I244" s="41" t="n"/>
      <c r="J244" s="41" t="n"/>
      <c r="K244" s="53">
        <f>AQ34</f>
        <v/>
      </c>
      <c r="L244" s="41" t="n"/>
      <c r="M244" s="41" t="n"/>
      <c r="N244" s="53">
        <f>BC34</f>
        <v/>
      </c>
      <c r="O244" s="41" t="n"/>
      <c r="P244" s="41" t="n"/>
      <c r="Q244" s="66">
        <f>BJ34</f>
        <v/>
      </c>
      <c r="R244" s="41" t="n"/>
      <c r="S244" s="41" t="n"/>
      <c r="T244" s="55">
        <f>AU34</f>
        <v/>
      </c>
      <c r="U244" s="41" t="n"/>
      <c r="V244" s="76">
        <f>BH34</f>
        <v/>
      </c>
      <c r="W244" s="41" t="n"/>
      <c r="X244" s="76">
        <f>BI34</f>
        <v/>
      </c>
      <c r="Y244" s="41" t="n"/>
      <c r="Z244" s="77">
        <f>BK34</f>
        <v/>
      </c>
      <c r="AA244" s="41" t="n"/>
      <c r="AB244" s="41" t="n"/>
      <c r="AC244" s="78">
        <f>BM34</f>
        <v/>
      </c>
      <c r="AD244" s="41" t="n"/>
      <c r="AE244" s="41" t="n"/>
      <c r="AF244" s="15" t="n"/>
    </row>
    <row r="245">
      <c r="B245" s="9" t="n"/>
      <c r="C245" s="57" t="n">
        <v>8</v>
      </c>
      <c r="D245" s="41" t="n"/>
      <c r="E245" s="55">
        <f>AI35</f>
        <v/>
      </c>
      <c r="F245" s="41" t="n"/>
      <c r="G245" s="41" t="n"/>
      <c r="H245" s="52">
        <f>AM35</f>
        <v/>
      </c>
      <c r="I245" s="41" t="n"/>
      <c r="J245" s="41" t="n"/>
      <c r="K245" s="53">
        <f>AQ35</f>
        <v/>
      </c>
      <c r="L245" s="41" t="n"/>
      <c r="M245" s="41" t="n"/>
      <c r="N245" s="53">
        <f>BC35</f>
        <v/>
      </c>
      <c r="O245" s="41" t="n"/>
      <c r="P245" s="41" t="n"/>
      <c r="Q245" s="66">
        <f>BJ35</f>
        <v/>
      </c>
      <c r="R245" s="41" t="n"/>
      <c r="S245" s="41" t="n"/>
      <c r="T245" s="55">
        <f>AU35</f>
        <v/>
      </c>
      <c r="U245" s="41" t="n"/>
      <c r="V245" s="76">
        <f>BH35</f>
        <v/>
      </c>
      <c r="W245" s="41" t="n"/>
      <c r="X245" s="76">
        <f>BI35</f>
        <v/>
      </c>
      <c r="Y245" s="41" t="n"/>
      <c r="Z245" s="77">
        <f>BK35</f>
        <v/>
      </c>
      <c r="AA245" s="41" t="n"/>
      <c r="AB245" s="41" t="n"/>
      <c r="AC245" s="78">
        <f>BM35</f>
        <v/>
      </c>
      <c r="AD245" s="41" t="n"/>
      <c r="AE245" s="41" t="n"/>
      <c r="AF245" s="15" t="n"/>
    </row>
    <row r="246">
      <c r="B246" s="9" t="n"/>
      <c r="C246" s="57" t="n">
        <v>9</v>
      </c>
      <c r="D246" s="41" t="n"/>
      <c r="E246" s="55">
        <f>AI36</f>
        <v/>
      </c>
      <c r="F246" s="41" t="n"/>
      <c r="G246" s="41" t="n"/>
      <c r="H246" s="52">
        <f>AM36</f>
        <v/>
      </c>
      <c r="I246" s="41" t="n"/>
      <c r="J246" s="41" t="n"/>
      <c r="K246" s="53">
        <f>AQ36</f>
        <v/>
      </c>
      <c r="L246" s="41" t="n"/>
      <c r="M246" s="41" t="n"/>
      <c r="N246" s="53">
        <f>BC36</f>
        <v/>
      </c>
      <c r="O246" s="41" t="n"/>
      <c r="P246" s="41" t="n"/>
      <c r="Q246" s="66">
        <f>BJ36</f>
        <v/>
      </c>
      <c r="R246" s="41" t="n"/>
      <c r="S246" s="41" t="n"/>
      <c r="T246" s="55">
        <f>AU36</f>
        <v/>
      </c>
      <c r="U246" s="41" t="n"/>
      <c r="V246" s="76">
        <f>BH36</f>
        <v/>
      </c>
      <c r="W246" s="41" t="n"/>
      <c r="X246" s="76">
        <f>BI36</f>
        <v/>
      </c>
      <c r="Y246" s="41" t="n"/>
      <c r="Z246" s="77">
        <f>BK36</f>
        <v/>
      </c>
      <c r="AA246" s="41" t="n"/>
      <c r="AB246" s="41" t="n"/>
      <c r="AC246" s="78">
        <f>BM36</f>
        <v/>
      </c>
      <c r="AD246" s="41" t="n"/>
      <c r="AE246" s="41" t="n"/>
      <c r="AF246" s="15" t="n"/>
    </row>
    <row r="247">
      <c r="B247" s="9" t="n"/>
      <c r="C247" s="57" t="n">
        <v>10</v>
      </c>
      <c r="D247" s="41" t="n"/>
      <c r="E247" s="55">
        <f>AI37</f>
        <v/>
      </c>
      <c r="F247" s="41" t="n"/>
      <c r="G247" s="41" t="n"/>
      <c r="H247" s="52">
        <f>AM37</f>
        <v/>
      </c>
      <c r="I247" s="41" t="n"/>
      <c r="J247" s="41" t="n"/>
      <c r="K247" s="53">
        <f>AQ37</f>
        <v/>
      </c>
      <c r="L247" s="41" t="n"/>
      <c r="M247" s="41" t="n"/>
      <c r="N247" s="53">
        <f>BC37</f>
        <v/>
      </c>
      <c r="O247" s="41" t="n"/>
      <c r="P247" s="41" t="n"/>
      <c r="Q247" s="66">
        <f>BJ37</f>
        <v/>
      </c>
      <c r="R247" s="41" t="n"/>
      <c r="S247" s="41" t="n"/>
      <c r="T247" s="55">
        <f>AU37</f>
        <v/>
      </c>
      <c r="U247" s="41" t="n"/>
      <c r="V247" s="76">
        <f>BH37</f>
        <v/>
      </c>
      <c r="W247" s="41" t="n"/>
      <c r="X247" s="76">
        <f>BI37</f>
        <v/>
      </c>
      <c r="Y247" s="41" t="n"/>
      <c r="Z247" s="77">
        <f>BK37</f>
        <v/>
      </c>
      <c r="AA247" s="41" t="n"/>
      <c r="AB247" s="41" t="n"/>
      <c r="AC247" s="78">
        <f>BM37</f>
        <v/>
      </c>
      <c r="AD247" s="41" t="n"/>
      <c r="AE247" s="41" t="n"/>
      <c r="AF247" s="15" t="n"/>
    </row>
    <row r="248">
      <c r="B248" s="9" t="n"/>
      <c r="C248" s="57" t="n">
        <v>11</v>
      </c>
      <c r="D248" s="41" t="n"/>
      <c r="E248" s="55">
        <f>AI38</f>
        <v/>
      </c>
      <c r="F248" s="41" t="n"/>
      <c r="G248" s="41" t="n"/>
      <c r="H248" s="52">
        <f>AM38</f>
        <v/>
      </c>
      <c r="I248" s="41" t="n"/>
      <c r="J248" s="41" t="n"/>
      <c r="K248" s="53">
        <f>AQ38</f>
        <v/>
      </c>
      <c r="L248" s="41" t="n"/>
      <c r="M248" s="41" t="n"/>
      <c r="N248" s="53">
        <f>BC38</f>
        <v/>
      </c>
      <c r="O248" s="41" t="n"/>
      <c r="P248" s="41" t="n"/>
      <c r="Q248" s="66">
        <f>BJ38</f>
        <v/>
      </c>
      <c r="R248" s="41" t="n"/>
      <c r="S248" s="41" t="n"/>
      <c r="T248" s="55">
        <f>AU38</f>
        <v/>
      </c>
      <c r="U248" s="41" t="n"/>
      <c r="V248" s="76">
        <f>BH38</f>
        <v/>
      </c>
      <c r="W248" s="41" t="n"/>
      <c r="X248" s="76">
        <f>BI38</f>
        <v/>
      </c>
      <c r="Y248" s="41" t="n"/>
      <c r="Z248" s="77">
        <f>BK38</f>
        <v/>
      </c>
      <c r="AA248" s="41" t="n"/>
      <c r="AB248" s="41" t="n"/>
      <c r="AC248" s="78">
        <f>BM38</f>
        <v/>
      </c>
      <c r="AD248" s="41" t="n"/>
      <c r="AE248" s="41" t="n"/>
      <c r="AF248" s="15" t="n"/>
    </row>
    <row r="249">
      <c r="B249" s="9" t="n"/>
      <c r="C249" s="57" t="n">
        <v>12</v>
      </c>
      <c r="D249" s="41" t="n"/>
      <c r="E249" s="55">
        <f>AI39</f>
        <v/>
      </c>
      <c r="F249" s="41" t="n"/>
      <c r="G249" s="41" t="n"/>
      <c r="H249" s="52">
        <f>AM39</f>
        <v/>
      </c>
      <c r="I249" s="41" t="n"/>
      <c r="J249" s="41" t="n"/>
      <c r="K249" s="53">
        <f>AQ39</f>
        <v/>
      </c>
      <c r="L249" s="41" t="n"/>
      <c r="M249" s="41" t="n"/>
      <c r="N249" s="53">
        <f>BC39</f>
        <v/>
      </c>
      <c r="O249" s="41" t="n"/>
      <c r="P249" s="41" t="n"/>
      <c r="Q249" s="66">
        <f>BJ39</f>
        <v/>
      </c>
      <c r="R249" s="41" t="n"/>
      <c r="S249" s="41" t="n"/>
      <c r="T249" s="55">
        <f>AU39</f>
        <v/>
      </c>
      <c r="U249" s="41" t="n"/>
      <c r="V249" s="76">
        <f>BH39</f>
        <v/>
      </c>
      <c r="W249" s="41" t="n"/>
      <c r="X249" s="76">
        <f>BI39</f>
        <v/>
      </c>
      <c r="Y249" s="41" t="n"/>
      <c r="Z249" s="77">
        <f>BK39</f>
        <v/>
      </c>
      <c r="AA249" s="41" t="n"/>
      <c r="AB249" s="41" t="n"/>
      <c r="AC249" s="78">
        <f>BM39</f>
        <v/>
      </c>
      <c r="AD249" s="41" t="n"/>
      <c r="AE249" s="41" t="n"/>
      <c r="AF249" s="15" t="n"/>
    </row>
    <row r="250">
      <c r="B250" s="9" t="n"/>
      <c r="C250" s="57" t="n">
        <v>13</v>
      </c>
      <c r="D250" s="41" t="n"/>
      <c r="E250" s="55">
        <f>AI40</f>
        <v/>
      </c>
      <c r="F250" s="41" t="n"/>
      <c r="G250" s="41" t="n"/>
      <c r="H250" s="52">
        <f>AM40</f>
        <v/>
      </c>
      <c r="I250" s="41" t="n"/>
      <c r="J250" s="41" t="n"/>
      <c r="K250" s="53">
        <f>AQ40</f>
        <v/>
      </c>
      <c r="L250" s="41" t="n"/>
      <c r="M250" s="41" t="n"/>
      <c r="N250" s="53">
        <f>BC40</f>
        <v/>
      </c>
      <c r="O250" s="41" t="n"/>
      <c r="P250" s="41" t="n"/>
      <c r="Q250" s="66">
        <f>BJ40</f>
        <v/>
      </c>
      <c r="R250" s="41" t="n"/>
      <c r="S250" s="41" t="n"/>
      <c r="T250" s="55">
        <f>AU40</f>
        <v/>
      </c>
      <c r="U250" s="41" t="n"/>
      <c r="V250" s="76">
        <f>BH40</f>
        <v/>
      </c>
      <c r="W250" s="41" t="n"/>
      <c r="X250" s="76">
        <f>BI40</f>
        <v/>
      </c>
      <c r="Y250" s="41" t="n"/>
      <c r="Z250" s="77">
        <f>BK40</f>
        <v/>
      </c>
      <c r="AA250" s="41" t="n"/>
      <c r="AB250" s="41" t="n"/>
      <c r="AC250" s="78">
        <f>BM40</f>
        <v/>
      </c>
      <c r="AD250" s="41" t="n"/>
      <c r="AE250" s="41" t="n"/>
      <c r="AF250" s="15" t="n"/>
    </row>
    <row r="251">
      <c r="B251" s="9" t="n"/>
      <c r="C251" s="57" t="n">
        <v>14</v>
      </c>
      <c r="D251" s="41" t="n"/>
      <c r="E251" s="55">
        <f>AI41</f>
        <v/>
      </c>
      <c r="F251" s="41" t="n"/>
      <c r="G251" s="41" t="n"/>
      <c r="H251" s="52">
        <f>AM41</f>
        <v/>
      </c>
      <c r="I251" s="41" t="n"/>
      <c r="J251" s="41" t="n"/>
      <c r="K251" s="53">
        <f>AQ41</f>
        <v/>
      </c>
      <c r="L251" s="41" t="n"/>
      <c r="M251" s="41" t="n"/>
      <c r="N251" s="53">
        <f>BC41</f>
        <v/>
      </c>
      <c r="O251" s="41" t="n"/>
      <c r="P251" s="41" t="n"/>
      <c r="Q251" s="66">
        <f>BJ41</f>
        <v/>
      </c>
      <c r="R251" s="41" t="n"/>
      <c r="S251" s="41" t="n"/>
      <c r="T251" s="55">
        <f>AU41</f>
        <v/>
      </c>
      <c r="U251" s="41" t="n"/>
      <c r="V251" s="76">
        <f>BH41</f>
        <v/>
      </c>
      <c r="W251" s="41" t="n"/>
      <c r="X251" s="76">
        <f>BI41</f>
        <v/>
      </c>
      <c r="Y251" s="41" t="n"/>
      <c r="Z251" s="77">
        <f>BK41</f>
        <v/>
      </c>
      <c r="AA251" s="41" t="n"/>
      <c r="AB251" s="41" t="n"/>
      <c r="AC251" s="78">
        <f>BM41</f>
        <v/>
      </c>
      <c r="AD251" s="41" t="n"/>
      <c r="AE251" s="41" t="n"/>
      <c r="AF251" s="15" t="n"/>
    </row>
    <row r="252">
      <c r="B252" s="9" t="n"/>
      <c r="C252" s="57" t="n">
        <v>15</v>
      </c>
      <c r="D252" s="41" t="n"/>
      <c r="E252" s="55">
        <f>AI42</f>
        <v/>
      </c>
      <c r="F252" s="41" t="n"/>
      <c r="G252" s="41" t="n"/>
      <c r="H252" s="52">
        <f>AM42</f>
        <v/>
      </c>
      <c r="I252" s="41" t="n"/>
      <c r="J252" s="41" t="n"/>
      <c r="K252" s="53">
        <f>AQ42</f>
        <v/>
      </c>
      <c r="L252" s="41" t="n"/>
      <c r="M252" s="41" t="n"/>
      <c r="N252" s="53">
        <f>BC42</f>
        <v/>
      </c>
      <c r="O252" s="41" t="n"/>
      <c r="P252" s="41" t="n"/>
      <c r="Q252" s="66">
        <f>BJ42</f>
        <v/>
      </c>
      <c r="R252" s="41" t="n"/>
      <c r="S252" s="41" t="n"/>
      <c r="T252" s="55">
        <f>AU42</f>
        <v/>
      </c>
      <c r="U252" s="41" t="n"/>
      <c r="V252" s="76">
        <f>BH42</f>
        <v/>
      </c>
      <c r="W252" s="41" t="n"/>
      <c r="X252" s="76">
        <f>BI42</f>
        <v/>
      </c>
      <c r="Y252" s="41" t="n"/>
      <c r="Z252" s="77">
        <f>BK42</f>
        <v/>
      </c>
      <c r="AA252" s="41" t="n"/>
      <c r="AB252" s="41" t="n"/>
      <c r="AC252" s="78">
        <f>BM42</f>
        <v/>
      </c>
      <c r="AD252" s="41" t="n"/>
      <c r="AE252" s="41" t="n"/>
      <c r="AF252" s="15" t="n"/>
    </row>
    <row r="253">
      <c r="B253" s="9" t="n"/>
      <c r="C253" s="57" t="n">
        <v>16</v>
      </c>
      <c r="D253" s="41" t="n"/>
      <c r="E253" s="55">
        <f>AI43</f>
        <v/>
      </c>
      <c r="F253" s="41" t="n"/>
      <c r="G253" s="41" t="n"/>
      <c r="H253" s="52">
        <f>AM43</f>
        <v/>
      </c>
      <c r="I253" s="41" t="n"/>
      <c r="J253" s="41" t="n"/>
      <c r="K253" s="53">
        <f>AQ43</f>
        <v/>
      </c>
      <c r="L253" s="41" t="n"/>
      <c r="M253" s="41" t="n"/>
      <c r="N253" s="53">
        <f>BC43</f>
        <v/>
      </c>
      <c r="O253" s="41" t="n"/>
      <c r="P253" s="41" t="n"/>
      <c r="Q253" s="66">
        <f>BJ43</f>
        <v/>
      </c>
      <c r="R253" s="41" t="n"/>
      <c r="S253" s="41" t="n"/>
      <c r="T253" s="55">
        <f>AU43</f>
        <v/>
      </c>
      <c r="U253" s="41" t="n"/>
      <c r="V253" s="76">
        <f>BH43</f>
        <v/>
      </c>
      <c r="W253" s="41" t="n"/>
      <c r="X253" s="76">
        <f>BI43</f>
        <v/>
      </c>
      <c r="Y253" s="41" t="n"/>
      <c r="Z253" s="77">
        <f>BK43</f>
        <v/>
      </c>
      <c r="AA253" s="41" t="n"/>
      <c r="AB253" s="41" t="n"/>
      <c r="AC253" s="78">
        <f>BM43</f>
        <v/>
      </c>
      <c r="AD253" s="41" t="n"/>
      <c r="AE253" s="41" t="n"/>
      <c r="AF253" s="15" t="n"/>
    </row>
    <row r="254">
      <c r="B254" s="9" t="n"/>
      <c r="C254" s="57" t="n">
        <v>17</v>
      </c>
      <c r="D254" s="41" t="n"/>
      <c r="E254" s="55">
        <f>AI44</f>
        <v/>
      </c>
      <c r="F254" s="41" t="n"/>
      <c r="G254" s="41" t="n"/>
      <c r="H254" s="52">
        <f>AM44</f>
        <v/>
      </c>
      <c r="I254" s="41" t="n"/>
      <c r="J254" s="41" t="n"/>
      <c r="K254" s="53">
        <f>AQ44</f>
        <v/>
      </c>
      <c r="L254" s="41" t="n"/>
      <c r="M254" s="41" t="n"/>
      <c r="N254" s="53">
        <f>BC44</f>
        <v/>
      </c>
      <c r="O254" s="41" t="n"/>
      <c r="P254" s="41" t="n"/>
      <c r="Q254" s="66">
        <f>BJ44</f>
        <v/>
      </c>
      <c r="R254" s="41" t="n"/>
      <c r="S254" s="41" t="n"/>
      <c r="T254" s="55">
        <f>AU44</f>
        <v/>
      </c>
      <c r="U254" s="41" t="n"/>
      <c r="V254" s="76">
        <f>BH44</f>
        <v/>
      </c>
      <c r="W254" s="41" t="n"/>
      <c r="X254" s="76">
        <f>BI44</f>
        <v/>
      </c>
      <c r="Y254" s="41" t="n"/>
      <c r="Z254" s="77">
        <f>BK44</f>
        <v/>
      </c>
      <c r="AA254" s="41" t="n"/>
      <c r="AB254" s="41" t="n"/>
      <c r="AC254" s="78">
        <f>BM44</f>
        <v/>
      </c>
      <c r="AD254" s="41" t="n"/>
      <c r="AE254" s="41" t="n"/>
      <c r="AF254" s="15" t="n"/>
    </row>
    <row r="255">
      <c r="B255" s="9" t="n"/>
      <c r="C255" s="57" t="n">
        <v>18</v>
      </c>
      <c r="D255" s="41" t="n"/>
      <c r="E255" s="55">
        <f>AI45</f>
        <v/>
      </c>
      <c r="F255" s="41" t="n"/>
      <c r="G255" s="41" t="n"/>
      <c r="H255" s="52">
        <f>AM45</f>
        <v/>
      </c>
      <c r="I255" s="41" t="n"/>
      <c r="J255" s="41" t="n"/>
      <c r="K255" s="53">
        <f>AQ45</f>
        <v/>
      </c>
      <c r="L255" s="41" t="n"/>
      <c r="M255" s="41" t="n"/>
      <c r="N255" s="53">
        <f>BC45</f>
        <v/>
      </c>
      <c r="O255" s="41" t="n"/>
      <c r="P255" s="41" t="n"/>
      <c r="Q255" s="66">
        <f>BJ45</f>
        <v/>
      </c>
      <c r="R255" s="41" t="n"/>
      <c r="S255" s="41" t="n"/>
      <c r="T255" s="55">
        <f>AU45</f>
        <v/>
      </c>
      <c r="U255" s="41" t="n"/>
      <c r="V255" s="76">
        <f>BH45</f>
        <v/>
      </c>
      <c r="W255" s="41" t="n"/>
      <c r="X255" s="76">
        <f>BI45</f>
        <v/>
      </c>
      <c r="Y255" s="41" t="n"/>
      <c r="Z255" s="77">
        <f>BK45</f>
        <v/>
      </c>
      <c r="AA255" s="41" t="n"/>
      <c r="AB255" s="41" t="n"/>
      <c r="AC255" s="78">
        <f>BM45</f>
        <v/>
      </c>
      <c r="AD255" s="41" t="n"/>
      <c r="AE255" s="41" t="n"/>
      <c r="AF255" s="15" t="n"/>
    </row>
    <row r="256">
      <c r="B256" s="9" t="n"/>
      <c r="C256" s="57" t="n">
        <v>19</v>
      </c>
      <c r="D256" s="41" t="n"/>
      <c r="E256" s="55">
        <f>AI46</f>
        <v/>
      </c>
      <c r="F256" s="41" t="n"/>
      <c r="G256" s="41" t="n"/>
      <c r="H256" s="52">
        <f>AM46</f>
        <v/>
      </c>
      <c r="I256" s="41" t="n"/>
      <c r="J256" s="41" t="n"/>
      <c r="K256" s="53">
        <f>AQ46</f>
        <v/>
      </c>
      <c r="L256" s="41" t="n"/>
      <c r="M256" s="41" t="n"/>
      <c r="N256" s="53">
        <f>BC46</f>
        <v/>
      </c>
      <c r="O256" s="41" t="n"/>
      <c r="P256" s="41" t="n"/>
      <c r="Q256" s="66">
        <f>BJ46</f>
        <v/>
      </c>
      <c r="R256" s="41" t="n"/>
      <c r="S256" s="41" t="n"/>
      <c r="T256" s="55">
        <f>AU46</f>
        <v/>
      </c>
      <c r="U256" s="41" t="n"/>
      <c r="V256" s="76">
        <f>BH46</f>
        <v/>
      </c>
      <c r="W256" s="41" t="n"/>
      <c r="X256" s="76">
        <f>BI46</f>
        <v/>
      </c>
      <c r="Y256" s="41" t="n"/>
      <c r="Z256" s="77">
        <f>BK46</f>
        <v/>
      </c>
      <c r="AA256" s="41" t="n"/>
      <c r="AB256" s="41" t="n"/>
      <c r="AC256" s="78">
        <f>BM46</f>
        <v/>
      </c>
      <c r="AD256" s="41" t="n"/>
      <c r="AE256" s="41" t="n"/>
      <c r="AF256" s="15" t="n"/>
    </row>
    <row r="257">
      <c r="B257" s="9" t="n"/>
      <c r="C257" s="57" t="n">
        <v>20</v>
      </c>
      <c r="D257" s="41" t="n"/>
      <c r="E257" s="55">
        <f>AI47</f>
        <v/>
      </c>
      <c r="F257" s="41" t="n"/>
      <c r="G257" s="41" t="n"/>
      <c r="H257" s="52">
        <f>AM47</f>
        <v/>
      </c>
      <c r="I257" s="41" t="n"/>
      <c r="J257" s="41" t="n"/>
      <c r="K257" s="53">
        <f>AQ47</f>
        <v/>
      </c>
      <c r="L257" s="41" t="n"/>
      <c r="M257" s="41" t="n"/>
      <c r="N257" s="53">
        <f>BC47</f>
        <v/>
      </c>
      <c r="O257" s="41" t="n"/>
      <c r="P257" s="41" t="n"/>
      <c r="Q257" s="66">
        <f>BJ47</f>
        <v/>
      </c>
      <c r="R257" s="41" t="n"/>
      <c r="S257" s="41" t="n"/>
      <c r="T257" s="55">
        <f>AU47</f>
        <v/>
      </c>
      <c r="U257" s="41" t="n"/>
      <c r="V257" s="76">
        <f>BH47</f>
        <v/>
      </c>
      <c r="W257" s="41" t="n"/>
      <c r="X257" s="76">
        <f>BI47</f>
        <v/>
      </c>
      <c r="Y257" s="41" t="n"/>
      <c r="Z257" s="77">
        <f>BK47</f>
        <v/>
      </c>
      <c r="AA257" s="41" t="n"/>
      <c r="AB257" s="41" t="n"/>
      <c r="AC257" s="78">
        <f>BM47</f>
        <v/>
      </c>
      <c r="AD257" s="41" t="n"/>
      <c r="AE257" s="41" t="n"/>
      <c r="AF257" s="15" t="n"/>
    </row>
    <row r="258">
      <c r="B258" s="9" t="n"/>
      <c r="C258" s="57" t="n">
        <v>21</v>
      </c>
      <c r="D258" s="41" t="n"/>
      <c r="E258" s="55">
        <f>AI48</f>
        <v/>
      </c>
      <c r="F258" s="41" t="n"/>
      <c r="G258" s="41" t="n"/>
      <c r="H258" s="52">
        <f>AM48</f>
        <v/>
      </c>
      <c r="I258" s="41" t="n"/>
      <c r="J258" s="41" t="n"/>
      <c r="K258" s="53">
        <f>AQ48</f>
        <v/>
      </c>
      <c r="L258" s="41" t="n"/>
      <c r="M258" s="41" t="n"/>
      <c r="N258" s="53">
        <f>BC48</f>
        <v/>
      </c>
      <c r="O258" s="41" t="n"/>
      <c r="P258" s="41" t="n"/>
      <c r="Q258" s="66">
        <f>BJ48</f>
        <v/>
      </c>
      <c r="R258" s="41" t="n"/>
      <c r="S258" s="41" t="n"/>
      <c r="T258" s="55">
        <f>AU48</f>
        <v/>
      </c>
      <c r="U258" s="41" t="n"/>
      <c r="V258" s="76">
        <f>BH48</f>
        <v/>
      </c>
      <c r="W258" s="41" t="n"/>
      <c r="X258" s="76">
        <f>BI48</f>
        <v/>
      </c>
      <c r="Y258" s="41" t="n"/>
      <c r="Z258" s="77">
        <f>BK48</f>
        <v/>
      </c>
      <c r="AA258" s="41" t="n"/>
      <c r="AB258" s="41" t="n"/>
      <c r="AC258" s="78">
        <f>BM48</f>
        <v/>
      </c>
      <c r="AD258" s="41" t="n"/>
      <c r="AE258" s="41" t="n"/>
      <c r="AF258" s="15" t="n"/>
    </row>
    <row r="259">
      <c r="B259" s="9" t="n"/>
      <c r="C259" s="57" t="n">
        <v>22</v>
      </c>
      <c r="D259" s="41" t="n"/>
      <c r="E259" s="55">
        <f>AI49</f>
        <v/>
      </c>
      <c r="F259" s="41" t="n"/>
      <c r="G259" s="41" t="n"/>
      <c r="H259" s="52">
        <f>AM49</f>
        <v/>
      </c>
      <c r="I259" s="41" t="n"/>
      <c r="J259" s="41" t="n"/>
      <c r="K259" s="53">
        <f>AQ49</f>
        <v/>
      </c>
      <c r="L259" s="41" t="n"/>
      <c r="M259" s="41" t="n"/>
      <c r="N259" s="53">
        <f>BC49</f>
        <v/>
      </c>
      <c r="O259" s="41" t="n"/>
      <c r="P259" s="41" t="n"/>
      <c r="Q259" s="66">
        <f>BJ49</f>
        <v/>
      </c>
      <c r="R259" s="41" t="n"/>
      <c r="S259" s="41" t="n"/>
      <c r="T259" s="55">
        <f>AU49</f>
        <v/>
      </c>
      <c r="U259" s="41" t="n"/>
      <c r="V259" s="76">
        <f>BH49</f>
        <v/>
      </c>
      <c r="W259" s="41" t="n"/>
      <c r="X259" s="76">
        <f>BI49</f>
        <v/>
      </c>
      <c r="Y259" s="41" t="n"/>
      <c r="Z259" s="77">
        <f>BK49</f>
        <v/>
      </c>
      <c r="AA259" s="41" t="n"/>
      <c r="AB259" s="41" t="n"/>
      <c r="AC259" s="78">
        <f>BM49</f>
        <v/>
      </c>
      <c r="AD259" s="41" t="n"/>
      <c r="AE259" s="41" t="n"/>
      <c r="AF259" s="15" t="n"/>
    </row>
    <row r="260">
      <c r="B260" s="9" t="n"/>
      <c r="C260" s="57" t="n">
        <v>23</v>
      </c>
      <c r="D260" s="41" t="n"/>
      <c r="E260" s="55">
        <f>AI50</f>
        <v/>
      </c>
      <c r="F260" s="41" t="n"/>
      <c r="G260" s="41" t="n"/>
      <c r="H260" s="52">
        <f>AM50</f>
        <v/>
      </c>
      <c r="I260" s="41" t="n"/>
      <c r="J260" s="41" t="n"/>
      <c r="K260" s="53">
        <f>AQ50</f>
        <v/>
      </c>
      <c r="L260" s="41" t="n"/>
      <c r="M260" s="41" t="n"/>
      <c r="N260" s="53">
        <f>BC50</f>
        <v/>
      </c>
      <c r="O260" s="41" t="n"/>
      <c r="P260" s="41" t="n"/>
      <c r="Q260" s="66">
        <f>BJ50</f>
        <v/>
      </c>
      <c r="R260" s="41" t="n"/>
      <c r="S260" s="41" t="n"/>
      <c r="T260" s="55">
        <f>AU50</f>
        <v/>
      </c>
      <c r="U260" s="41" t="n"/>
      <c r="V260" s="76">
        <f>BH50</f>
        <v/>
      </c>
      <c r="W260" s="41" t="n"/>
      <c r="X260" s="76">
        <f>BI50</f>
        <v/>
      </c>
      <c r="Y260" s="41" t="n"/>
      <c r="Z260" s="77">
        <f>BK50</f>
        <v/>
      </c>
      <c r="AA260" s="41" t="n"/>
      <c r="AB260" s="41" t="n"/>
      <c r="AC260" s="78">
        <f>BM50</f>
        <v/>
      </c>
      <c r="AD260" s="41" t="n"/>
      <c r="AE260" s="41" t="n"/>
      <c r="AF260" s="15" t="n"/>
    </row>
    <row r="261">
      <c r="B261" s="9" t="n"/>
      <c r="C261" s="57" t="n">
        <v>24</v>
      </c>
      <c r="D261" s="41" t="n"/>
      <c r="E261" s="55">
        <f>AI51</f>
        <v/>
      </c>
      <c r="F261" s="41" t="n"/>
      <c r="G261" s="41" t="n"/>
      <c r="H261" s="52">
        <f>AM51</f>
        <v/>
      </c>
      <c r="I261" s="41" t="n"/>
      <c r="J261" s="41" t="n"/>
      <c r="K261" s="53">
        <f>AQ51</f>
        <v/>
      </c>
      <c r="L261" s="41" t="n"/>
      <c r="M261" s="41" t="n"/>
      <c r="N261" s="53">
        <f>BC51</f>
        <v/>
      </c>
      <c r="O261" s="41" t="n"/>
      <c r="P261" s="41" t="n"/>
      <c r="Q261" s="66">
        <f>BJ51</f>
        <v/>
      </c>
      <c r="R261" s="41" t="n"/>
      <c r="S261" s="41" t="n"/>
      <c r="T261" s="55">
        <f>AU51</f>
        <v/>
      </c>
      <c r="U261" s="41" t="n"/>
      <c r="V261" s="76">
        <f>BH51</f>
        <v/>
      </c>
      <c r="W261" s="41" t="n"/>
      <c r="X261" s="76">
        <f>BI51</f>
        <v/>
      </c>
      <c r="Y261" s="41" t="n"/>
      <c r="Z261" s="77">
        <f>BK51</f>
        <v/>
      </c>
      <c r="AA261" s="41" t="n"/>
      <c r="AB261" s="41" t="n"/>
      <c r="AC261" s="78">
        <f>BM51</f>
        <v/>
      </c>
      <c r="AD261" s="41" t="n"/>
      <c r="AE261" s="41" t="n"/>
      <c r="AF261" s="15" t="n"/>
    </row>
    <row r="262">
      <c r="B262" s="9" t="n"/>
      <c r="C262" s="57" t="n">
        <v>25</v>
      </c>
      <c r="D262" s="41" t="n"/>
      <c r="E262" s="55">
        <f>AI52</f>
        <v/>
      </c>
      <c r="F262" s="41" t="n"/>
      <c r="G262" s="41" t="n"/>
      <c r="H262" s="52">
        <f>AM52</f>
        <v/>
      </c>
      <c r="I262" s="41" t="n"/>
      <c r="J262" s="41" t="n"/>
      <c r="K262" s="53">
        <f>AQ52</f>
        <v/>
      </c>
      <c r="L262" s="41" t="n"/>
      <c r="M262" s="41" t="n"/>
      <c r="N262" s="53">
        <f>BC52</f>
        <v/>
      </c>
      <c r="O262" s="41" t="n"/>
      <c r="P262" s="41" t="n"/>
      <c r="Q262" s="66">
        <f>BJ52</f>
        <v/>
      </c>
      <c r="R262" s="41" t="n"/>
      <c r="S262" s="41" t="n"/>
      <c r="T262" s="55">
        <f>AU52</f>
        <v/>
      </c>
      <c r="U262" s="41" t="n"/>
      <c r="V262" s="76">
        <f>BH52</f>
        <v/>
      </c>
      <c r="W262" s="41" t="n"/>
      <c r="X262" s="76">
        <f>BI52</f>
        <v/>
      </c>
      <c r="Y262" s="41" t="n"/>
      <c r="Z262" s="77">
        <f>BK52</f>
        <v/>
      </c>
      <c r="AA262" s="41" t="n"/>
      <c r="AB262" s="41" t="n"/>
      <c r="AC262" s="78">
        <f>BM52</f>
        <v/>
      </c>
      <c r="AD262" s="41" t="n"/>
      <c r="AE262" s="41" t="n"/>
      <c r="AF262" s="15" t="n"/>
    </row>
    <row r="263">
      <c r="B263" s="9" t="n"/>
      <c r="C263" s="57" t="n">
        <v>26</v>
      </c>
      <c r="D263" s="41" t="n"/>
      <c r="E263" s="55">
        <f>AI53</f>
        <v/>
      </c>
      <c r="F263" s="41" t="n"/>
      <c r="G263" s="41" t="n"/>
      <c r="H263" s="52">
        <f>AM53</f>
        <v/>
      </c>
      <c r="I263" s="41" t="n"/>
      <c r="J263" s="41" t="n"/>
      <c r="K263" s="53">
        <f>AQ53</f>
        <v/>
      </c>
      <c r="L263" s="41" t="n"/>
      <c r="M263" s="41" t="n"/>
      <c r="N263" s="53">
        <f>BC53</f>
        <v/>
      </c>
      <c r="O263" s="41" t="n"/>
      <c r="P263" s="41" t="n"/>
      <c r="Q263" s="66">
        <f>BJ53</f>
        <v/>
      </c>
      <c r="R263" s="41" t="n"/>
      <c r="S263" s="41" t="n"/>
      <c r="T263" s="55">
        <f>AU53</f>
        <v/>
      </c>
      <c r="U263" s="41" t="n"/>
      <c r="V263" s="76">
        <f>BH53</f>
        <v/>
      </c>
      <c r="W263" s="41" t="n"/>
      <c r="X263" s="76">
        <f>BI53</f>
        <v/>
      </c>
      <c r="Y263" s="41" t="n"/>
      <c r="Z263" s="77">
        <f>BK53</f>
        <v/>
      </c>
      <c r="AA263" s="41" t="n"/>
      <c r="AB263" s="41" t="n"/>
      <c r="AC263" s="78">
        <f>BM53</f>
        <v/>
      </c>
      <c r="AD263" s="41" t="n"/>
      <c r="AE263" s="41" t="n"/>
      <c r="AF263" s="15" t="n"/>
    </row>
    <row r="264">
      <c r="B264" s="9" t="n"/>
      <c r="C264" s="57" t="n">
        <v>27</v>
      </c>
      <c r="D264" s="41" t="n"/>
      <c r="E264" s="55">
        <f>AI54</f>
        <v/>
      </c>
      <c r="F264" s="41" t="n"/>
      <c r="G264" s="41" t="n"/>
      <c r="H264" s="52">
        <f>AM54</f>
        <v/>
      </c>
      <c r="I264" s="41" t="n"/>
      <c r="J264" s="41" t="n"/>
      <c r="K264" s="53">
        <f>AQ54</f>
        <v/>
      </c>
      <c r="L264" s="41" t="n"/>
      <c r="M264" s="41" t="n"/>
      <c r="N264" s="53">
        <f>BC54</f>
        <v/>
      </c>
      <c r="O264" s="41" t="n"/>
      <c r="P264" s="41" t="n"/>
      <c r="Q264" s="66">
        <f>BJ54</f>
        <v/>
      </c>
      <c r="R264" s="41" t="n"/>
      <c r="S264" s="41" t="n"/>
      <c r="T264" s="55">
        <f>AU54</f>
        <v/>
      </c>
      <c r="U264" s="41" t="n"/>
      <c r="V264" s="76">
        <f>BH54</f>
        <v/>
      </c>
      <c r="W264" s="41" t="n"/>
      <c r="X264" s="76">
        <f>BI54</f>
        <v/>
      </c>
      <c r="Y264" s="41" t="n"/>
      <c r="Z264" s="77">
        <f>BK54</f>
        <v/>
      </c>
      <c r="AA264" s="41" t="n"/>
      <c r="AB264" s="41" t="n"/>
      <c r="AC264" s="78">
        <f>BM54</f>
        <v/>
      </c>
      <c r="AD264" s="41" t="n"/>
      <c r="AE264" s="41" t="n"/>
      <c r="AF264" s="15" t="n"/>
    </row>
    <row r="265">
      <c r="B265" s="9" t="n"/>
      <c r="C265" s="57" t="n">
        <v>28</v>
      </c>
      <c r="D265" s="41" t="n"/>
      <c r="E265" s="55">
        <f>AI55</f>
        <v/>
      </c>
      <c r="F265" s="41" t="n"/>
      <c r="G265" s="41" t="n"/>
      <c r="H265" s="52">
        <f>AM55</f>
        <v/>
      </c>
      <c r="I265" s="41" t="n"/>
      <c r="J265" s="41" t="n"/>
      <c r="K265" s="53">
        <f>AQ55</f>
        <v/>
      </c>
      <c r="L265" s="41" t="n"/>
      <c r="M265" s="41" t="n"/>
      <c r="N265" s="53">
        <f>BC55</f>
        <v/>
      </c>
      <c r="O265" s="41" t="n"/>
      <c r="P265" s="41" t="n"/>
      <c r="Q265" s="66">
        <f>BJ55</f>
        <v/>
      </c>
      <c r="R265" s="41" t="n"/>
      <c r="S265" s="41" t="n"/>
      <c r="T265" s="55">
        <f>AU55</f>
        <v/>
      </c>
      <c r="U265" s="41" t="n"/>
      <c r="V265" s="76">
        <f>BH55</f>
        <v/>
      </c>
      <c r="W265" s="41" t="n"/>
      <c r="X265" s="76">
        <f>BI55</f>
        <v/>
      </c>
      <c r="Y265" s="41" t="n"/>
      <c r="Z265" s="77">
        <f>BK55</f>
        <v/>
      </c>
      <c r="AA265" s="41" t="n"/>
      <c r="AB265" s="41" t="n"/>
      <c r="AC265" s="78">
        <f>BM55</f>
        <v/>
      </c>
      <c r="AD265" s="41" t="n"/>
      <c r="AE265" s="41" t="n"/>
      <c r="AF265" s="15" t="n"/>
    </row>
    <row r="266">
      <c r="B266" s="9" t="n"/>
      <c r="C266" s="57" t="n">
        <v>29</v>
      </c>
      <c r="D266" s="41" t="n"/>
      <c r="E266" s="55">
        <f>AI56</f>
        <v/>
      </c>
      <c r="F266" s="41" t="n"/>
      <c r="G266" s="41" t="n"/>
      <c r="H266" s="52">
        <f>AM56</f>
        <v/>
      </c>
      <c r="I266" s="41" t="n"/>
      <c r="J266" s="41" t="n"/>
      <c r="K266" s="53">
        <f>AQ56</f>
        <v/>
      </c>
      <c r="L266" s="41" t="n"/>
      <c r="M266" s="41" t="n"/>
      <c r="N266" s="53">
        <f>BC56</f>
        <v/>
      </c>
      <c r="O266" s="41" t="n"/>
      <c r="P266" s="41" t="n"/>
      <c r="Q266" s="66">
        <f>BJ56</f>
        <v/>
      </c>
      <c r="R266" s="41" t="n"/>
      <c r="S266" s="41" t="n"/>
      <c r="T266" s="55">
        <f>AU56</f>
        <v/>
      </c>
      <c r="U266" s="41" t="n"/>
      <c r="V266" s="76">
        <f>BH56</f>
        <v/>
      </c>
      <c r="W266" s="41" t="n"/>
      <c r="X266" s="76">
        <f>BI56</f>
        <v/>
      </c>
      <c r="Y266" s="41" t="n"/>
      <c r="Z266" s="77">
        <f>BK56</f>
        <v/>
      </c>
      <c r="AA266" s="41" t="n"/>
      <c r="AB266" s="41" t="n"/>
      <c r="AC266" s="78">
        <f>BM56</f>
        <v/>
      </c>
      <c r="AD266" s="41" t="n"/>
      <c r="AE266" s="41" t="n"/>
      <c r="AF266" s="15" t="n"/>
    </row>
    <row r="267">
      <c r="B267" s="9" t="n"/>
      <c r="C267" s="57" t="n">
        <v>30</v>
      </c>
      <c r="D267" s="41" t="n"/>
      <c r="E267" s="55">
        <f>AI57</f>
        <v/>
      </c>
      <c r="F267" s="41" t="n"/>
      <c r="G267" s="41" t="n"/>
      <c r="H267" s="52">
        <f>AM57</f>
        <v/>
      </c>
      <c r="I267" s="41" t="n"/>
      <c r="J267" s="41" t="n"/>
      <c r="K267" s="53">
        <f>AQ57</f>
        <v/>
      </c>
      <c r="L267" s="41" t="n"/>
      <c r="M267" s="41" t="n"/>
      <c r="N267" s="53">
        <f>BC57</f>
        <v/>
      </c>
      <c r="O267" s="41" t="n"/>
      <c r="P267" s="41" t="n"/>
      <c r="Q267" s="66">
        <f>BJ57</f>
        <v/>
      </c>
      <c r="R267" s="41" t="n"/>
      <c r="S267" s="41" t="n"/>
      <c r="T267" s="55">
        <f>AU57</f>
        <v/>
      </c>
      <c r="U267" s="41" t="n"/>
      <c r="V267" s="76">
        <f>BH57</f>
        <v/>
      </c>
      <c r="W267" s="41" t="n"/>
      <c r="X267" s="76">
        <f>BI57</f>
        <v/>
      </c>
      <c r="Y267" s="41" t="n"/>
      <c r="Z267" s="77">
        <f>BK57</f>
        <v/>
      </c>
      <c r="AA267" s="41" t="n"/>
      <c r="AB267" s="41" t="n"/>
      <c r="AC267" s="78">
        <f>BM57</f>
        <v/>
      </c>
      <c r="AD267" s="41" t="n"/>
      <c r="AE267" s="41" t="n"/>
      <c r="AF267" s="15" t="n"/>
    </row>
    <row r="268">
      <c r="B268" s="9" t="n"/>
      <c r="C268" s="57" t="n">
        <v>31</v>
      </c>
      <c r="D268" s="41" t="n"/>
      <c r="E268" s="55">
        <f>AI58</f>
        <v/>
      </c>
      <c r="F268" s="41" t="n"/>
      <c r="G268" s="41" t="n"/>
      <c r="H268" s="52">
        <f>AM58</f>
        <v/>
      </c>
      <c r="I268" s="41" t="n"/>
      <c r="J268" s="41" t="n"/>
      <c r="K268" s="53">
        <f>AQ58</f>
        <v/>
      </c>
      <c r="L268" s="41" t="n"/>
      <c r="M268" s="41" t="n"/>
      <c r="N268" s="53">
        <f>BC58</f>
        <v/>
      </c>
      <c r="O268" s="41" t="n"/>
      <c r="P268" s="41" t="n"/>
      <c r="Q268" s="66">
        <f>BJ58</f>
        <v/>
      </c>
      <c r="R268" s="41" t="n"/>
      <c r="S268" s="41" t="n"/>
      <c r="T268" s="55">
        <f>AU58</f>
        <v/>
      </c>
      <c r="U268" s="41" t="n"/>
      <c r="V268" s="76">
        <f>BH58</f>
        <v/>
      </c>
      <c r="W268" s="41" t="n"/>
      <c r="X268" s="76">
        <f>BI58</f>
        <v/>
      </c>
      <c r="Y268" s="41" t="n"/>
      <c r="Z268" s="77">
        <f>BK58</f>
        <v/>
      </c>
      <c r="AA268" s="41" t="n"/>
      <c r="AB268" s="41" t="n"/>
      <c r="AC268" s="78">
        <f>BM58</f>
        <v/>
      </c>
      <c r="AD268" s="41" t="n"/>
      <c r="AE268" s="41" t="n"/>
      <c r="AF268" s="15" t="n"/>
    </row>
    <row r="269">
      <c r="B269" s="9" t="n"/>
      <c r="C269" s="57" t="n">
        <v>32</v>
      </c>
      <c r="D269" s="41" t="n"/>
      <c r="E269" s="55">
        <f>AI59</f>
        <v/>
      </c>
      <c r="F269" s="41" t="n"/>
      <c r="G269" s="41" t="n"/>
      <c r="H269" s="52">
        <f>AM59</f>
        <v/>
      </c>
      <c r="I269" s="41" t="n"/>
      <c r="J269" s="41" t="n"/>
      <c r="K269" s="53">
        <f>AQ59</f>
        <v/>
      </c>
      <c r="L269" s="41" t="n"/>
      <c r="M269" s="41" t="n"/>
      <c r="N269" s="53">
        <f>BC59</f>
        <v/>
      </c>
      <c r="O269" s="41" t="n"/>
      <c r="P269" s="41" t="n"/>
      <c r="Q269" s="66">
        <f>BJ59</f>
        <v/>
      </c>
      <c r="R269" s="41" t="n"/>
      <c r="S269" s="41" t="n"/>
      <c r="T269" s="55">
        <f>AU59</f>
        <v/>
      </c>
      <c r="U269" s="41" t="n"/>
      <c r="V269" s="76">
        <f>BH59</f>
        <v/>
      </c>
      <c r="W269" s="41" t="n"/>
      <c r="X269" s="76">
        <f>BI59</f>
        <v/>
      </c>
      <c r="Y269" s="41" t="n"/>
      <c r="Z269" s="77">
        <f>BK59</f>
        <v/>
      </c>
      <c r="AA269" s="41" t="n"/>
      <c r="AB269" s="41" t="n"/>
      <c r="AC269" s="78">
        <f>BM59</f>
        <v/>
      </c>
      <c r="AD269" s="41" t="n"/>
      <c r="AE269" s="41" t="n"/>
      <c r="AF269" s="15" t="n"/>
    </row>
    <row r="270">
      <c r="B270" s="9" t="n"/>
      <c r="C270" s="57" t="n">
        <v>33</v>
      </c>
      <c r="D270" s="41" t="n"/>
      <c r="E270" s="55">
        <f>AI60</f>
        <v/>
      </c>
      <c r="F270" s="41" t="n"/>
      <c r="G270" s="41" t="n"/>
      <c r="H270" s="52">
        <f>AM60</f>
        <v/>
      </c>
      <c r="I270" s="41" t="n"/>
      <c r="J270" s="41" t="n"/>
      <c r="K270" s="53">
        <f>AQ60</f>
        <v/>
      </c>
      <c r="L270" s="41" t="n"/>
      <c r="M270" s="41" t="n"/>
      <c r="N270" s="53">
        <f>BC60</f>
        <v/>
      </c>
      <c r="O270" s="41" t="n"/>
      <c r="P270" s="41" t="n"/>
      <c r="Q270" s="66">
        <f>BJ60</f>
        <v/>
      </c>
      <c r="R270" s="41" t="n"/>
      <c r="S270" s="41" t="n"/>
      <c r="T270" s="55">
        <f>AU60</f>
        <v/>
      </c>
      <c r="U270" s="41" t="n"/>
      <c r="V270" s="76">
        <f>BH60</f>
        <v/>
      </c>
      <c r="W270" s="41" t="n"/>
      <c r="X270" s="76">
        <f>BI60</f>
        <v/>
      </c>
      <c r="Y270" s="41" t="n"/>
      <c r="Z270" s="77">
        <f>BK60</f>
        <v/>
      </c>
      <c r="AA270" s="41" t="n"/>
      <c r="AB270" s="41" t="n"/>
      <c r="AC270" s="78">
        <f>BM60</f>
        <v/>
      </c>
      <c r="AD270" s="41" t="n"/>
      <c r="AE270" s="41" t="n"/>
      <c r="AF270" s="15" t="n"/>
    </row>
    <row r="271">
      <c r="B271" s="9" t="n"/>
      <c r="C271" s="57" t="n">
        <v>34</v>
      </c>
      <c r="D271" s="41" t="n"/>
      <c r="E271" s="55">
        <f>AI61</f>
        <v/>
      </c>
      <c r="F271" s="41" t="n"/>
      <c r="G271" s="41" t="n"/>
      <c r="H271" s="52">
        <f>AM61</f>
        <v/>
      </c>
      <c r="I271" s="41" t="n"/>
      <c r="J271" s="41" t="n"/>
      <c r="K271" s="53">
        <f>AQ61</f>
        <v/>
      </c>
      <c r="L271" s="41" t="n"/>
      <c r="M271" s="41" t="n"/>
      <c r="N271" s="53">
        <f>BC61</f>
        <v/>
      </c>
      <c r="O271" s="41" t="n"/>
      <c r="P271" s="41" t="n"/>
      <c r="Q271" s="66">
        <f>BJ61</f>
        <v/>
      </c>
      <c r="R271" s="41" t="n"/>
      <c r="S271" s="41" t="n"/>
      <c r="T271" s="55">
        <f>AU61</f>
        <v/>
      </c>
      <c r="U271" s="41" t="n"/>
      <c r="V271" s="76">
        <f>BH61</f>
        <v/>
      </c>
      <c r="W271" s="41" t="n"/>
      <c r="X271" s="76">
        <f>BI61</f>
        <v/>
      </c>
      <c r="Y271" s="41" t="n"/>
      <c r="Z271" s="77">
        <f>BK61</f>
        <v/>
      </c>
      <c r="AA271" s="41" t="n"/>
      <c r="AB271" s="41" t="n"/>
      <c r="AC271" s="78">
        <f>BM61</f>
        <v/>
      </c>
      <c r="AD271" s="41" t="n"/>
      <c r="AE271" s="41" t="n"/>
      <c r="AF271" s="15" t="n"/>
    </row>
    <row r="272">
      <c r="B272" s="9" t="n"/>
      <c r="C272" s="57" t="n">
        <v>35</v>
      </c>
      <c r="D272" s="41" t="n"/>
      <c r="E272" s="55">
        <f>AI62</f>
        <v/>
      </c>
      <c r="F272" s="41" t="n"/>
      <c r="G272" s="41" t="n"/>
      <c r="H272" s="52">
        <f>AM62</f>
        <v/>
      </c>
      <c r="I272" s="41" t="n"/>
      <c r="J272" s="41" t="n"/>
      <c r="K272" s="53">
        <f>AQ62</f>
        <v/>
      </c>
      <c r="L272" s="41" t="n"/>
      <c r="M272" s="41" t="n"/>
      <c r="N272" s="53">
        <f>BC62</f>
        <v/>
      </c>
      <c r="O272" s="41" t="n"/>
      <c r="P272" s="41" t="n"/>
      <c r="Q272" s="66">
        <f>BJ62</f>
        <v/>
      </c>
      <c r="R272" s="41" t="n"/>
      <c r="S272" s="41" t="n"/>
      <c r="T272" s="55">
        <f>AU62</f>
        <v/>
      </c>
      <c r="U272" s="41" t="n"/>
      <c r="V272" s="76">
        <f>BH62</f>
        <v/>
      </c>
      <c r="W272" s="41" t="n"/>
      <c r="X272" s="76">
        <f>BI62</f>
        <v/>
      </c>
      <c r="Y272" s="41" t="n"/>
      <c r="Z272" s="77">
        <f>BK62</f>
        <v/>
      </c>
      <c r="AA272" s="41" t="n"/>
      <c r="AB272" s="41" t="n"/>
      <c r="AC272" s="78">
        <f>BM62</f>
        <v/>
      </c>
      <c r="AD272" s="41" t="n"/>
      <c r="AE272" s="41" t="n"/>
      <c r="AF272" s="15" t="n"/>
    </row>
    <row r="273">
      <c r="B273" s="9" t="n"/>
      <c r="C273" s="57" t="n">
        <v>36</v>
      </c>
      <c r="D273" s="41" t="n"/>
      <c r="E273" s="55">
        <f>AI63</f>
        <v/>
      </c>
      <c r="F273" s="41" t="n"/>
      <c r="G273" s="41" t="n"/>
      <c r="H273" s="52">
        <f>AM63</f>
        <v/>
      </c>
      <c r="I273" s="41" t="n"/>
      <c r="J273" s="41" t="n"/>
      <c r="K273" s="53">
        <f>AQ63</f>
        <v/>
      </c>
      <c r="L273" s="41" t="n"/>
      <c r="M273" s="41" t="n"/>
      <c r="N273" s="53">
        <f>BC63</f>
        <v/>
      </c>
      <c r="O273" s="41" t="n"/>
      <c r="P273" s="41" t="n"/>
      <c r="Q273" s="66">
        <f>BJ63</f>
        <v/>
      </c>
      <c r="R273" s="41" t="n"/>
      <c r="S273" s="41" t="n"/>
      <c r="T273" s="55">
        <f>AU63</f>
        <v/>
      </c>
      <c r="U273" s="41" t="n"/>
      <c r="V273" s="76">
        <f>BH63</f>
        <v/>
      </c>
      <c r="W273" s="41" t="n"/>
      <c r="X273" s="76">
        <f>BI63</f>
        <v/>
      </c>
      <c r="Y273" s="41" t="n"/>
      <c r="Z273" s="77">
        <f>BK63</f>
        <v/>
      </c>
      <c r="AA273" s="41" t="n"/>
      <c r="AB273" s="41" t="n"/>
      <c r="AC273" s="78">
        <f>BM63</f>
        <v/>
      </c>
      <c r="AD273" s="41" t="n"/>
      <c r="AE273" s="41" t="n"/>
      <c r="AF273" s="15" t="n"/>
    </row>
    <row r="274">
      <c r="B274" s="9" t="n"/>
      <c r="C274" s="57" t="n">
        <v>37</v>
      </c>
      <c r="D274" s="41" t="n"/>
      <c r="E274" s="55">
        <f>AI64</f>
        <v/>
      </c>
      <c r="F274" s="41" t="n"/>
      <c r="G274" s="41" t="n"/>
      <c r="H274" s="52">
        <f>AM64</f>
        <v/>
      </c>
      <c r="I274" s="41" t="n"/>
      <c r="J274" s="41" t="n"/>
      <c r="K274" s="53">
        <f>AQ64</f>
        <v/>
      </c>
      <c r="L274" s="41" t="n"/>
      <c r="M274" s="41" t="n"/>
      <c r="N274" s="53">
        <f>BC64</f>
        <v/>
      </c>
      <c r="O274" s="41" t="n"/>
      <c r="P274" s="41" t="n"/>
      <c r="Q274" s="66">
        <f>BJ64</f>
        <v/>
      </c>
      <c r="R274" s="41" t="n"/>
      <c r="S274" s="41" t="n"/>
      <c r="T274" s="55">
        <f>AU64</f>
        <v/>
      </c>
      <c r="U274" s="41" t="n"/>
      <c r="V274" s="76">
        <f>BH64</f>
        <v/>
      </c>
      <c r="W274" s="41" t="n"/>
      <c r="X274" s="76">
        <f>BI64</f>
        <v/>
      </c>
      <c r="Y274" s="41" t="n"/>
      <c r="Z274" s="77">
        <f>BK64</f>
        <v/>
      </c>
      <c r="AA274" s="41" t="n"/>
      <c r="AB274" s="41" t="n"/>
      <c r="AC274" s="78">
        <f>BM64</f>
        <v/>
      </c>
      <c r="AD274" s="41" t="n"/>
      <c r="AE274" s="41" t="n"/>
      <c r="AF274" s="15" t="n"/>
    </row>
    <row r="275">
      <c r="B275" s="9" t="n"/>
      <c r="C275" s="57" t="n">
        <v>38</v>
      </c>
      <c r="D275" s="41" t="n"/>
      <c r="E275" s="55">
        <f>AI65</f>
        <v/>
      </c>
      <c r="F275" s="41" t="n"/>
      <c r="G275" s="41" t="n"/>
      <c r="H275" s="52">
        <f>AM65</f>
        <v/>
      </c>
      <c r="I275" s="41" t="n"/>
      <c r="J275" s="41" t="n"/>
      <c r="K275" s="53">
        <f>AQ65</f>
        <v/>
      </c>
      <c r="L275" s="41" t="n"/>
      <c r="M275" s="41" t="n"/>
      <c r="N275" s="53">
        <f>BC65</f>
        <v/>
      </c>
      <c r="O275" s="41" t="n"/>
      <c r="P275" s="41" t="n"/>
      <c r="Q275" s="66">
        <f>BJ65</f>
        <v/>
      </c>
      <c r="R275" s="41" t="n"/>
      <c r="S275" s="41" t="n"/>
      <c r="T275" s="55">
        <f>AU65</f>
        <v/>
      </c>
      <c r="U275" s="41" t="n"/>
      <c r="V275" s="76">
        <f>BH65</f>
        <v/>
      </c>
      <c r="W275" s="41" t="n"/>
      <c r="X275" s="76">
        <f>BI65</f>
        <v/>
      </c>
      <c r="Y275" s="41" t="n"/>
      <c r="Z275" s="77">
        <f>BK65</f>
        <v/>
      </c>
      <c r="AA275" s="41" t="n"/>
      <c r="AB275" s="41" t="n"/>
      <c r="AC275" s="78">
        <f>BM65</f>
        <v/>
      </c>
      <c r="AD275" s="41" t="n"/>
      <c r="AE275" s="41" t="n"/>
      <c r="AF275" s="15" t="n"/>
    </row>
    <row r="276">
      <c r="B276" s="9" t="n"/>
      <c r="C276" s="57" t="n">
        <v>39</v>
      </c>
      <c r="D276" s="41" t="n"/>
      <c r="E276" s="55">
        <f>AI66</f>
        <v/>
      </c>
      <c r="F276" s="41" t="n"/>
      <c r="G276" s="41" t="n"/>
      <c r="H276" s="52">
        <f>AM66</f>
        <v/>
      </c>
      <c r="I276" s="41" t="n"/>
      <c r="J276" s="41" t="n"/>
      <c r="K276" s="53">
        <f>AQ66</f>
        <v/>
      </c>
      <c r="L276" s="41" t="n"/>
      <c r="M276" s="41" t="n"/>
      <c r="N276" s="53">
        <f>BC66</f>
        <v/>
      </c>
      <c r="O276" s="41" t="n"/>
      <c r="P276" s="41" t="n"/>
      <c r="Q276" s="66">
        <f>BJ66</f>
        <v/>
      </c>
      <c r="R276" s="41" t="n"/>
      <c r="S276" s="41" t="n"/>
      <c r="T276" s="55">
        <f>AU66</f>
        <v/>
      </c>
      <c r="U276" s="41" t="n"/>
      <c r="V276" s="76">
        <f>BH66</f>
        <v/>
      </c>
      <c r="W276" s="41" t="n"/>
      <c r="X276" s="76">
        <f>BI66</f>
        <v/>
      </c>
      <c r="Y276" s="41" t="n"/>
      <c r="Z276" s="77">
        <f>BK66</f>
        <v/>
      </c>
      <c r="AA276" s="41" t="n"/>
      <c r="AB276" s="41" t="n"/>
      <c r="AC276" s="78">
        <f>BM66</f>
        <v/>
      </c>
      <c r="AD276" s="41" t="n"/>
      <c r="AE276" s="41" t="n"/>
      <c r="AF276" s="15" t="n"/>
    </row>
    <row r="277">
      <c r="B277" s="9" t="n"/>
      <c r="C277" s="57" t="n">
        <v>40</v>
      </c>
      <c r="D277" s="41" t="n"/>
      <c r="E277" s="55">
        <f>AI67</f>
        <v/>
      </c>
      <c r="F277" s="41" t="n"/>
      <c r="G277" s="41" t="n"/>
      <c r="H277" s="52">
        <f>AM67</f>
        <v/>
      </c>
      <c r="I277" s="41" t="n"/>
      <c r="J277" s="41" t="n"/>
      <c r="K277" s="53">
        <f>AQ67</f>
        <v/>
      </c>
      <c r="L277" s="41" t="n"/>
      <c r="M277" s="41" t="n"/>
      <c r="N277" s="53">
        <f>BC67</f>
        <v/>
      </c>
      <c r="O277" s="41" t="n"/>
      <c r="P277" s="41" t="n"/>
      <c r="Q277" s="66">
        <f>BJ67</f>
        <v/>
      </c>
      <c r="R277" s="41" t="n"/>
      <c r="S277" s="41" t="n"/>
      <c r="T277" s="55">
        <f>AU67</f>
        <v/>
      </c>
      <c r="U277" s="41" t="n"/>
      <c r="V277" s="76">
        <f>BH67</f>
        <v/>
      </c>
      <c r="W277" s="41" t="n"/>
      <c r="X277" s="76">
        <f>BI67</f>
        <v/>
      </c>
      <c r="Y277" s="41" t="n"/>
      <c r="Z277" s="77">
        <f>BK67</f>
        <v/>
      </c>
      <c r="AA277" s="41" t="n"/>
      <c r="AB277" s="41" t="n"/>
      <c r="AC277" s="78">
        <f>BM67</f>
        <v/>
      </c>
      <c r="AD277" s="41" t="n"/>
      <c r="AE277" s="41" t="n"/>
      <c r="AF277" s="15" t="n"/>
    </row>
    <row r="278">
      <c r="B278" s="9" t="n"/>
      <c r="C278" s="69" t="n">
        <v>41</v>
      </c>
      <c r="D278" s="46" t="n"/>
      <c r="E278" s="70">
        <f>AI68</f>
        <v/>
      </c>
      <c r="F278" s="46" t="n"/>
      <c r="G278" s="46" t="n"/>
      <c r="H278" s="59">
        <f>AM68</f>
        <v/>
      </c>
      <c r="I278" s="46" t="n"/>
      <c r="J278" s="46" t="n"/>
      <c r="K278" s="60">
        <f>AQ68</f>
        <v/>
      </c>
      <c r="L278" s="46" t="n"/>
      <c r="M278" s="46" t="n"/>
      <c r="N278" s="60">
        <f>BC68</f>
        <v/>
      </c>
      <c r="O278" s="46" t="n"/>
      <c r="P278" s="46" t="n"/>
      <c r="Q278" s="71">
        <f>BJ68</f>
        <v/>
      </c>
      <c r="R278" s="46" t="n"/>
      <c r="S278" s="46" t="n"/>
      <c r="T278" s="70">
        <f>AU68</f>
        <v/>
      </c>
      <c r="U278" s="46" t="n"/>
      <c r="V278" s="79">
        <f>BH68</f>
        <v/>
      </c>
      <c r="W278" s="46" t="n"/>
      <c r="X278" s="79">
        <f>BI68</f>
        <v/>
      </c>
      <c r="Y278" s="46" t="n"/>
      <c r="Z278" s="80">
        <f>BK68</f>
        <v/>
      </c>
      <c r="AA278" s="46" t="n"/>
      <c r="AB278" s="46" t="n"/>
      <c r="AC278" s="81">
        <f>BM68</f>
        <v/>
      </c>
      <c r="AD278" s="46" t="n"/>
      <c r="AE278" s="46" t="n"/>
      <c r="AF278" s="15" t="n"/>
    </row>
    <row r="279">
      <c r="B279" s="9" t="n"/>
      <c r="AF279" s="15" t="n"/>
    </row>
    <row r="280">
      <c r="B280" s="9" t="n"/>
      <c r="C280" s="25" t="inlineStr">
        <is>
          <t>Total consolidation settlement</t>
        </is>
      </c>
      <c r="O280" s="26" t="inlineStr">
        <is>
          <t>Sc = Σ Sc</t>
        </is>
      </c>
      <c r="X280" s="27" t="inlineStr">
        <is>
          <t>Sc =</t>
        </is>
      </c>
      <c r="Y280" s="13" t="n"/>
      <c r="Z280" s="13" t="n"/>
      <c r="AA280" s="30">
        <f>SUM(BK28:BK68)</f>
        <v/>
      </c>
      <c r="AB280" s="13" t="n"/>
      <c r="AC280" s="13" t="n"/>
      <c r="AD280" s="25" t="inlineStr">
        <is>
          <t>mm</t>
        </is>
      </c>
      <c r="AF280" s="15" t="n"/>
    </row>
    <row r="281">
      <c r="B281" s="9" t="n"/>
      <c r="C281" s="25" t="inlineStr">
        <is>
          <t>Time for 90 % consolidation (slowest layer)</t>
        </is>
      </c>
      <c r="O281" s="26" t="inlineStr">
        <is>
          <t>t90 = max</t>
        </is>
      </c>
      <c r="X281" s="27" t="inlineStr">
        <is>
          <t>t90 =</t>
        </is>
      </c>
      <c r="Y281" s="13" t="n"/>
      <c r="Z281" s="13" t="n"/>
      <c r="AA281" s="61">
        <f>MAX(BM28:BM68)</f>
        <v/>
      </c>
      <c r="AB281" s="13" t="n"/>
      <c r="AC281" s="13" t="n"/>
      <c r="AD281" s="25" t="inlineStr">
        <is>
          <t>year</t>
        </is>
      </c>
      <c r="AF281" s="15" t="n"/>
    </row>
    <row r="282">
      <c r="B282" s="9" t="n"/>
      <c r="AF282" s="15" t="n"/>
    </row>
    <row r="283">
      <c r="B283" s="9" t="n"/>
      <c r="AF283" s="15" t="n"/>
    </row>
    <row r="284">
      <c r="B284" s="9" t="n"/>
      <c r="AF284" s="15" t="n"/>
    </row>
    <row r="285">
      <c r="B285" s="9" t="n"/>
      <c r="AF285" s="15" t="n"/>
    </row>
    <row r="286">
      <c r="B286" s="9" t="n"/>
      <c r="AF286" s="15" t="n"/>
    </row>
    <row r="287">
      <c r="B287" s="9" t="n"/>
      <c r="AF287" s="15" t="n"/>
    </row>
    <row r="288">
      <c r="B288" s="9" t="n"/>
      <c r="AF288" s="15" t="n"/>
    </row>
    <row r="289">
      <c r="B289" s="47" t="n"/>
      <c r="C289" s="48" t="n"/>
      <c r="D289" s="48" t="n"/>
      <c r="E289" s="48" t="n"/>
      <c r="F289" s="48" t="n"/>
      <c r="G289" s="48" t="n"/>
      <c r="H289" s="48" t="n"/>
      <c r="I289" s="48" t="n"/>
      <c r="J289" s="48" t="n"/>
      <c r="K289" s="48" t="n"/>
      <c r="L289" s="48" t="n"/>
      <c r="M289" s="48" t="n"/>
      <c r="N289" s="48" t="n"/>
      <c r="O289" s="48" t="n"/>
      <c r="P289" s="48" t="n"/>
      <c r="Q289" s="48" t="n"/>
      <c r="R289" s="48" t="n"/>
      <c r="S289" s="48" t="n"/>
      <c r="T289" s="48" t="n"/>
      <c r="U289" s="48" t="n"/>
      <c r="V289" s="48" t="n"/>
      <c r="W289" s="48" t="n"/>
      <c r="X289" s="49" t="inlineStr">
        <is>
          <t>Sheet :</t>
        </is>
      </c>
      <c r="Y289" s="48" t="n"/>
      <c r="Z289" s="48" t="n"/>
      <c r="AA289" s="48" t="n"/>
      <c r="AB289" s="49" t="n">
        <v>4</v>
      </c>
      <c r="AC289" s="48" t="n"/>
      <c r="AD289" s="48" t="n"/>
      <c r="AE289" s="48" t="n"/>
      <c r="AF289" s="50" t="n"/>
    </row>
    <row r="290">
      <c r="B290" s="1" t="n"/>
      <c r="C290" s="2" t="inlineStr">
        <is>
          <t>PROJECT :</t>
        </is>
      </c>
      <c r="D290" s="3" t="n"/>
      <c r="E290" s="3" t="n"/>
      <c r="F290" s="3" t="n"/>
      <c r="G290" s="3" t="n"/>
      <c r="H290" s="4" t="inlineStr">
        <is>
          <t>GEOTHERMAL WELLPAD PSPE BORA PULU - SIGI, CENTRAL SULAWESI</t>
        </is>
      </c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5" t="inlineStr">
        <is>
          <t>Prepared by :</t>
        </is>
      </c>
      <c r="Y290" s="6" t="n"/>
      <c r="Z290" s="6" t="n"/>
      <c r="AA290" s="6" t="n"/>
      <c r="AB290" s="7" t="inlineStr">
        <is>
          <t>Date</t>
        </is>
      </c>
      <c r="AC290" s="6" t="n"/>
      <c r="AD290" s="6" t="n"/>
      <c r="AE290" s="6" t="n"/>
      <c r="AF290" s="8" t="n"/>
    </row>
    <row r="291">
      <c r="B291" s="9" t="n"/>
      <c r="C291" s="10" t="inlineStr">
        <is>
          <t>CLIENT :</t>
        </is>
      </c>
      <c r="H291" s="11" t="inlineStr">
        <is>
          <t>PT EDC PANAS BUMI INDONESIA</t>
        </is>
      </c>
      <c r="X291" s="12" t="inlineStr">
        <is>
          <t>DF</t>
        </is>
      </c>
      <c r="Y291" s="13" t="n"/>
      <c r="Z291" s="13" t="n"/>
      <c r="AA291" s="13" t="n"/>
      <c r="AB291" s="14" t="n">
        <v>46301</v>
      </c>
      <c r="AC291" s="13" t="n"/>
      <c r="AD291" s="13" t="n"/>
      <c r="AE291" s="13" t="n"/>
      <c r="AF291" s="15" t="n"/>
    </row>
    <row r="292">
      <c r="B292" s="9" t="n"/>
      <c r="C292" s="10" t="inlineStr">
        <is>
          <t>LOCATION :</t>
        </is>
      </c>
      <c r="H292" s="11" t="inlineStr">
        <is>
          <t>BH-04 (Wellpad D)</t>
        </is>
      </c>
      <c r="X292" s="12" t="inlineStr">
        <is>
          <t>Verified by :</t>
        </is>
      </c>
      <c r="Y292" s="13" t="n"/>
      <c r="Z292" s="13" t="n"/>
      <c r="AA292" s="13" t="n"/>
      <c r="AB292" s="14" t="inlineStr">
        <is>
          <t>Date</t>
        </is>
      </c>
      <c r="AC292" s="13" t="n"/>
      <c r="AD292" s="13" t="n"/>
      <c r="AE292" s="13" t="n"/>
      <c r="AF292" s="15" t="n"/>
    </row>
    <row r="293">
      <c r="B293" s="16" t="n"/>
      <c r="C293" s="17" t="inlineStr">
        <is>
          <t>SHEET :</t>
        </is>
      </c>
      <c r="D293" s="18" t="n"/>
      <c r="E293" s="18" t="n"/>
      <c r="F293" s="18" t="n"/>
      <c r="G293" s="18" t="n"/>
      <c r="H293" s="19" t="inlineStr">
        <is>
          <t>BEARING CAPACITY AND SETTLEMENT OF SUBGRADE</t>
        </is>
      </c>
      <c r="I293" s="18" t="n"/>
      <c r="J293" s="18" t="n"/>
      <c r="K293" s="18" t="n"/>
      <c r="L293" s="18" t="n"/>
      <c r="M293" s="18" t="n"/>
      <c r="N293" s="18" t="n"/>
      <c r="O293" s="18" t="n"/>
      <c r="P293" s="18" t="n"/>
      <c r="Q293" s="18" t="n"/>
      <c r="R293" s="18" t="n"/>
      <c r="S293" s="18" t="n"/>
      <c r="T293" s="18" t="n"/>
      <c r="U293" s="18" t="n"/>
      <c r="V293" s="18" t="n"/>
      <c r="W293" s="18" t="n"/>
      <c r="X293" s="20" t="inlineStr">
        <is>
          <t>BC</t>
        </is>
      </c>
      <c r="Y293" s="21" t="n"/>
      <c r="Z293" s="21" t="n"/>
      <c r="AA293" s="21" t="n"/>
      <c r="AB293" s="22" t="n">
        <v>46301</v>
      </c>
      <c r="AC293" s="21" t="n"/>
      <c r="AD293" s="21" t="n"/>
      <c r="AE293" s="21" t="n"/>
      <c r="AF293" s="23" t="n"/>
    </row>
    <row r="294">
      <c r="B294" s="9" t="n"/>
      <c r="AF294" s="15" t="n"/>
    </row>
    <row r="295">
      <c r="B295" s="9" t="n"/>
      <c r="C295" s="11" t="inlineStr">
        <is>
          <t>6. SUMMARY</t>
        </is>
      </c>
      <c r="AF295" s="15" t="n"/>
    </row>
    <row r="296">
      <c r="B296" s="9" t="n"/>
      <c r="AF296" s="15" t="n"/>
    </row>
    <row r="297">
      <c r="B297" s="9" t="n"/>
      <c r="C297" s="25" t="inlineStr">
        <is>
          <t>Allowable bearing capacity - without improvement</t>
        </is>
      </c>
      <c r="O297" s="26" t="inlineStr"/>
      <c r="X297" s="27" t="inlineStr">
        <is>
          <t>qall =</t>
        </is>
      </c>
      <c r="Y297" s="13" t="n"/>
      <c r="Z297" s="13" t="n"/>
      <c r="AA297" s="62">
        <f>$AA$97</f>
        <v/>
      </c>
      <c r="AB297" s="13" t="n"/>
      <c r="AC297" s="13" t="n"/>
      <c r="AD297" s="25" t="inlineStr">
        <is>
          <t>kPa</t>
        </is>
      </c>
      <c r="AF297" s="15" t="n"/>
    </row>
    <row r="298">
      <c r="B298" s="9" t="n"/>
      <c r="C298" s="25" t="inlineStr">
        <is>
          <t xml:space="preserve">   check</t>
        </is>
      </c>
      <c r="X298" s="82">
        <f>$X$101</f>
        <v/>
      </c>
      <c r="AF298" s="15" t="n"/>
    </row>
    <row r="299">
      <c r="B299" s="9" t="n"/>
      <c r="C299" s="25" t="inlineStr">
        <is>
          <t>Allowable bearing capacity - design condition</t>
        </is>
      </c>
      <c r="O299" s="26" t="inlineStr">
        <is>
          <t>Dr from Section 1.2</t>
        </is>
      </c>
      <c r="X299" s="27" t="inlineStr">
        <is>
          <t>qall =</t>
        </is>
      </c>
      <c r="Y299" s="13" t="n"/>
      <c r="Z299" s="13" t="n"/>
      <c r="AA299" s="62">
        <f>$AA$115</f>
        <v/>
      </c>
      <c r="AB299" s="13" t="n"/>
      <c r="AC299" s="13" t="n"/>
      <c r="AD299" s="25" t="inlineStr">
        <is>
          <t>kPa</t>
        </is>
      </c>
      <c r="AF299" s="15" t="n"/>
    </row>
    <row r="300">
      <c r="B300" s="9" t="n"/>
      <c r="C300" s="25" t="inlineStr">
        <is>
          <t xml:space="preserve">   check</t>
        </is>
      </c>
      <c r="X300" s="82">
        <f>$X$119</f>
        <v/>
      </c>
      <c r="AF300" s="15" t="n"/>
    </row>
    <row r="301">
      <c r="B301" s="9" t="n"/>
      <c r="C301" s="25" t="inlineStr">
        <is>
          <t>Immediate settlement (layered elastic)</t>
        </is>
      </c>
      <c r="O301" s="26" t="inlineStr">
        <is>
          <t>Section 4</t>
        </is>
      </c>
      <c r="X301" s="27" t="inlineStr">
        <is>
          <t>Si =</t>
        </is>
      </c>
      <c r="Y301" s="13" t="n"/>
      <c r="Z301" s="13" t="n"/>
      <c r="AA301" s="62">
        <f>$AA$201</f>
        <v/>
      </c>
      <c r="AB301" s="13" t="n"/>
      <c r="AC301" s="13" t="n"/>
      <c r="AD301" s="25" t="inlineStr">
        <is>
          <t>mm</t>
        </is>
      </c>
      <c r="AF301" s="15" t="n"/>
    </row>
    <row r="302">
      <c r="B302" s="9" t="n"/>
      <c r="C302" s="25" t="inlineStr">
        <is>
          <t>Immediate settlement of sand (B&amp;B check)</t>
        </is>
      </c>
      <c r="O302" s="26" t="inlineStr">
        <is>
          <t>Section 4.1</t>
        </is>
      </c>
      <c r="X302" s="27" t="inlineStr">
        <is>
          <t>S =</t>
        </is>
      </c>
      <c r="Y302" s="13" t="n"/>
      <c r="Z302" s="13" t="n"/>
      <c r="AA302" s="62">
        <f>$AA$229</f>
        <v/>
      </c>
      <c r="AB302" s="13" t="n"/>
      <c r="AC302" s="13" t="n"/>
      <c r="AD302" s="25" t="inlineStr">
        <is>
          <t>mm</t>
        </is>
      </c>
      <c r="AF302" s="15" t="n"/>
    </row>
    <row r="303">
      <c r="B303" s="9" t="n"/>
      <c r="C303" s="25" t="inlineStr">
        <is>
          <t>Consolidation settlement</t>
        </is>
      </c>
      <c r="O303" s="26" t="inlineStr">
        <is>
          <t>Section 5</t>
        </is>
      </c>
      <c r="X303" s="27" t="inlineStr">
        <is>
          <t>Sc =</t>
        </is>
      </c>
      <c r="Y303" s="13" t="n"/>
      <c r="Z303" s="13" t="n"/>
      <c r="AA303" s="62">
        <f>$AA$280</f>
        <v/>
      </c>
      <c r="AB303" s="13" t="n"/>
      <c r="AC303" s="13" t="n"/>
      <c r="AD303" s="25" t="inlineStr">
        <is>
          <t>mm</t>
        </is>
      </c>
      <c r="AF303" s="15" t="n"/>
    </row>
    <row r="304">
      <c r="B304" s="9" t="n"/>
      <c r="C304" s="25" t="inlineStr">
        <is>
          <t>Time for 90 % consolidation</t>
        </is>
      </c>
      <c r="O304" s="26" t="inlineStr">
        <is>
          <t>Section 5</t>
        </is>
      </c>
      <c r="X304" s="27" t="inlineStr">
        <is>
          <t>t90 =</t>
        </is>
      </c>
      <c r="Y304" s="13" t="n"/>
      <c r="Z304" s="13" t="n"/>
      <c r="AA304" s="61">
        <f>$AA$281</f>
        <v/>
      </c>
      <c r="AB304" s="13" t="n"/>
      <c r="AC304" s="13" t="n"/>
      <c r="AD304" s="25" t="inlineStr">
        <is>
          <t>year</t>
        </is>
      </c>
      <c r="AF304" s="15" t="n"/>
    </row>
    <row r="305">
      <c r="B305" s="9" t="n"/>
      <c r="C305" s="25" t="inlineStr">
        <is>
          <t>Total long-term settlement</t>
        </is>
      </c>
      <c r="O305" s="26" t="inlineStr">
        <is>
          <t>S = Si + Sc</t>
        </is>
      </c>
      <c r="X305" s="27" t="inlineStr">
        <is>
          <t>S =</t>
        </is>
      </c>
      <c r="Y305" s="13" t="n"/>
      <c r="Z305" s="13" t="n"/>
      <c r="AA305" s="30">
        <f>$AA$201+$AA$280</f>
        <v/>
      </c>
      <c r="AB305" s="13" t="n"/>
      <c r="AC305" s="13" t="n"/>
      <c r="AD305" s="25" t="inlineStr">
        <is>
          <t>mm</t>
        </is>
      </c>
      <c r="AF305" s="15" t="n"/>
    </row>
    <row r="306">
      <c r="B306" s="9" t="n"/>
      <c r="C306" s="11" t="inlineStr">
        <is>
          <t>Settlement check</t>
        </is>
      </c>
      <c r="X306" s="73">
        <f>IF($AA$305&lt;=Input!$AA$22,"S ≤ S all …. OK!!","S &gt; S all …. NG!!")</f>
        <v/>
      </c>
      <c r="Y306" s="13" t="n"/>
      <c r="Z306" s="13" t="n"/>
      <c r="AA306" s="13" t="n"/>
      <c r="AB306" s="13" t="n"/>
      <c r="AC306" s="13" t="n"/>
      <c r="AD306" s="13" t="n"/>
      <c r="AE306" s="13" t="n"/>
      <c r="AF306" s="15" t="n"/>
    </row>
    <row r="307">
      <c r="B307" s="9" t="n"/>
      <c r="AF307" s="15" t="n"/>
    </row>
    <row r="308">
      <c r="B308" s="9" t="n"/>
      <c r="C308" s="24" t="inlineStr">
        <is>
          <t>Post-liquefaction settlement during the design earthquake (liquefaction report, Table 5.4: 100 - 383 mm) is not included</t>
        </is>
      </c>
      <c r="AF308" s="15" t="n"/>
    </row>
    <row r="309">
      <c r="B309" s="9" t="n"/>
      <c r="C309" s="24" t="inlineStr">
        <is>
          <t>and shall be assessed separately.</t>
        </is>
      </c>
      <c r="AF309" s="15" t="n"/>
    </row>
    <row r="310">
      <c r="B310" s="9" t="n"/>
      <c r="AF310" s="15" t="n"/>
    </row>
    <row r="311">
      <c r="B311" s="9" t="n"/>
      <c r="C311" s="11" t="inlineStr">
        <is>
          <t>Figure 1. Settlement per sub-layer - BH-04</t>
        </is>
      </c>
      <c r="AF311" s="15" t="n"/>
    </row>
    <row r="312">
      <c r="B312" s="9" t="n"/>
      <c r="AF312" s="15" t="n"/>
    </row>
    <row r="313">
      <c r="B313" s="9" t="n"/>
      <c r="AF313" s="15" t="n"/>
    </row>
    <row r="314">
      <c r="B314" s="9" t="n"/>
      <c r="AF314" s="15" t="n"/>
    </row>
    <row r="315">
      <c r="B315" s="9" t="n"/>
      <c r="AF315" s="15" t="n"/>
    </row>
    <row r="316">
      <c r="B316" s="9" t="n"/>
      <c r="AF316" s="15" t="n"/>
    </row>
    <row r="317">
      <c r="B317" s="9" t="n"/>
      <c r="AF317" s="15" t="n"/>
    </row>
    <row r="318">
      <c r="B318" s="9" t="n"/>
      <c r="AF318" s="15" t="n"/>
    </row>
    <row r="319">
      <c r="B319" s="9" t="n"/>
      <c r="AF319" s="15" t="n"/>
    </row>
    <row r="320">
      <c r="B320" s="9" t="n"/>
      <c r="AF320" s="15" t="n"/>
    </row>
    <row r="321">
      <c r="B321" s="9" t="n"/>
      <c r="AF321" s="15" t="n"/>
    </row>
    <row r="322">
      <c r="B322" s="9" t="n"/>
      <c r="AF322" s="15" t="n"/>
    </row>
    <row r="323">
      <c r="B323" s="9" t="n"/>
      <c r="AF323" s="15" t="n"/>
    </row>
    <row r="324">
      <c r="B324" s="9" t="n"/>
      <c r="AF324" s="15" t="n"/>
    </row>
    <row r="325">
      <c r="B325" s="9" t="n"/>
      <c r="AF325" s="15" t="n"/>
    </row>
    <row r="326">
      <c r="B326" s="9" t="n"/>
      <c r="AF326" s="15" t="n"/>
    </row>
    <row r="327">
      <c r="B327" s="9" t="n"/>
      <c r="AF327" s="15" t="n"/>
    </row>
    <row r="328">
      <c r="B328" s="9" t="n"/>
      <c r="AF328" s="15" t="n"/>
    </row>
    <row r="329">
      <c r="B329" s="9" t="n"/>
      <c r="AF329" s="15" t="n"/>
    </row>
    <row r="330">
      <c r="B330" s="9" t="n"/>
      <c r="AF330" s="15" t="n"/>
    </row>
    <row r="331">
      <c r="B331" s="9" t="n"/>
      <c r="AF331" s="15" t="n"/>
    </row>
    <row r="332">
      <c r="B332" s="9" t="n"/>
      <c r="AF332" s="15" t="n"/>
    </row>
    <row r="333">
      <c r="B333" s="9" t="n"/>
      <c r="AF333" s="15" t="n"/>
    </row>
    <row r="334">
      <c r="B334" s="9" t="n"/>
      <c r="AF334" s="15" t="n"/>
    </row>
    <row r="335">
      <c r="B335" s="9" t="n"/>
      <c r="AF335" s="15" t="n"/>
    </row>
    <row r="336">
      <c r="B336" s="9" t="n"/>
      <c r="AF336" s="15" t="n"/>
    </row>
    <row r="337">
      <c r="B337" s="9" t="n"/>
      <c r="AF337" s="15" t="n"/>
    </row>
    <row r="338">
      <c r="B338" s="9" t="n"/>
      <c r="AF338" s="15" t="n"/>
    </row>
    <row r="339">
      <c r="B339" s="9" t="n"/>
      <c r="AF339" s="15" t="n"/>
    </row>
    <row r="340">
      <c r="B340" s="9" t="n"/>
      <c r="AF340" s="15" t="n"/>
    </row>
    <row r="341">
      <c r="B341" s="9" t="n"/>
      <c r="AF341" s="15" t="n"/>
    </row>
    <row r="342">
      <c r="B342" s="9" t="n"/>
      <c r="AF342" s="15" t="n"/>
    </row>
    <row r="343">
      <c r="B343" s="9" t="n"/>
      <c r="AF343" s="15" t="n"/>
    </row>
    <row r="344">
      <c r="B344" s="9" t="n"/>
      <c r="AF344" s="15" t="n"/>
    </row>
    <row r="345">
      <c r="B345" s="9" t="n"/>
      <c r="AF345" s="15" t="n"/>
    </row>
    <row r="346">
      <c r="B346" s="9" t="n"/>
      <c r="AF346" s="15" t="n"/>
    </row>
    <row r="347">
      <c r="B347" s="9" t="n"/>
      <c r="AF347" s="15" t="n"/>
    </row>
    <row r="348">
      <c r="B348" s="9" t="n"/>
      <c r="AF348" s="15" t="n"/>
    </row>
    <row r="349">
      <c r="B349" s="9" t="n"/>
      <c r="AF349" s="15" t="n"/>
    </row>
    <row r="350">
      <c r="B350" s="9" t="n"/>
      <c r="AF350" s="15" t="n"/>
    </row>
    <row r="351">
      <c r="B351" s="9" t="n"/>
      <c r="AF351" s="15" t="n"/>
    </row>
    <row r="352">
      <c r="B352" s="9" t="n"/>
      <c r="AF352" s="15" t="n"/>
    </row>
    <row r="353">
      <c r="B353" s="9" t="n"/>
      <c r="AF353" s="15" t="n"/>
    </row>
    <row r="354">
      <c r="B354" s="9" t="n"/>
      <c r="AF354" s="15" t="n"/>
    </row>
    <row r="355">
      <c r="B355" s="9" t="n"/>
      <c r="AF355" s="15" t="n"/>
    </row>
    <row r="356">
      <c r="B356" s="9" t="n"/>
      <c r="AF356" s="15" t="n"/>
    </row>
    <row r="357">
      <c r="B357" s="9" t="n"/>
      <c r="AF357" s="15" t="n"/>
    </row>
    <row r="358">
      <c r="B358" s="9" t="n"/>
      <c r="AF358" s="15" t="n"/>
    </row>
    <row r="359">
      <c r="B359" s="9" t="n"/>
      <c r="AF359" s="15" t="n"/>
    </row>
    <row r="360">
      <c r="B360" s="9" t="n"/>
      <c r="AF360" s="15" t="n"/>
    </row>
    <row r="361">
      <c r="B361" s="47" t="n"/>
      <c r="C361" s="48" t="n"/>
      <c r="D361" s="48" t="n"/>
      <c r="E361" s="48" t="n"/>
      <c r="F361" s="48" t="n"/>
      <c r="G361" s="48" t="n"/>
      <c r="H361" s="48" t="n"/>
      <c r="I361" s="48" t="n"/>
      <c r="J361" s="48" t="n"/>
      <c r="K361" s="48" t="n"/>
      <c r="L361" s="48" t="n"/>
      <c r="M361" s="48" t="n"/>
      <c r="N361" s="48" t="n"/>
      <c r="O361" s="48" t="n"/>
      <c r="P361" s="48" t="n"/>
      <c r="Q361" s="48" t="n"/>
      <c r="R361" s="48" t="n"/>
      <c r="S361" s="48" t="n"/>
      <c r="T361" s="48" t="n"/>
      <c r="U361" s="48" t="n"/>
      <c r="V361" s="48" t="n"/>
      <c r="W361" s="48" t="n"/>
      <c r="X361" s="49" t="inlineStr">
        <is>
          <t>Sheet :</t>
        </is>
      </c>
      <c r="Y361" s="48" t="n"/>
      <c r="Z361" s="48" t="n"/>
      <c r="AA361" s="48" t="n"/>
      <c r="AB361" s="49" t="n">
        <v>5</v>
      </c>
      <c r="AC361" s="48" t="n"/>
      <c r="AD361" s="48" t="n"/>
      <c r="AE361" s="48" t="n"/>
      <c r="AF361" s="50" t="n"/>
    </row>
  </sheetData>
  <mergeCells count="1844">
    <mergeCell ref="Z43:AB43"/>
    <mergeCell ref="N189:P189"/>
    <mergeCell ref="V244:W244"/>
    <mergeCell ref="Q164:R164"/>
    <mergeCell ref="C191:D191"/>
    <mergeCell ref="AA161:AB161"/>
    <mergeCell ref="H238:J238"/>
    <mergeCell ref="AB293:AE293"/>
    <mergeCell ref="C184:D184"/>
    <mergeCell ref="Z68:AB68"/>
    <mergeCell ref="N190:P190"/>
    <mergeCell ref="Z67:AB67"/>
    <mergeCell ref="E250:G250"/>
    <mergeCell ref="C110:N110"/>
    <mergeCell ref="Q197:R197"/>
    <mergeCell ref="C121:AE121"/>
    <mergeCell ref="Q180:R180"/>
    <mergeCell ref="T51:U51"/>
    <mergeCell ref="AA187:AB187"/>
    <mergeCell ref="AB4:AE4"/>
    <mergeCell ref="Q188:R188"/>
    <mergeCell ref="AA91:AC91"/>
    <mergeCell ref="X21:Z21"/>
    <mergeCell ref="V255:W255"/>
    <mergeCell ref="AA189:AB189"/>
    <mergeCell ref="E278:G278"/>
    <mergeCell ref="N32:P32"/>
    <mergeCell ref="Q33:S33"/>
    <mergeCell ref="AA93:AC93"/>
    <mergeCell ref="C237:D237"/>
    <mergeCell ref="C28:D28"/>
    <mergeCell ref="K173:M173"/>
    <mergeCell ref="AA86:AC86"/>
    <mergeCell ref="T67:U67"/>
    <mergeCell ref="X16:Z16"/>
    <mergeCell ref="C239:D239"/>
    <mergeCell ref="H164:J164"/>
    <mergeCell ref="K165:M165"/>
    <mergeCell ref="C100:N100"/>
    <mergeCell ref="C30:D30"/>
    <mergeCell ref="H75:W75"/>
    <mergeCell ref="K44:M44"/>
    <mergeCell ref="T33:U33"/>
    <mergeCell ref="C94:N94"/>
    <mergeCell ref="Y167:Z167"/>
    <mergeCell ref="X119:AE119"/>
    <mergeCell ref="T35:U35"/>
    <mergeCell ref="Q59:S59"/>
    <mergeCell ref="T252:U252"/>
    <mergeCell ref="Y169:Z169"/>
    <mergeCell ref="Q61:S61"/>
    <mergeCell ref="V187:X187"/>
    <mergeCell ref="K191:M191"/>
    <mergeCell ref="V39:W39"/>
    <mergeCell ref="AA104:AC104"/>
    <mergeCell ref="X68:Y68"/>
    <mergeCell ref="O91:W91"/>
    <mergeCell ref="AA114:AC114"/>
    <mergeCell ref="N254:P254"/>
    <mergeCell ref="V189:X189"/>
    <mergeCell ref="K184:M184"/>
    <mergeCell ref="N45:P45"/>
    <mergeCell ref="AA106:AC106"/>
    <mergeCell ref="AA228:AC228"/>
    <mergeCell ref="H175:J175"/>
    <mergeCell ref="V188:X188"/>
    <mergeCell ref="N256:P256"/>
    <mergeCell ref="AC178:AE178"/>
    <mergeCell ref="AA105:AC105"/>
    <mergeCell ref="N47:P47"/>
    <mergeCell ref="S173:U173"/>
    <mergeCell ref="O86:W86"/>
    <mergeCell ref="AC170:AE170"/>
    <mergeCell ref="Y195:Z195"/>
    <mergeCell ref="AD112:AE112"/>
    <mergeCell ref="AC163:AE163"/>
    <mergeCell ref="H176:J176"/>
    <mergeCell ref="V65:W65"/>
    <mergeCell ref="T263:U263"/>
    <mergeCell ref="Y197:Z197"/>
    <mergeCell ref="AD114:AE114"/>
    <mergeCell ref="H178:J178"/>
    <mergeCell ref="T265:U265"/>
    <mergeCell ref="AC196:AE196"/>
    <mergeCell ref="X89:Z89"/>
    <mergeCell ref="O104:W104"/>
    <mergeCell ref="S171:U171"/>
    <mergeCell ref="K245:M245"/>
    <mergeCell ref="X245:Y245"/>
    <mergeCell ref="X88:Z88"/>
    <mergeCell ref="S163:U163"/>
    <mergeCell ref="E246:G246"/>
    <mergeCell ref="X90:Z90"/>
    <mergeCell ref="N269:P269"/>
    <mergeCell ref="E37:G37"/>
    <mergeCell ref="V49:W49"/>
    <mergeCell ref="Z65:AB65"/>
    <mergeCell ref="X292:AA292"/>
    <mergeCell ref="E248:G248"/>
    <mergeCell ref="AA183:AB183"/>
    <mergeCell ref="E247:G247"/>
    <mergeCell ref="AA185:AB185"/>
    <mergeCell ref="AC249:AE249"/>
    <mergeCell ref="AB2:AE2"/>
    <mergeCell ref="X19:Z19"/>
    <mergeCell ref="S191:U191"/>
    <mergeCell ref="H247:J247"/>
    <mergeCell ref="AC244:AE244"/>
    <mergeCell ref="K258:M258"/>
    <mergeCell ref="C26:D26"/>
    <mergeCell ref="C90:N90"/>
    <mergeCell ref="X20:Z20"/>
    <mergeCell ref="T65:U65"/>
    <mergeCell ref="X14:Z14"/>
    <mergeCell ref="AC252:AE252"/>
    <mergeCell ref="K260:M260"/>
    <mergeCell ref="C55:D55"/>
    <mergeCell ref="C119:N119"/>
    <mergeCell ref="AA196:AB196"/>
    <mergeCell ref="Q57:S57"/>
    <mergeCell ref="O299:W299"/>
    <mergeCell ref="C52:D52"/>
    <mergeCell ref="AA198:AB198"/>
    <mergeCell ref="AC262:AE262"/>
    <mergeCell ref="H275:J275"/>
    <mergeCell ref="N41:P41"/>
    <mergeCell ref="C70:AE70"/>
    <mergeCell ref="C37:D37"/>
    <mergeCell ref="N51:P51"/>
    <mergeCell ref="Q52:S52"/>
    <mergeCell ref="K188:M188"/>
    <mergeCell ref="K182:M182"/>
    <mergeCell ref="N43:P43"/>
    <mergeCell ref="AC263:AE263"/>
    <mergeCell ref="C109:N109"/>
    <mergeCell ref="Y193:Z193"/>
    <mergeCell ref="X101:AE101"/>
    <mergeCell ref="AD110:AE110"/>
    <mergeCell ref="H174:J174"/>
    <mergeCell ref="N67:P67"/>
    <mergeCell ref="C63:D63"/>
    <mergeCell ref="AB74:AE74"/>
    <mergeCell ref="AC192:AE192"/>
    <mergeCell ref="AB76:AE76"/>
    <mergeCell ref="O100:W100"/>
    <mergeCell ref="H146:W146"/>
    <mergeCell ref="S197:U197"/>
    <mergeCell ref="X86:Z86"/>
    <mergeCell ref="AC187:AE187"/>
    <mergeCell ref="Y179:Z179"/>
    <mergeCell ref="H44:J44"/>
    <mergeCell ref="AC189:AE189"/>
    <mergeCell ref="E35:G35"/>
    <mergeCell ref="V47:W47"/>
    <mergeCell ref="O97:W97"/>
    <mergeCell ref="E28:G28"/>
    <mergeCell ref="E30:G30"/>
    <mergeCell ref="V48:W48"/>
    <mergeCell ref="X112:Z112"/>
    <mergeCell ref="E59:G59"/>
    <mergeCell ref="AC29:AE29"/>
    <mergeCell ref="X104:Z104"/>
    <mergeCell ref="K254:M254"/>
    <mergeCell ref="E61:G61"/>
    <mergeCell ref="AC31:AE31"/>
    <mergeCell ref="X106:Z106"/>
    <mergeCell ref="O123:W123"/>
    <mergeCell ref="X264:Y264"/>
    <mergeCell ref="E54:G54"/>
    <mergeCell ref="X293:AA293"/>
    <mergeCell ref="E56:G56"/>
    <mergeCell ref="Q170:R170"/>
    <mergeCell ref="V66:W66"/>
    <mergeCell ref="T31:U31"/>
    <mergeCell ref="C165:D165"/>
    <mergeCell ref="Q172:R172"/>
    <mergeCell ref="H271:J271"/>
    <mergeCell ref="V61:W61"/>
    <mergeCell ref="C166:D166"/>
    <mergeCell ref="X4:AA4"/>
    <mergeCell ref="C160:D160"/>
    <mergeCell ref="AC259:AE259"/>
    <mergeCell ref="H266:J266"/>
    <mergeCell ref="K267:M267"/>
    <mergeCell ref="C118:N118"/>
    <mergeCell ref="AC261:AE261"/>
    <mergeCell ref="H268:J268"/>
    <mergeCell ref="K269:M269"/>
    <mergeCell ref="C221:G221"/>
    <mergeCell ref="C59:D59"/>
    <mergeCell ref="N65:P65"/>
    <mergeCell ref="V237:W237"/>
    <mergeCell ref="C61:D61"/>
    <mergeCell ref="Z276:AB276"/>
    <mergeCell ref="K51:M51"/>
    <mergeCell ref="K26:M26"/>
    <mergeCell ref="Z271:AB271"/>
    <mergeCell ref="AC272:AE272"/>
    <mergeCell ref="AD92:AE92"/>
    <mergeCell ref="Z273:AB273"/>
    <mergeCell ref="Y177:Z177"/>
    <mergeCell ref="V167:X167"/>
    <mergeCell ref="AD94:AE94"/>
    <mergeCell ref="E157:G157"/>
    <mergeCell ref="Q252:S252"/>
    <mergeCell ref="V169:X169"/>
    <mergeCell ref="K42:M42"/>
    <mergeCell ref="Y172:Z172"/>
    <mergeCell ref="V162:X162"/>
    <mergeCell ref="Q237:S237"/>
    <mergeCell ref="AD89:AE89"/>
    <mergeCell ref="X227:Z227"/>
    <mergeCell ref="C238:D238"/>
    <mergeCell ref="C148:G148"/>
    <mergeCell ref="AC27:AE27"/>
    <mergeCell ref="V164:X164"/>
    <mergeCell ref="X226:Z226"/>
    <mergeCell ref="K37:M37"/>
    <mergeCell ref="E50:G50"/>
    <mergeCell ref="C304:N304"/>
    <mergeCell ref="H184:J184"/>
    <mergeCell ref="X250:Y250"/>
    <mergeCell ref="X228:Z228"/>
    <mergeCell ref="E175:G175"/>
    <mergeCell ref="E52:G52"/>
    <mergeCell ref="Q263:S263"/>
    <mergeCell ref="X276:Y276"/>
    <mergeCell ref="V180:X180"/>
    <mergeCell ref="X251:Y251"/>
    <mergeCell ref="AC53:AE53"/>
    <mergeCell ref="E170:G170"/>
    <mergeCell ref="Q265:S265"/>
    <mergeCell ref="X278:Y278"/>
    <mergeCell ref="X253:Y253"/>
    <mergeCell ref="AC55:AE55"/>
    <mergeCell ref="AA280:AC280"/>
    <mergeCell ref="AC38:AE38"/>
    <mergeCell ref="C290:G290"/>
    <mergeCell ref="C162:D162"/>
    <mergeCell ref="C201:N201"/>
    <mergeCell ref="X123:Z123"/>
    <mergeCell ref="H237:J237"/>
    <mergeCell ref="AC46:AE46"/>
    <mergeCell ref="AC40:AE40"/>
    <mergeCell ref="C164:D164"/>
    <mergeCell ref="X2:AA2"/>
    <mergeCell ref="C203:N203"/>
    <mergeCell ref="C228:N228"/>
    <mergeCell ref="H239:J239"/>
    <mergeCell ref="AC41:AE41"/>
    <mergeCell ref="X297:Z297"/>
    <mergeCell ref="AC66:AE66"/>
    <mergeCell ref="C190:D190"/>
    <mergeCell ref="Z241:AB241"/>
    <mergeCell ref="E254:G254"/>
    <mergeCell ref="H255:J255"/>
    <mergeCell ref="X299:Z299"/>
    <mergeCell ref="O281:W281"/>
    <mergeCell ref="AC68:AE68"/>
    <mergeCell ref="Z243:AB243"/>
    <mergeCell ref="C175:D175"/>
    <mergeCell ref="N181:P181"/>
    <mergeCell ref="C185:D185"/>
    <mergeCell ref="H250:J250"/>
    <mergeCell ref="Z58:AB58"/>
    <mergeCell ref="C235:AE235"/>
    <mergeCell ref="E241:G241"/>
    <mergeCell ref="V259:W259"/>
    <mergeCell ref="AA176:AB176"/>
    <mergeCell ref="Z244:AB244"/>
    <mergeCell ref="O305:W305"/>
    <mergeCell ref="H277:J277"/>
    <mergeCell ref="T68:U68"/>
    <mergeCell ref="V261:W261"/>
    <mergeCell ref="AA178:AB178"/>
    <mergeCell ref="N178:P178"/>
    <mergeCell ref="AA21:AC21"/>
    <mergeCell ref="AA171:AB171"/>
    <mergeCell ref="N49:P49"/>
    <mergeCell ref="Q32:S32"/>
    <mergeCell ref="K162:M162"/>
    <mergeCell ref="N163:P163"/>
    <mergeCell ref="V256:W256"/>
    <mergeCell ref="E267:G267"/>
    <mergeCell ref="N173:P173"/>
    <mergeCell ref="K33:M33"/>
    <mergeCell ref="K164:M164"/>
    <mergeCell ref="X74:AA74"/>
    <mergeCell ref="E269:G269"/>
    <mergeCell ref="H180:J180"/>
    <mergeCell ref="K35:M35"/>
    <mergeCell ref="E171:G171"/>
    <mergeCell ref="Z255:AB255"/>
    <mergeCell ref="X76:AA76"/>
    <mergeCell ref="C302:N302"/>
    <mergeCell ref="V272:W272"/>
    <mergeCell ref="E173:G173"/>
    <mergeCell ref="AD111:AE111"/>
    <mergeCell ref="Q50:S50"/>
    <mergeCell ref="K180:M180"/>
    <mergeCell ref="V274:W274"/>
    <mergeCell ref="V186:X186"/>
    <mergeCell ref="E166:G166"/>
    <mergeCell ref="K59:M59"/>
    <mergeCell ref="K190:M190"/>
    <mergeCell ref="N191:P191"/>
    <mergeCell ref="X249:Y249"/>
    <mergeCell ref="X243:Y243"/>
    <mergeCell ref="C256:D256"/>
    <mergeCell ref="E168:G168"/>
    <mergeCell ref="K61:M61"/>
    <mergeCell ref="N245:P245"/>
    <mergeCell ref="AC167:AE167"/>
    <mergeCell ref="C247:D247"/>
    <mergeCell ref="E199:G199"/>
    <mergeCell ref="X244:Y244"/>
    <mergeCell ref="C257:D257"/>
    <mergeCell ref="AC169:AE169"/>
    <mergeCell ref="V27:W27"/>
    <mergeCell ref="AA92:AC92"/>
    <mergeCell ref="E192:G192"/>
    <mergeCell ref="H26:J26"/>
    <mergeCell ref="C272:D272"/>
    <mergeCell ref="H53:J53"/>
    <mergeCell ref="E194:G194"/>
    <mergeCell ref="H55:J55"/>
    <mergeCell ref="Q272:S272"/>
    <mergeCell ref="T264:U264"/>
    <mergeCell ref="AA87:AC87"/>
    <mergeCell ref="C267:D267"/>
    <mergeCell ref="AA304:AC304"/>
    <mergeCell ref="V199:X199"/>
    <mergeCell ref="N273:P273"/>
    <mergeCell ref="Q274:S274"/>
    <mergeCell ref="X262:Y262"/>
    <mergeCell ref="C275:D275"/>
    <mergeCell ref="C269:D269"/>
    <mergeCell ref="AC64:AE64"/>
    <mergeCell ref="E252:G252"/>
    <mergeCell ref="H246:J246"/>
    <mergeCell ref="Z29:AB29"/>
    <mergeCell ref="H37:J37"/>
    <mergeCell ref="C270:D270"/>
    <mergeCell ref="AC65:AE65"/>
    <mergeCell ref="V40:W40"/>
    <mergeCell ref="H248:J248"/>
    <mergeCell ref="V257:W257"/>
    <mergeCell ref="AA174:AB174"/>
    <mergeCell ref="O303:W303"/>
    <mergeCell ref="E238:G238"/>
    <mergeCell ref="V41:W41"/>
    <mergeCell ref="AA19:AC19"/>
    <mergeCell ref="AB291:AE291"/>
    <mergeCell ref="V252:W252"/>
    <mergeCell ref="C199:D199"/>
    <mergeCell ref="O304:W304"/>
    <mergeCell ref="AA169:AB169"/>
    <mergeCell ref="C224:AE224"/>
    <mergeCell ref="Z258:AB258"/>
    <mergeCell ref="E265:G265"/>
    <mergeCell ref="AD201:AE201"/>
    <mergeCell ref="Z251:AB251"/>
    <mergeCell ref="O16:W16"/>
    <mergeCell ref="Z253:AB253"/>
    <mergeCell ref="E266:G266"/>
    <mergeCell ref="E260:G260"/>
    <mergeCell ref="X34:Y34"/>
    <mergeCell ref="AA195:AB195"/>
    <mergeCell ref="V270:W270"/>
    <mergeCell ref="X28:Y28"/>
    <mergeCell ref="C41:D41"/>
    <mergeCell ref="Q165:R165"/>
    <mergeCell ref="AA197:AB197"/>
    <mergeCell ref="K275:M275"/>
    <mergeCell ref="X30:Y30"/>
    <mergeCell ref="C43:D43"/>
    <mergeCell ref="K57:M57"/>
    <mergeCell ref="Q41:S41"/>
    <mergeCell ref="X29:Y29"/>
    <mergeCell ref="C36:D36"/>
    <mergeCell ref="Q43:S43"/>
    <mergeCell ref="X54:Y54"/>
    <mergeCell ref="C67:D67"/>
    <mergeCell ref="E188:G188"/>
    <mergeCell ref="K60:M60"/>
    <mergeCell ref="X56:Y56"/>
    <mergeCell ref="E190:G190"/>
    <mergeCell ref="H51:J51"/>
    <mergeCell ref="Q67:S67"/>
    <mergeCell ref="K174:M174"/>
    <mergeCell ref="N58:P58"/>
    <mergeCell ref="H163:J163"/>
    <mergeCell ref="V170:X170"/>
    <mergeCell ref="N244:P244"/>
    <mergeCell ref="K199:M199"/>
    <mergeCell ref="X57:Y57"/>
    <mergeCell ref="C12:N12"/>
    <mergeCell ref="V197:X197"/>
    <mergeCell ref="V172:X172"/>
    <mergeCell ref="AC193:AE193"/>
    <mergeCell ref="AA89:AC89"/>
    <mergeCell ref="AC176:AE176"/>
    <mergeCell ref="T251:U251"/>
    <mergeCell ref="H147:W147"/>
    <mergeCell ref="E32:G32"/>
    <mergeCell ref="H33:J33"/>
    <mergeCell ref="AA122:AC122"/>
    <mergeCell ref="AD304:AE304"/>
    <mergeCell ref="Y170:Z170"/>
    <mergeCell ref="H35:J35"/>
    <mergeCell ref="C268:D268"/>
    <mergeCell ref="Q245:S245"/>
    <mergeCell ref="Y163:Z163"/>
    <mergeCell ref="O117:W117"/>
    <mergeCell ref="N255:P255"/>
    <mergeCell ref="AD297:AE297"/>
    <mergeCell ref="H59:J59"/>
    <mergeCell ref="O112:W112"/>
    <mergeCell ref="Z47:AB47"/>
    <mergeCell ref="H61:J61"/>
    <mergeCell ref="H77:W77"/>
    <mergeCell ref="V64:W64"/>
    <mergeCell ref="O114:W114"/>
    <mergeCell ref="Z38:AB38"/>
    <mergeCell ref="E45:G45"/>
    <mergeCell ref="AD19:AE19"/>
    <mergeCell ref="O109:W109"/>
    <mergeCell ref="Q159:R159"/>
    <mergeCell ref="X305:Z305"/>
    <mergeCell ref="Z63:AB63"/>
    <mergeCell ref="Q167:R167"/>
    <mergeCell ref="Q161:R161"/>
    <mergeCell ref="AA158:AB158"/>
    <mergeCell ref="E264:G264"/>
    <mergeCell ref="AA193:AB193"/>
    <mergeCell ref="Q192:R192"/>
    <mergeCell ref="C32:D32"/>
    <mergeCell ref="C107:N107"/>
    <mergeCell ref="T46:U46"/>
    <mergeCell ref="H219:W219"/>
    <mergeCell ref="Z66:AB66"/>
    <mergeCell ref="Q187:R187"/>
    <mergeCell ref="T48:U48"/>
    <mergeCell ref="AA184:AB184"/>
    <mergeCell ref="Q195:R195"/>
    <mergeCell ref="Q189:R189"/>
    <mergeCell ref="E275:G275"/>
    <mergeCell ref="N29:P29"/>
    <mergeCell ref="H159:J159"/>
    <mergeCell ref="Q65:S65"/>
    <mergeCell ref="X53:Y53"/>
    <mergeCell ref="N31:P31"/>
    <mergeCell ref="X47:Y47"/>
    <mergeCell ref="C236:D236"/>
    <mergeCell ref="AC276:AE276"/>
    <mergeCell ref="C85:AE85"/>
    <mergeCell ref="Z236:AB236"/>
    <mergeCell ref="X55:Y55"/>
    <mergeCell ref="K172:M172"/>
    <mergeCell ref="AC278:AE278"/>
    <mergeCell ref="T247:U247"/>
    <mergeCell ref="N26:P26"/>
    <mergeCell ref="X217:AA217"/>
    <mergeCell ref="H162:J162"/>
    <mergeCell ref="T249:U249"/>
    <mergeCell ref="C92:N92"/>
    <mergeCell ref="AD91:AE91"/>
    <mergeCell ref="Y166:Z166"/>
    <mergeCell ref="AC273:AE273"/>
    <mergeCell ref="V184:X184"/>
    <mergeCell ref="AD302:AE302"/>
    <mergeCell ref="N171:P171"/>
    <mergeCell ref="AD93:AE93"/>
    <mergeCell ref="H157:J157"/>
    <mergeCell ref="N251:P251"/>
    <mergeCell ref="S185:U185"/>
    <mergeCell ref="T244:U244"/>
    <mergeCell ref="N42:P42"/>
    <mergeCell ref="Y161:Z161"/>
    <mergeCell ref="AA225:AC225"/>
    <mergeCell ref="N253:P253"/>
    <mergeCell ref="X66:Y66"/>
    <mergeCell ref="C21:N21"/>
    <mergeCell ref="N44:P44"/>
    <mergeCell ref="AA227:AC227"/>
    <mergeCell ref="Y192:Z192"/>
    <mergeCell ref="AD109:AE109"/>
    <mergeCell ref="AC177:AE177"/>
    <mergeCell ref="S172:U172"/>
    <mergeCell ref="Y187:Z187"/>
    <mergeCell ref="T262:U262"/>
    <mergeCell ref="AD104:AE104"/>
    <mergeCell ref="AB75:AE75"/>
    <mergeCell ref="Y189:Z189"/>
    <mergeCell ref="X242:Y242"/>
    <mergeCell ref="S198:U198"/>
    <mergeCell ref="S170:U170"/>
    <mergeCell ref="K244:M244"/>
    <mergeCell ref="K271:M271"/>
    <mergeCell ref="X87:Z87"/>
    <mergeCell ref="Z62:AB62"/>
    <mergeCell ref="K237:M237"/>
    <mergeCell ref="Z56:AB56"/>
    <mergeCell ref="S199:U199"/>
    <mergeCell ref="AC39:AE39"/>
    <mergeCell ref="K273:M273"/>
    <mergeCell ref="Z64:AB64"/>
    <mergeCell ref="K239:M239"/>
    <mergeCell ref="Q185:R185"/>
    <mergeCell ref="AA182:AB182"/>
    <mergeCell ref="AD305:AE305"/>
    <mergeCell ref="Q193:R193"/>
    <mergeCell ref="AA175:AB175"/>
    <mergeCell ref="AA297:AC297"/>
    <mergeCell ref="Q186:R186"/>
    <mergeCell ref="AA177:AB177"/>
    <mergeCell ref="AC241:AE241"/>
    <mergeCell ref="H254:J254"/>
    <mergeCell ref="K255:M255"/>
    <mergeCell ref="C181:D181"/>
    <mergeCell ref="AC243:AE243"/>
    <mergeCell ref="H256:J256"/>
    <mergeCell ref="C89:N89"/>
    <mergeCell ref="C174:D174"/>
    <mergeCell ref="C116:N116"/>
    <mergeCell ref="AC242:AE242"/>
    <mergeCell ref="C88:N88"/>
    <mergeCell ref="E240:G240"/>
    <mergeCell ref="T57:U57"/>
    <mergeCell ref="T29:U29"/>
    <mergeCell ref="C117:N117"/>
    <mergeCell ref="N167:P167"/>
    <mergeCell ref="Q198:R198"/>
    <mergeCell ref="T58:U58"/>
    <mergeCell ref="C115:N115"/>
    <mergeCell ref="T54:U54"/>
    <mergeCell ref="Q49:S49"/>
    <mergeCell ref="O297:W297"/>
    <mergeCell ref="K39:M39"/>
    <mergeCell ref="N40:P40"/>
    <mergeCell ref="C44:D44"/>
    <mergeCell ref="N162:P162"/>
    <mergeCell ref="V276:W276"/>
    <mergeCell ref="N35:P35"/>
    <mergeCell ref="H171:J171"/>
    <mergeCell ref="H165:J165"/>
    <mergeCell ref="Y183:Z183"/>
    <mergeCell ref="AD100:AE100"/>
    <mergeCell ref="H181:J181"/>
    <mergeCell ref="N66:P66"/>
    <mergeCell ref="Y185:Z185"/>
    <mergeCell ref="C245:D245"/>
    <mergeCell ref="V55:W55"/>
    <mergeCell ref="N68:P68"/>
    <mergeCell ref="K50:M50"/>
    <mergeCell ref="C155:AE155"/>
    <mergeCell ref="K181:M181"/>
    <mergeCell ref="X240:Y240"/>
    <mergeCell ref="S160:U160"/>
    <mergeCell ref="N61:P61"/>
    <mergeCell ref="AC184:AE184"/>
    <mergeCell ref="K58:M58"/>
    <mergeCell ref="K52:M52"/>
    <mergeCell ref="C151:AE151"/>
    <mergeCell ref="S195:U195"/>
    <mergeCell ref="H199:J199"/>
    <mergeCell ref="Q276:S276"/>
    <mergeCell ref="O94:W94"/>
    <mergeCell ref="C146:G146"/>
    <mergeCell ref="K53:M53"/>
    <mergeCell ref="X114:Z114"/>
    <mergeCell ref="X49:Y49"/>
    <mergeCell ref="E183:G183"/>
    <mergeCell ref="Q278:S278"/>
    <mergeCell ref="X260:Y260"/>
    <mergeCell ref="C273:D273"/>
    <mergeCell ref="V45:W45"/>
    <mergeCell ref="Q271:S271"/>
    <mergeCell ref="Y198:Z198"/>
    <mergeCell ref="X259:Y259"/>
    <mergeCell ref="X111:Z111"/>
    <mergeCell ref="C149:G149"/>
    <mergeCell ref="Q273:S273"/>
    <mergeCell ref="AC28:AE28"/>
    <mergeCell ref="H41:J41"/>
    <mergeCell ref="X261:Y261"/>
    <mergeCell ref="S179:U179"/>
    <mergeCell ref="AC239:AE239"/>
    <mergeCell ref="H252:J252"/>
    <mergeCell ref="C81:AE81"/>
    <mergeCell ref="AC30:AE30"/>
    <mergeCell ref="AC238:AE238"/>
    <mergeCell ref="AC240:AE240"/>
    <mergeCell ref="O302:W302"/>
    <mergeCell ref="C163:D163"/>
    <mergeCell ref="AB290:AE290"/>
    <mergeCell ref="AC250:AE250"/>
    <mergeCell ref="H263:J263"/>
    <mergeCell ref="C223:AE223"/>
    <mergeCell ref="X274:Y274"/>
    <mergeCell ref="C229:N229"/>
    <mergeCell ref="V241:W241"/>
    <mergeCell ref="Z257:AB257"/>
    <mergeCell ref="H265:J265"/>
    <mergeCell ref="T56:U56"/>
    <mergeCell ref="C158:D158"/>
    <mergeCell ref="N164:P164"/>
    <mergeCell ref="Z242:AB242"/>
    <mergeCell ref="C220:G220"/>
    <mergeCell ref="AD202:AE202"/>
    <mergeCell ref="Z252:AB252"/>
    <mergeCell ref="N57:P57"/>
    <mergeCell ref="Z269:AB269"/>
    <mergeCell ref="C234:AE234"/>
    <mergeCell ref="Z270:AB270"/>
    <mergeCell ref="E277:G277"/>
    <mergeCell ref="X45:Y45"/>
    <mergeCell ref="T66:U66"/>
    <mergeCell ref="Q243:S243"/>
    <mergeCell ref="Q242:S242"/>
    <mergeCell ref="E181:G181"/>
    <mergeCell ref="V159:X159"/>
    <mergeCell ref="X46:Y46"/>
    <mergeCell ref="K163:M163"/>
    <mergeCell ref="C53:D53"/>
    <mergeCell ref="Q244:S244"/>
    <mergeCell ref="X257:Y257"/>
    <mergeCell ref="V161:X161"/>
    <mergeCell ref="X48:Y48"/>
    <mergeCell ref="H293:W293"/>
    <mergeCell ref="X75:AA75"/>
    <mergeCell ref="C301:N301"/>
    <mergeCell ref="K67:M67"/>
    <mergeCell ref="O118:W118"/>
    <mergeCell ref="X225:Z225"/>
    <mergeCell ref="C303:N303"/>
    <mergeCell ref="H32:J32"/>
    <mergeCell ref="T242:U242"/>
    <mergeCell ref="N259:P259"/>
    <mergeCell ref="C255:D255"/>
    <mergeCell ref="N261:P261"/>
    <mergeCell ref="Q262:S262"/>
    <mergeCell ref="S178:U178"/>
    <mergeCell ref="V179:X179"/>
    <mergeCell ref="H4:W4"/>
    <mergeCell ref="AC52:AE52"/>
    <mergeCell ref="Q255:S255"/>
    <mergeCell ref="AB217:AE217"/>
    <mergeCell ref="AC45:AE45"/>
    <mergeCell ref="AC37:AE37"/>
    <mergeCell ref="H50:J50"/>
    <mergeCell ref="C161:D161"/>
    <mergeCell ref="X270:Y270"/>
    <mergeCell ref="C225:N225"/>
    <mergeCell ref="AC47:AE47"/>
    <mergeCell ref="H236:J236"/>
    <mergeCell ref="E51:G51"/>
    <mergeCell ref="C227:N227"/>
    <mergeCell ref="V239:W239"/>
    <mergeCell ref="C226:N226"/>
    <mergeCell ref="N272:P272"/>
    <mergeCell ref="Z39:AB39"/>
    <mergeCell ref="T47:U47"/>
    <mergeCell ref="V240:W240"/>
    <mergeCell ref="AC63:AE63"/>
    <mergeCell ref="AA305:AC305"/>
    <mergeCell ref="AA157:AB157"/>
    <mergeCell ref="N274:P274"/>
    <mergeCell ref="C180:D180"/>
    <mergeCell ref="C182:D182"/>
    <mergeCell ref="V250:W250"/>
    <mergeCell ref="Z266:AB266"/>
    <mergeCell ref="Q28:S28"/>
    <mergeCell ref="Q178:R178"/>
    <mergeCell ref="Z268:AB268"/>
    <mergeCell ref="C233:AE233"/>
    <mergeCell ref="V251:W251"/>
    <mergeCell ref="Q29:S29"/>
    <mergeCell ref="K159:M159"/>
    <mergeCell ref="V278:W278"/>
    <mergeCell ref="V253:W253"/>
    <mergeCell ref="Q240:S240"/>
    <mergeCell ref="N170:P170"/>
    <mergeCell ref="Q31:S31"/>
    <mergeCell ref="V157:X157"/>
    <mergeCell ref="K161:M161"/>
    <mergeCell ref="N172:P172"/>
    <mergeCell ref="N199:P199"/>
    <mergeCell ref="E172:G172"/>
    <mergeCell ref="AD108:AE108"/>
    <mergeCell ref="C251:D251"/>
    <mergeCell ref="V183:X183"/>
    <mergeCell ref="N257:P257"/>
    <mergeCell ref="K187:M187"/>
    <mergeCell ref="AA100:AC100"/>
    <mergeCell ref="S174:U174"/>
    <mergeCell ref="X246:Y246"/>
    <mergeCell ref="C253:D253"/>
    <mergeCell ref="V185:X185"/>
    <mergeCell ref="C108:N108"/>
    <mergeCell ref="E165:G165"/>
    <mergeCell ref="Q42:S42"/>
    <mergeCell ref="K189:M189"/>
    <mergeCell ref="N252:P252"/>
    <mergeCell ref="Q253:S253"/>
    <mergeCell ref="C20:N20"/>
    <mergeCell ref="X241:Y241"/>
    <mergeCell ref="C254:D254"/>
    <mergeCell ref="AC166:AE166"/>
    <mergeCell ref="C248:D248"/>
    <mergeCell ref="AC160:AE160"/>
    <mergeCell ref="AC43:AE43"/>
    <mergeCell ref="H173:J173"/>
    <mergeCell ref="T260:U260"/>
    <mergeCell ref="H3:W3"/>
    <mergeCell ref="C22:N22"/>
    <mergeCell ref="AC168:AE168"/>
    <mergeCell ref="T259:U259"/>
    <mergeCell ref="Y176:Z176"/>
    <mergeCell ref="E191:G191"/>
    <mergeCell ref="H5:W5"/>
    <mergeCell ref="AC161:AE161"/>
    <mergeCell ref="X148:AA148"/>
    <mergeCell ref="T261:U261"/>
    <mergeCell ref="S158:U158"/>
    <mergeCell ref="N59:P59"/>
    <mergeCell ref="V196:X196"/>
    <mergeCell ref="N270:P270"/>
    <mergeCell ref="AD281:AE281"/>
    <mergeCell ref="S159:U159"/>
    <mergeCell ref="V198:X198"/>
    <mergeCell ref="H67:J67"/>
    <mergeCell ref="N271:P271"/>
    <mergeCell ref="S161:U161"/>
    <mergeCell ref="E33:G33"/>
    <mergeCell ref="S188:U188"/>
    <mergeCell ref="AC62:AE62"/>
    <mergeCell ref="V37:W37"/>
    <mergeCell ref="E244:G244"/>
    <mergeCell ref="T272:U272"/>
    <mergeCell ref="X290:AA290"/>
    <mergeCell ref="V247:W247"/>
    <mergeCell ref="AA181:AB181"/>
    <mergeCell ref="V38:W38"/>
    <mergeCell ref="E245:G245"/>
    <mergeCell ref="T274:U274"/>
    <mergeCell ref="X15:Z15"/>
    <mergeCell ref="V249:W249"/>
    <mergeCell ref="AA166:AB166"/>
    <mergeCell ref="Q27:S27"/>
    <mergeCell ref="V63:W63"/>
    <mergeCell ref="AA168:AB168"/>
    <mergeCell ref="N168:P168"/>
    <mergeCell ref="C122:N122"/>
    <mergeCell ref="N195:P195"/>
    <mergeCell ref="H245:J245"/>
    <mergeCell ref="E255:G255"/>
    <mergeCell ref="C51:D51"/>
    <mergeCell ref="N197:P197"/>
    <mergeCell ref="Z250:AB250"/>
    <mergeCell ref="E263:G263"/>
    <mergeCell ref="AA192:AB192"/>
    <mergeCell ref="C38:D38"/>
    <mergeCell ref="AA194:AB194"/>
    <mergeCell ref="AC258:AE258"/>
    <mergeCell ref="K272:M272"/>
    <mergeCell ref="Q55:S55"/>
    <mergeCell ref="Q38:S38"/>
    <mergeCell ref="K185:M185"/>
    <mergeCell ref="V262:W262"/>
    <mergeCell ref="C33:D33"/>
    <mergeCell ref="AC260:AE260"/>
    <mergeCell ref="K178:M178"/>
    <mergeCell ref="T45:U45"/>
    <mergeCell ref="N179:P179"/>
    <mergeCell ref="N39:P39"/>
    <mergeCell ref="Q40:S40"/>
    <mergeCell ref="C105:N105"/>
    <mergeCell ref="C35:D35"/>
    <mergeCell ref="K186:M186"/>
    <mergeCell ref="AC164:AE164"/>
    <mergeCell ref="E187:G187"/>
    <mergeCell ref="H48:J48"/>
    <mergeCell ref="AC157:AE157"/>
    <mergeCell ref="T257:U257"/>
    <mergeCell ref="Y174:Z174"/>
    <mergeCell ref="E189:G189"/>
    <mergeCell ref="Q66:S66"/>
    <mergeCell ref="K196:M196"/>
    <mergeCell ref="C295:AE295"/>
    <mergeCell ref="O96:W96"/>
    <mergeCell ref="H43:J43"/>
    <mergeCell ref="Q68:S68"/>
    <mergeCell ref="AC190:AE190"/>
    <mergeCell ref="AA117:AC117"/>
    <mergeCell ref="N50:P50"/>
    <mergeCell ref="K198:M198"/>
    <mergeCell ref="N243:P243"/>
    <mergeCell ref="O98:W98"/>
    <mergeCell ref="AC183:AE183"/>
    <mergeCell ref="N236:P236"/>
    <mergeCell ref="E29:G29"/>
    <mergeCell ref="H68:J68"/>
    <mergeCell ref="C263:D263"/>
    <mergeCell ref="AC175:AE175"/>
    <mergeCell ref="H188:J188"/>
    <mergeCell ref="AD117:AE117"/>
    <mergeCell ref="AC185:AE185"/>
    <mergeCell ref="AA112:AC112"/>
    <mergeCell ref="E31:G31"/>
    <mergeCell ref="S186:U186"/>
    <mergeCell ref="O93:W93"/>
    <mergeCell ref="AD303:AE303"/>
    <mergeCell ref="Q236:S236"/>
    <mergeCell ref="V34:W34"/>
    <mergeCell ref="C147:G147"/>
    <mergeCell ref="T270:U270"/>
    <mergeCell ref="V28:W28"/>
    <mergeCell ref="E26:G26"/>
    <mergeCell ref="X100:Z100"/>
    <mergeCell ref="V30:W30"/>
    <mergeCell ref="C91:N91"/>
    <mergeCell ref="C9:AE9"/>
    <mergeCell ref="H74:W74"/>
    <mergeCell ref="O111:W111"/>
    <mergeCell ref="X95:Z95"/>
    <mergeCell ref="C11:AE11"/>
    <mergeCell ref="C86:N86"/>
    <mergeCell ref="E42:G42"/>
    <mergeCell ref="AD16:AE16"/>
    <mergeCell ref="X281:Z281"/>
    <mergeCell ref="X97:Z97"/>
    <mergeCell ref="AC198:AE198"/>
    <mergeCell ref="E44:G44"/>
    <mergeCell ref="T27:U27"/>
    <mergeCell ref="V62:W62"/>
    <mergeCell ref="V56:W56"/>
    <mergeCell ref="O108:W108"/>
    <mergeCell ref="Q158:R158"/>
    <mergeCell ref="C77:G77"/>
    <mergeCell ref="AA190:AB190"/>
    <mergeCell ref="C69:AE69"/>
    <mergeCell ref="Q160:R160"/>
    <mergeCell ref="AA281:AC281"/>
    <mergeCell ref="S196:U196"/>
    <mergeCell ref="AC256:AE256"/>
    <mergeCell ref="K270:M270"/>
    <mergeCell ref="K263:M263"/>
    <mergeCell ref="Q184:R184"/>
    <mergeCell ref="C106:N106"/>
    <mergeCell ref="AC257:AE257"/>
    <mergeCell ref="H264:J264"/>
    <mergeCell ref="K265:M265"/>
    <mergeCell ref="C60:D60"/>
    <mergeCell ref="C219:G219"/>
    <mergeCell ref="C101:N101"/>
    <mergeCell ref="AB149:AE149"/>
    <mergeCell ref="X44:Y44"/>
    <mergeCell ref="C57:D57"/>
    <mergeCell ref="C82:AE82"/>
    <mergeCell ref="AC275:AE275"/>
    <mergeCell ref="AC269:AE269"/>
    <mergeCell ref="C58:D58"/>
    <mergeCell ref="C83:AE83"/>
    <mergeCell ref="AD88:AE88"/>
    <mergeCell ref="AC181:AE181"/>
    <mergeCell ref="K195:M195"/>
    <mergeCell ref="C300:N300"/>
    <mergeCell ref="AC270:AE270"/>
    <mergeCell ref="H65:J65"/>
    <mergeCell ref="AD90:AE90"/>
    <mergeCell ref="K38:M38"/>
    <mergeCell ref="Y158:Z158"/>
    <mergeCell ref="O203:W203"/>
    <mergeCell ref="Y168:Z168"/>
    <mergeCell ref="X63:Y63"/>
    <mergeCell ref="H179:J179"/>
    <mergeCell ref="S177:U177"/>
    <mergeCell ref="X91:Z91"/>
    <mergeCell ref="C7:AE7"/>
    <mergeCell ref="AD12:AE12"/>
    <mergeCell ref="Y184:Z184"/>
    <mergeCell ref="H49:J49"/>
    <mergeCell ref="K252:M252"/>
    <mergeCell ref="AC194:AE194"/>
    <mergeCell ref="AD20:AE20"/>
    <mergeCell ref="Q259:S259"/>
    <mergeCell ref="AD14:AE14"/>
    <mergeCell ref="V176:X176"/>
    <mergeCell ref="AB221:AE221"/>
    <mergeCell ref="AD13:AE13"/>
    <mergeCell ref="C246:D246"/>
    <mergeCell ref="Q261:S261"/>
    <mergeCell ref="V178:X178"/>
    <mergeCell ref="X117:Z117"/>
    <mergeCell ref="AD15:AE15"/>
    <mergeCell ref="E66:G66"/>
    <mergeCell ref="AC36:AE36"/>
    <mergeCell ref="K236:M236"/>
    <mergeCell ref="E68:G68"/>
    <mergeCell ref="Z54:AB54"/>
    <mergeCell ref="E67:G67"/>
    <mergeCell ref="C97:N97"/>
    <mergeCell ref="T36:U36"/>
    <mergeCell ref="Q183:R183"/>
    <mergeCell ref="H251:J251"/>
    <mergeCell ref="C172:D172"/>
    <mergeCell ref="H278:J278"/>
    <mergeCell ref="Z239:AB239"/>
    <mergeCell ref="H253:J253"/>
    <mergeCell ref="C171:D171"/>
    <mergeCell ref="AA202:AC202"/>
    <mergeCell ref="C79:AE79"/>
    <mergeCell ref="C123:N123"/>
    <mergeCell ref="AB148:AE148"/>
    <mergeCell ref="T62:U62"/>
    <mergeCell ref="C173:D173"/>
    <mergeCell ref="K160:M160"/>
    <mergeCell ref="E237:G237"/>
    <mergeCell ref="AC266:AE266"/>
    <mergeCell ref="H273:J273"/>
    <mergeCell ref="T64:U64"/>
    <mergeCell ref="E239:G239"/>
    <mergeCell ref="H220:W220"/>
    <mergeCell ref="AC268:AE268"/>
    <mergeCell ref="K34:M34"/>
    <mergeCell ref="N160:P160"/>
    <mergeCell ref="K36:M36"/>
    <mergeCell ref="N159:P159"/>
    <mergeCell ref="Q196:R196"/>
    <mergeCell ref="K29:M29"/>
    <mergeCell ref="H177:J177"/>
    <mergeCell ref="C113:N113"/>
    <mergeCell ref="N161:P161"/>
    <mergeCell ref="AD226:AE226"/>
    <mergeCell ref="K31:M31"/>
    <mergeCell ref="E167:G167"/>
    <mergeCell ref="V269:W269"/>
    <mergeCell ref="Y180:Z180"/>
    <mergeCell ref="O202:W202"/>
    <mergeCell ref="AC165:AE165"/>
    <mergeCell ref="AD228:AE228"/>
    <mergeCell ref="E169:G169"/>
    <mergeCell ref="Z278:AB278"/>
    <mergeCell ref="Y182:Z182"/>
    <mergeCell ref="Q46:S46"/>
    <mergeCell ref="AD99:AE99"/>
    <mergeCell ref="K176:M176"/>
    <mergeCell ref="X93:Z93"/>
    <mergeCell ref="E162:G162"/>
    <mergeCell ref="C242:D242"/>
    <mergeCell ref="Q257:S257"/>
    <mergeCell ref="N187:P187"/>
    <mergeCell ref="Q48:S48"/>
    <mergeCell ref="V174:X174"/>
    <mergeCell ref="X239:Y239"/>
    <mergeCell ref="C252:D252"/>
    <mergeCell ref="E164:G164"/>
    <mergeCell ref="C244:D244"/>
    <mergeCell ref="K49:M49"/>
    <mergeCell ref="K171:M171"/>
    <mergeCell ref="S192:U192"/>
    <mergeCell ref="X306:AE306"/>
    <mergeCell ref="E195:G195"/>
    <mergeCell ref="H196:J196"/>
    <mergeCell ref="E180:G180"/>
    <mergeCell ref="K261:M261"/>
    <mergeCell ref="H191:J191"/>
    <mergeCell ref="E182:G182"/>
    <mergeCell ref="E65:G65"/>
    <mergeCell ref="X108:Z108"/>
    <mergeCell ref="Q270:S270"/>
    <mergeCell ref="X258:Y258"/>
    <mergeCell ref="C271:D271"/>
    <mergeCell ref="C265:D265"/>
    <mergeCell ref="AC60:AE60"/>
    <mergeCell ref="H249:J249"/>
    <mergeCell ref="E179:G179"/>
    <mergeCell ref="T276:U276"/>
    <mergeCell ref="H242:J242"/>
    <mergeCell ref="C80:AE80"/>
    <mergeCell ref="T278:U278"/>
    <mergeCell ref="V36:W36"/>
    <mergeCell ref="H244:J244"/>
    <mergeCell ref="T60:U60"/>
    <mergeCell ref="AA13:AC13"/>
    <mergeCell ref="S176:U176"/>
    <mergeCell ref="AA15:AC15"/>
    <mergeCell ref="C195:D195"/>
    <mergeCell ref="X304:Z304"/>
    <mergeCell ref="Z37:AB37"/>
    <mergeCell ref="AB289:AE289"/>
    <mergeCell ref="Z254:AB254"/>
    <mergeCell ref="C197:D197"/>
    <mergeCell ref="Z248:AB248"/>
    <mergeCell ref="E261:G261"/>
    <mergeCell ref="H262:J262"/>
    <mergeCell ref="Z247:AB247"/>
    <mergeCell ref="Q166:R166"/>
    <mergeCell ref="N186:P186"/>
    <mergeCell ref="O12:W12"/>
    <mergeCell ref="Z249:AB249"/>
    <mergeCell ref="E256:G256"/>
    <mergeCell ref="V266:W266"/>
    <mergeCell ref="O14:W14"/>
    <mergeCell ref="N183:P183"/>
    <mergeCell ref="X201:Z201"/>
    <mergeCell ref="O13:W13"/>
    <mergeCell ref="V268:W268"/>
    <mergeCell ref="X26:Y26"/>
    <mergeCell ref="C39:D39"/>
    <mergeCell ref="N54:P54"/>
    <mergeCell ref="X203:Z203"/>
    <mergeCell ref="O15:W15"/>
    <mergeCell ref="AB219:AE219"/>
    <mergeCell ref="K55:M55"/>
    <mergeCell ref="N56:P56"/>
    <mergeCell ref="C281:N281"/>
    <mergeCell ref="Q39:S39"/>
    <mergeCell ref="K169:M169"/>
    <mergeCell ref="X27:Y27"/>
    <mergeCell ref="Z267:AB267"/>
    <mergeCell ref="C280:N280"/>
    <mergeCell ref="E274:G274"/>
    <mergeCell ref="K46:M46"/>
    <mergeCell ref="K40:M40"/>
    <mergeCell ref="Q179:R179"/>
    <mergeCell ref="AA88:AC88"/>
    <mergeCell ref="X52:Y52"/>
    <mergeCell ref="E186:G186"/>
    <mergeCell ref="H187:J187"/>
    <mergeCell ref="Z262:AB262"/>
    <mergeCell ref="X37:Y37"/>
    <mergeCell ref="C50:D50"/>
    <mergeCell ref="T246:U246"/>
    <mergeCell ref="Q241:S241"/>
    <mergeCell ref="AD118:AE118"/>
    <mergeCell ref="N196:P196"/>
    <mergeCell ref="S157:U157"/>
    <mergeCell ref="V158:X158"/>
    <mergeCell ref="V193:X193"/>
    <mergeCell ref="K66:M66"/>
    <mergeCell ref="AB361:AE361"/>
    <mergeCell ref="K197:M197"/>
    <mergeCell ref="N198:P198"/>
    <mergeCell ref="H30:J30"/>
    <mergeCell ref="V160:X160"/>
    <mergeCell ref="X256:Y256"/>
    <mergeCell ref="X38:Y38"/>
    <mergeCell ref="X99:Z99"/>
    <mergeCell ref="T241:U241"/>
    <mergeCell ref="H29:J29"/>
    <mergeCell ref="K68:M68"/>
    <mergeCell ref="AC174:AE174"/>
    <mergeCell ref="T243:U243"/>
    <mergeCell ref="H31:J31"/>
    <mergeCell ref="H58:J58"/>
    <mergeCell ref="Y160:Z160"/>
    <mergeCell ref="C264:D264"/>
    <mergeCell ref="C293:G293"/>
    <mergeCell ref="H60:J60"/>
    <mergeCell ref="AC42:AE42"/>
    <mergeCell ref="Z33:AB33"/>
    <mergeCell ref="E46:G46"/>
    <mergeCell ref="X267:Y267"/>
    <mergeCell ref="C274:D274"/>
    <mergeCell ref="AC44:AE44"/>
    <mergeCell ref="H57:J57"/>
    <mergeCell ref="Z35:AB35"/>
    <mergeCell ref="X269:Y269"/>
    <mergeCell ref="O110:W110"/>
    <mergeCell ref="Q162:R162"/>
    <mergeCell ref="Z34:AB34"/>
    <mergeCell ref="Z28:AB28"/>
    <mergeCell ref="E41:G41"/>
    <mergeCell ref="H42:J42"/>
    <mergeCell ref="Z245:AB245"/>
    <mergeCell ref="X149:AA149"/>
    <mergeCell ref="Z36:AB36"/>
    <mergeCell ref="Z30:AB30"/>
    <mergeCell ref="E43:G43"/>
    <mergeCell ref="Q157:R157"/>
    <mergeCell ref="V53:W53"/>
    <mergeCell ref="X303:Z303"/>
    <mergeCell ref="Z61:AB61"/>
    <mergeCell ref="V46:W46"/>
    <mergeCell ref="O92:W92"/>
    <mergeCell ref="C179:D179"/>
    <mergeCell ref="N185:P185"/>
    <mergeCell ref="E276:G276"/>
    <mergeCell ref="E270:G270"/>
    <mergeCell ref="Q175:R175"/>
    <mergeCell ref="X291:AA291"/>
    <mergeCell ref="E271:G271"/>
    <mergeCell ref="Q177:R177"/>
    <mergeCell ref="C46:D46"/>
    <mergeCell ref="Q176:R176"/>
    <mergeCell ref="Z260:AB260"/>
    <mergeCell ref="E273:G273"/>
    <mergeCell ref="N27:P27"/>
    <mergeCell ref="K158:M158"/>
    <mergeCell ref="AD203:AE203"/>
    <mergeCell ref="C48:D48"/>
    <mergeCell ref="C87:N87"/>
    <mergeCell ref="X51:Y51"/>
    <mergeCell ref="X220:AA220"/>
    <mergeCell ref="T34:U34"/>
    <mergeCell ref="T28:U28"/>
    <mergeCell ref="X36:Y36"/>
    <mergeCell ref="C306:N306"/>
    <mergeCell ref="T245:U245"/>
    <mergeCell ref="T239:U239"/>
    <mergeCell ref="Y162:Z162"/>
    <mergeCell ref="AA226:AC226"/>
    <mergeCell ref="X221:AA221"/>
    <mergeCell ref="T30:U30"/>
    <mergeCell ref="X67:Y67"/>
    <mergeCell ref="AD229:AE229"/>
    <mergeCell ref="X61:Y61"/>
    <mergeCell ref="Y164:Z164"/>
    <mergeCell ref="C250:D250"/>
    <mergeCell ref="N247:P247"/>
    <mergeCell ref="V182:X182"/>
    <mergeCell ref="T240:U240"/>
    <mergeCell ref="N38:P38"/>
    <mergeCell ref="AA99:AC99"/>
    <mergeCell ref="Y157:Z157"/>
    <mergeCell ref="E197:G197"/>
    <mergeCell ref="N249:P249"/>
    <mergeCell ref="X62:Y62"/>
    <mergeCell ref="K179:M179"/>
    <mergeCell ref="C309:AE309"/>
    <mergeCell ref="H170:J170"/>
    <mergeCell ref="Y188:Z188"/>
    <mergeCell ref="V177:X177"/>
    <mergeCell ref="AD105:AE105"/>
    <mergeCell ref="X64:Y64"/>
    <mergeCell ref="AA94:AC94"/>
    <mergeCell ref="C19:N19"/>
    <mergeCell ref="S168:U168"/>
    <mergeCell ref="C311:AE311"/>
    <mergeCell ref="H172:J172"/>
    <mergeCell ref="Y190:Z190"/>
    <mergeCell ref="S167:U167"/>
    <mergeCell ref="AC158:AE158"/>
    <mergeCell ref="X145:AA145"/>
    <mergeCell ref="T258:U258"/>
    <mergeCell ref="Z32:AB32"/>
    <mergeCell ref="Y175:Z175"/>
    <mergeCell ref="E39:G39"/>
    <mergeCell ref="S169:U169"/>
    <mergeCell ref="C14:N14"/>
    <mergeCell ref="S165:U165"/>
    <mergeCell ref="N267:P267"/>
    <mergeCell ref="X147:AA147"/>
    <mergeCell ref="C3:G3"/>
    <mergeCell ref="X238:Y238"/>
    <mergeCell ref="S194:U194"/>
    <mergeCell ref="O88:W88"/>
    <mergeCell ref="C5:G5"/>
    <mergeCell ref="O99:W99"/>
    <mergeCell ref="N262:P262"/>
    <mergeCell ref="C24:AE24"/>
    <mergeCell ref="H66:J66"/>
    <mergeCell ref="C177:D177"/>
    <mergeCell ref="E57:G57"/>
    <mergeCell ref="V44:W44"/>
    <mergeCell ref="Z60:AB60"/>
    <mergeCell ref="E243:G243"/>
    <mergeCell ref="AA172:AB172"/>
    <mergeCell ref="X289:AA289"/>
    <mergeCell ref="Z45:AB45"/>
    <mergeCell ref="E58:G58"/>
    <mergeCell ref="X12:Z12"/>
    <mergeCell ref="S184:U184"/>
    <mergeCell ref="Z55:AB55"/>
    <mergeCell ref="AA173:AB173"/>
    <mergeCell ref="AC237:AE237"/>
    <mergeCell ref="K251:M251"/>
    <mergeCell ref="Q174:R174"/>
    <mergeCell ref="Q168:R168"/>
    <mergeCell ref="AA165:AB165"/>
    <mergeCell ref="X13:Z13"/>
    <mergeCell ref="K253:M253"/>
    <mergeCell ref="C112:N112"/>
    <mergeCell ref="Q199:R199"/>
    <mergeCell ref="N194:P194"/>
    <mergeCell ref="C114:N114"/>
    <mergeCell ref="T53:U53"/>
    <mergeCell ref="Q44:S44"/>
    <mergeCell ref="Q194:R194"/>
    <mergeCell ref="H27:J27"/>
    <mergeCell ref="T55:U55"/>
    <mergeCell ref="AA191:AB191"/>
    <mergeCell ref="AC255:AE255"/>
    <mergeCell ref="N34:P34"/>
    <mergeCell ref="AD227:AE227"/>
    <mergeCell ref="Q45:S45"/>
    <mergeCell ref="C124:AE124"/>
    <mergeCell ref="C188:D188"/>
    <mergeCell ref="X58:Y58"/>
    <mergeCell ref="K175:M175"/>
    <mergeCell ref="N36:P36"/>
    <mergeCell ref="H166:J166"/>
    <mergeCell ref="Q47:S47"/>
    <mergeCell ref="AA96:AC96"/>
    <mergeCell ref="X60:Y60"/>
    <mergeCell ref="AA90:AC90"/>
    <mergeCell ref="K177:M177"/>
    <mergeCell ref="H168:J168"/>
    <mergeCell ref="Y186:Z186"/>
    <mergeCell ref="C104:N104"/>
    <mergeCell ref="T37:U37"/>
    <mergeCell ref="H167:J167"/>
    <mergeCell ref="H161:J161"/>
    <mergeCell ref="AD96:AE96"/>
    <mergeCell ref="X361:AA361"/>
    <mergeCell ref="H169:J169"/>
    <mergeCell ref="N62:P62"/>
    <mergeCell ref="Q63:S63"/>
    <mergeCell ref="AA123:AC123"/>
    <mergeCell ref="Y181:Z181"/>
    <mergeCell ref="C99:N99"/>
    <mergeCell ref="T38:U38"/>
    <mergeCell ref="AD98:AE98"/>
    <mergeCell ref="N176:P176"/>
    <mergeCell ref="AA116:AC116"/>
    <mergeCell ref="N64:P64"/>
    <mergeCell ref="H194:J194"/>
    <mergeCell ref="O95:W95"/>
    <mergeCell ref="T63:U63"/>
    <mergeCell ref="O89:W89"/>
    <mergeCell ref="AA118:AC118"/>
    <mergeCell ref="AC180:AE180"/>
    <mergeCell ref="K48:M48"/>
    <mergeCell ref="AC182:AE182"/>
    <mergeCell ref="AA109:AC109"/>
    <mergeCell ref="H195:J195"/>
    <mergeCell ref="H189:J189"/>
    <mergeCell ref="O90:W90"/>
    <mergeCell ref="Y199:Z199"/>
    <mergeCell ref="S193:U193"/>
    <mergeCell ref="AD116:AE116"/>
    <mergeCell ref="H197:J197"/>
    <mergeCell ref="X110:Z110"/>
    <mergeCell ref="S180:U180"/>
    <mergeCell ref="Y194:Z194"/>
    <mergeCell ref="X247:Y247"/>
    <mergeCell ref="K247:M247"/>
    <mergeCell ref="K277:M277"/>
    <mergeCell ref="S175:U175"/>
    <mergeCell ref="K249:M249"/>
    <mergeCell ref="K276:M276"/>
    <mergeCell ref="K243:M243"/>
    <mergeCell ref="X92:Z92"/>
    <mergeCell ref="AC26:AE26"/>
    <mergeCell ref="E49:G49"/>
    <mergeCell ref="K278:M278"/>
    <mergeCell ref="X94:Z94"/>
    <mergeCell ref="V59:W59"/>
    <mergeCell ref="E163:G163"/>
    <mergeCell ref="AC251:AE251"/>
    <mergeCell ref="T26:U26"/>
    <mergeCell ref="E251:G251"/>
    <mergeCell ref="X275:Y275"/>
    <mergeCell ref="C76:G76"/>
    <mergeCell ref="V54:W54"/>
    <mergeCell ref="AC253:AE253"/>
    <mergeCell ref="C159:D159"/>
    <mergeCell ref="X277:Y277"/>
    <mergeCell ref="AC246:AE246"/>
    <mergeCell ref="H259:J259"/>
    <mergeCell ref="C186:D186"/>
    <mergeCell ref="AC254:AE254"/>
    <mergeCell ref="AC248:AE248"/>
    <mergeCell ref="H261:J261"/>
    <mergeCell ref="K262:M262"/>
    <mergeCell ref="Z238:AB238"/>
    <mergeCell ref="AB146:AE146"/>
    <mergeCell ref="C95:N95"/>
    <mergeCell ref="O301:W301"/>
    <mergeCell ref="Z240:AB240"/>
    <mergeCell ref="C54:D54"/>
    <mergeCell ref="C218:G218"/>
    <mergeCell ref="N60:P60"/>
    <mergeCell ref="AA201:AC201"/>
    <mergeCell ref="C56:D56"/>
    <mergeCell ref="C230:AE230"/>
    <mergeCell ref="X42:Y42"/>
    <mergeCell ref="X202:Z202"/>
    <mergeCell ref="AA203:AC203"/>
    <mergeCell ref="H272:J272"/>
    <mergeCell ref="T61:U61"/>
    <mergeCell ref="N55:P55"/>
    <mergeCell ref="Q56:S56"/>
    <mergeCell ref="C232:AE232"/>
    <mergeCell ref="AC267:AE267"/>
    <mergeCell ref="H274:J274"/>
    <mergeCell ref="AD87:AE87"/>
    <mergeCell ref="H193:J193"/>
    <mergeCell ref="AD122:AE122"/>
    <mergeCell ref="H64:J64"/>
    <mergeCell ref="X43:Y43"/>
    <mergeCell ref="Y165:Z165"/>
    <mergeCell ref="AA229:AC229"/>
    <mergeCell ref="AD107:AE107"/>
    <mergeCell ref="O226:W226"/>
    <mergeCell ref="O201:W201"/>
    <mergeCell ref="C297:N297"/>
    <mergeCell ref="AB73:AE73"/>
    <mergeCell ref="O228:W228"/>
    <mergeCell ref="C299:N299"/>
    <mergeCell ref="T238:U238"/>
    <mergeCell ref="AC191:AE191"/>
    <mergeCell ref="AC51:AE51"/>
    <mergeCell ref="K65:M65"/>
    <mergeCell ref="E159:G159"/>
    <mergeCell ref="E47:G47"/>
    <mergeCell ref="Q258:S258"/>
    <mergeCell ref="X271:Y271"/>
    <mergeCell ref="V175:X175"/>
    <mergeCell ref="V50:W50"/>
    <mergeCell ref="AB220:AE220"/>
    <mergeCell ref="Q260:S260"/>
    <mergeCell ref="N242:P242"/>
    <mergeCell ref="X273:Y273"/>
    <mergeCell ref="H2:W2"/>
    <mergeCell ref="X116:Z116"/>
    <mergeCell ref="E63:G63"/>
    <mergeCell ref="AD280:AE280"/>
    <mergeCell ref="AC33:AE33"/>
    <mergeCell ref="H46:J46"/>
    <mergeCell ref="C157:D157"/>
    <mergeCell ref="X266:Y266"/>
    <mergeCell ref="X118:Z118"/>
    <mergeCell ref="H257:J257"/>
    <mergeCell ref="X300:AE300"/>
    <mergeCell ref="AC35:AE35"/>
    <mergeCell ref="X268:Y268"/>
    <mergeCell ref="AC34:AE34"/>
    <mergeCell ref="AA301:AC301"/>
    <mergeCell ref="AC59:AE59"/>
    <mergeCell ref="AA303:AC303"/>
    <mergeCell ref="AC61:AE61"/>
    <mergeCell ref="N174:P174"/>
    <mergeCell ref="AB145:AE145"/>
    <mergeCell ref="C170:D170"/>
    <mergeCell ref="H276:J276"/>
    <mergeCell ref="H270:J270"/>
    <mergeCell ref="Z53:AB53"/>
    <mergeCell ref="E236:G236"/>
    <mergeCell ref="V254:W254"/>
    <mergeCell ref="V248:W248"/>
    <mergeCell ref="N169:P169"/>
    <mergeCell ref="Z264:AB264"/>
    <mergeCell ref="Q26:S26"/>
    <mergeCell ref="AA16:AC16"/>
    <mergeCell ref="C196:D196"/>
    <mergeCell ref="K157:M157"/>
    <mergeCell ref="N158:P158"/>
    <mergeCell ref="C198:D198"/>
    <mergeCell ref="K28:M28"/>
    <mergeCell ref="K30:M30"/>
    <mergeCell ref="Z275:AB275"/>
    <mergeCell ref="E160:G160"/>
    <mergeCell ref="Q37:S37"/>
    <mergeCell ref="V267:W267"/>
    <mergeCell ref="Q254:S254"/>
    <mergeCell ref="Z277:AB277"/>
    <mergeCell ref="AD106:AE106"/>
    <mergeCell ref="N184:P184"/>
    <mergeCell ref="V171:X171"/>
    <mergeCell ref="X236:Y236"/>
    <mergeCell ref="C249:D249"/>
    <mergeCell ref="V181:X181"/>
    <mergeCell ref="E161:G161"/>
    <mergeCell ref="Q256:S256"/>
    <mergeCell ref="AA98:AC98"/>
    <mergeCell ref="N238:P238"/>
    <mergeCell ref="V173:X173"/>
    <mergeCell ref="X229:Z229"/>
    <mergeCell ref="Q249:S249"/>
    <mergeCell ref="K56:M56"/>
    <mergeCell ref="V166:X166"/>
    <mergeCell ref="X237:Y237"/>
    <mergeCell ref="N240:P240"/>
    <mergeCell ref="AC162:AE162"/>
    <mergeCell ref="K170:M170"/>
    <mergeCell ref="V168:X168"/>
    <mergeCell ref="X298:AE298"/>
    <mergeCell ref="AA302:AC302"/>
    <mergeCell ref="V51:W51"/>
    <mergeCell ref="V192:X192"/>
    <mergeCell ref="N266:P266"/>
    <mergeCell ref="Q267:S267"/>
    <mergeCell ref="X255:Y255"/>
    <mergeCell ref="C262:D262"/>
    <mergeCell ref="AA299:AC299"/>
    <mergeCell ref="AC57:AE57"/>
    <mergeCell ref="V194:X194"/>
    <mergeCell ref="C292:G292"/>
    <mergeCell ref="N268:P268"/>
    <mergeCell ref="Q269:S269"/>
    <mergeCell ref="AA111:AC111"/>
    <mergeCell ref="AC58:AE58"/>
    <mergeCell ref="T275:U275"/>
    <mergeCell ref="V33:W33"/>
    <mergeCell ref="H241:J241"/>
    <mergeCell ref="T269:U269"/>
    <mergeCell ref="AA167:AB167"/>
    <mergeCell ref="T277:U277"/>
    <mergeCell ref="V35:W35"/>
    <mergeCell ref="H243:J243"/>
    <mergeCell ref="Z51:AB51"/>
    <mergeCell ref="AA12:AC12"/>
    <mergeCell ref="V245:W245"/>
    <mergeCell ref="C192:D192"/>
    <mergeCell ref="AA162:AB162"/>
    <mergeCell ref="X301:Z301"/>
    <mergeCell ref="AA14:AC14"/>
    <mergeCell ref="C194:D194"/>
    <mergeCell ref="E258:G258"/>
    <mergeCell ref="AA164:AB164"/>
    <mergeCell ref="K242:M242"/>
    <mergeCell ref="X146:AA146"/>
    <mergeCell ref="N193:P193"/>
    <mergeCell ref="Z246:AB246"/>
    <mergeCell ref="E259:G259"/>
    <mergeCell ref="C189:D189"/>
    <mergeCell ref="E253:G253"/>
    <mergeCell ref="AA188:AB188"/>
    <mergeCell ref="V263:W263"/>
    <mergeCell ref="C34:D34"/>
    <mergeCell ref="AA180:AB180"/>
    <mergeCell ref="N180:P180"/>
    <mergeCell ref="Q35:S35"/>
    <mergeCell ref="V265:W265"/>
    <mergeCell ref="Q34:S34"/>
    <mergeCell ref="N182:P182"/>
    <mergeCell ref="V258:W258"/>
    <mergeCell ref="C29:D29"/>
    <mergeCell ref="C65:D65"/>
    <mergeCell ref="Q36:S36"/>
    <mergeCell ref="Q30:S30"/>
    <mergeCell ref="K166:M166"/>
    <mergeCell ref="V260:W260"/>
    <mergeCell ref="C31:D31"/>
    <mergeCell ref="AC247:AE247"/>
    <mergeCell ref="N177:P177"/>
    <mergeCell ref="K168:M168"/>
    <mergeCell ref="K167:M167"/>
    <mergeCell ref="V195:X195"/>
    <mergeCell ref="AD113:AE113"/>
    <mergeCell ref="E272:G272"/>
    <mergeCell ref="E185:G185"/>
    <mergeCell ref="Q62:S62"/>
    <mergeCell ref="AD115:AE115"/>
    <mergeCell ref="X73:AA73"/>
    <mergeCell ref="K192:M192"/>
    <mergeCell ref="N53:P53"/>
    <mergeCell ref="Q54:S54"/>
    <mergeCell ref="C258:D258"/>
    <mergeCell ref="H39:J39"/>
    <mergeCell ref="C49:D49"/>
    <mergeCell ref="Q64:S64"/>
    <mergeCell ref="V190:X190"/>
    <mergeCell ref="K63:M63"/>
    <mergeCell ref="N264:P264"/>
    <mergeCell ref="N46:P46"/>
    <mergeCell ref="K194:M194"/>
    <mergeCell ref="AA107:AC107"/>
    <mergeCell ref="S181:U181"/>
    <mergeCell ref="C266:D266"/>
    <mergeCell ref="C260:D260"/>
    <mergeCell ref="C305:N305"/>
    <mergeCell ref="C42:D42"/>
    <mergeCell ref="N48:P48"/>
    <mergeCell ref="C259:D259"/>
    <mergeCell ref="AC171:AE171"/>
    <mergeCell ref="T271:U271"/>
    <mergeCell ref="V29:W29"/>
    <mergeCell ref="E27:G27"/>
    <mergeCell ref="H28:J28"/>
    <mergeCell ref="X248:Y248"/>
    <mergeCell ref="C261:D261"/>
    <mergeCell ref="AC173:AE173"/>
    <mergeCell ref="H186:J186"/>
    <mergeCell ref="T273:U273"/>
    <mergeCell ref="V31:W31"/>
    <mergeCell ref="AA110:AC110"/>
    <mergeCell ref="E196:G196"/>
    <mergeCell ref="T266:U266"/>
    <mergeCell ref="V60:W60"/>
    <mergeCell ref="E198:G198"/>
    <mergeCell ref="O106:W106"/>
    <mergeCell ref="V32:W32"/>
    <mergeCell ref="X96:Z96"/>
    <mergeCell ref="N250:P250"/>
    <mergeCell ref="V26:W26"/>
    <mergeCell ref="T268:U268"/>
    <mergeCell ref="N275:P275"/>
    <mergeCell ref="O105:W105"/>
    <mergeCell ref="H54:J54"/>
    <mergeCell ref="X98:Z98"/>
    <mergeCell ref="AC199:AE199"/>
    <mergeCell ref="K238:M238"/>
    <mergeCell ref="N277:P277"/>
    <mergeCell ref="V57:W57"/>
    <mergeCell ref="O107:W107"/>
    <mergeCell ref="N276:P276"/>
    <mergeCell ref="H56:J56"/>
    <mergeCell ref="S166:U166"/>
    <mergeCell ref="E38:G38"/>
    <mergeCell ref="K240:M240"/>
    <mergeCell ref="AC67:AE67"/>
    <mergeCell ref="V42:W42"/>
    <mergeCell ref="E249:G249"/>
    <mergeCell ref="N278:P278"/>
    <mergeCell ref="E40:G40"/>
    <mergeCell ref="V58:W58"/>
    <mergeCell ref="V52:W52"/>
    <mergeCell ref="E257:G257"/>
    <mergeCell ref="C4:G4"/>
    <mergeCell ref="AA186:AB186"/>
    <mergeCell ref="AB3:AE3"/>
    <mergeCell ref="AB5:AE5"/>
    <mergeCell ref="X109:Z109"/>
    <mergeCell ref="C25:AE25"/>
    <mergeCell ref="X22:Z22"/>
    <mergeCell ref="K259:M259"/>
    <mergeCell ref="Z59:AB59"/>
    <mergeCell ref="C27:D27"/>
    <mergeCell ref="T41:U41"/>
    <mergeCell ref="AC245:AE245"/>
    <mergeCell ref="Q182:R182"/>
    <mergeCell ref="T43:U43"/>
    <mergeCell ref="E262:G262"/>
    <mergeCell ref="Q58:S58"/>
    <mergeCell ref="X40:Y40"/>
    <mergeCell ref="AA199:AB199"/>
    <mergeCell ref="C45:D45"/>
    <mergeCell ref="Q60:S60"/>
    <mergeCell ref="AB147:AE147"/>
    <mergeCell ref="AC271:AE271"/>
    <mergeCell ref="O21:W21"/>
    <mergeCell ref="AC265:AE265"/>
    <mergeCell ref="C47:D47"/>
    <mergeCell ref="C40:D40"/>
    <mergeCell ref="C75:G75"/>
    <mergeCell ref="T236:U236"/>
    <mergeCell ref="Y159:Z159"/>
    <mergeCell ref="K274:M274"/>
    <mergeCell ref="K62:M62"/>
    <mergeCell ref="AD86:AE86"/>
    <mergeCell ref="K193:M193"/>
    <mergeCell ref="C298:N298"/>
    <mergeCell ref="T237:U237"/>
    <mergeCell ref="N246:P246"/>
    <mergeCell ref="C8:AE8"/>
    <mergeCell ref="X59:Y59"/>
    <mergeCell ref="N37:P37"/>
    <mergeCell ref="C66:D66"/>
    <mergeCell ref="AB77:AE77"/>
    <mergeCell ref="AC195:AE195"/>
    <mergeCell ref="N248:P248"/>
    <mergeCell ref="C308:AE308"/>
    <mergeCell ref="C16:N16"/>
    <mergeCell ref="C68:D68"/>
    <mergeCell ref="H52:J52"/>
    <mergeCell ref="H149:W149"/>
    <mergeCell ref="E34:G34"/>
    <mergeCell ref="AC197:AE197"/>
    <mergeCell ref="H45:J45"/>
    <mergeCell ref="T255:U255"/>
    <mergeCell ref="E36:G36"/>
    <mergeCell ref="H47:J47"/>
    <mergeCell ref="Q247:S247"/>
    <mergeCell ref="T250:U250"/>
    <mergeCell ref="C2:G2"/>
    <mergeCell ref="X105:Z105"/>
    <mergeCell ref="C96:N96"/>
    <mergeCell ref="O87:W87"/>
    <mergeCell ref="Z49:AB49"/>
    <mergeCell ref="E62:G62"/>
    <mergeCell ref="H63:J63"/>
    <mergeCell ref="AC32:AE32"/>
    <mergeCell ref="K266:M266"/>
    <mergeCell ref="X107:Z107"/>
    <mergeCell ref="H291:W291"/>
    <mergeCell ref="C98:N98"/>
    <mergeCell ref="O116:W116"/>
    <mergeCell ref="Z57:AB57"/>
    <mergeCell ref="E64:G64"/>
    <mergeCell ref="T39:U39"/>
    <mergeCell ref="AD21:AE21"/>
    <mergeCell ref="Z50:AB50"/>
    <mergeCell ref="V68:W68"/>
    <mergeCell ref="H292:W292"/>
    <mergeCell ref="C18:AE18"/>
    <mergeCell ref="C93:N93"/>
    <mergeCell ref="V67:W67"/>
    <mergeCell ref="T32:U32"/>
    <mergeCell ref="O113:W113"/>
    <mergeCell ref="Z52:AB52"/>
    <mergeCell ref="H76:W76"/>
    <mergeCell ref="AA170:AB170"/>
    <mergeCell ref="AC50:AE50"/>
    <mergeCell ref="C168:D168"/>
    <mergeCell ref="Q181:R181"/>
    <mergeCell ref="AC236:AE236"/>
    <mergeCell ref="K250:M250"/>
    <mergeCell ref="C103:AE103"/>
    <mergeCell ref="C167:D167"/>
    <mergeCell ref="H221:W221"/>
    <mergeCell ref="C169:D169"/>
    <mergeCell ref="C111:N111"/>
    <mergeCell ref="Q191:R191"/>
    <mergeCell ref="T52:U52"/>
    <mergeCell ref="AC264:AE264"/>
    <mergeCell ref="Q163:R163"/>
    <mergeCell ref="H218:W218"/>
    <mergeCell ref="V238:W238"/>
    <mergeCell ref="K32:M32"/>
    <mergeCell ref="N33:P33"/>
    <mergeCell ref="C62:D62"/>
    <mergeCell ref="T49:U49"/>
    <mergeCell ref="C187:D187"/>
    <mergeCell ref="C64:D64"/>
    <mergeCell ref="N157:P157"/>
    <mergeCell ref="T42:U42"/>
    <mergeCell ref="AC274:AE274"/>
    <mergeCell ref="K27:M27"/>
    <mergeCell ref="N28:P28"/>
    <mergeCell ref="T50:U50"/>
    <mergeCell ref="H158:J158"/>
    <mergeCell ref="T44:U44"/>
    <mergeCell ref="S162:U162"/>
    <mergeCell ref="N30:P30"/>
    <mergeCell ref="H160:J160"/>
    <mergeCell ref="Y178:Z178"/>
    <mergeCell ref="AD95:AE95"/>
    <mergeCell ref="AA113:AC113"/>
    <mergeCell ref="AB218:AE218"/>
    <mergeCell ref="S187:U187"/>
    <mergeCell ref="H148:W148"/>
    <mergeCell ref="AC277:AE277"/>
    <mergeCell ref="AD97:AE97"/>
    <mergeCell ref="N175:P175"/>
    <mergeCell ref="C240:D240"/>
    <mergeCell ref="AA115:AC115"/>
    <mergeCell ref="S189:U189"/>
    <mergeCell ref="Q238:S238"/>
    <mergeCell ref="K45:M45"/>
    <mergeCell ref="S182:U182"/>
    <mergeCell ref="K256:M256"/>
    <mergeCell ref="AC179:AE179"/>
    <mergeCell ref="H192:J192"/>
    <mergeCell ref="K47:M47"/>
    <mergeCell ref="E177:G177"/>
    <mergeCell ref="E60:G60"/>
    <mergeCell ref="S190:U190"/>
    <mergeCell ref="Y196:Z196"/>
    <mergeCell ref="K264:M264"/>
    <mergeCell ref="E176:G176"/>
    <mergeCell ref="AD123:AE123"/>
    <mergeCell ref="K257:M257"/>
    <mergeCell ref="E178:G178"/>
    <mergeCell ref="Z48:AB48"/>
    <mergeCell ref="Y191:Z191"/>
    <mergeCell ref="H290:W290"/>
    <mergeCell ref="Q266:S266"/>
    <mergeCell ref="X254:Y254"/>
    <mergeCell ref="K246:M246"/>
    <mergeCell ref="Q268:S268"/>
    <mergeCell ref="AC48:AE48"/>
    <mergeCell ref="O115:W115"/>
    <mergeCell ref="O229:W229"/>
    <mergeCell ref="AD22:AE22"/>
    <mergeCell ref="X3:AA3"/>
    <mergeCell ref="H240:J240"/>
    <mergeCell ref="K241:M241"/>
    <mergeCell ref="X5:AA5"/>
    <mergeCell ref="X272:Y272"/>
    <mergeCell ref="O280:W280"/>
    <mergeCell ref="AA179:AB179"/>
    <mergeCell ref="C183:D183"/>
    <mergeCell ref="Q190:R190"/>
    <mergeCell ref="C193:D193"/>
    <mergeCell ref="H258:J258"/>
    <mergeCell ref="C176:D176"/>
    <mergeCell ref="X302:Z302"/>
    <mergeCell ref="T40:U40"/>
    <mergeCell ref="H260:J260"/>
    <mergeCell ref="C178:D178"/>
    <mergeCell ref="E242:G242"/>
    <mergeCell ref="Z237:AB237"/>
    <mergeCell ref="V264:W264"/>
    <mergeCell ref="K41:M41"/>
    <mergeCell ref="N52:P52"/>
    <mergeCell ref="H182:J182"/>
    <mergeCell ref="K43:M43"/>
    <mergeCell ref="N166:P166"/>
    <mergeCell ref="Z263:AB263"/>
    <mergeCell ref="H190:J190"/>
    <mergeCell ref="T59:U59"/>
    <mergeCell ref="Z265:AB265"/>
    <mergeCell ref="X77:AA77"/>
    <mergeCell ref="H183:J183"/>
    <mergeCell ref="E174:G174"/>
    <mergeCell ref="AC172:AE172"/>
    <mergeCell ref="H185:J185"/>
    <mergeCell ref="V275:W275"/>
    <mergeCell ref="X33:Y33"/>
    <mergeCell ref="N192:P192"/>
    <mergeCell ref="Q53:S53"/>
    <mergeCell ref="K183:M183"/>
    <mergeCell ref="X41:Y41"/>
    <mergeCell ref="V277:W277"/>
    <mergeCell ref="X35:Y35"/>
    <mergeCell ref="N63:P63"/>
    <mergeCell ref="Q239:S239"/>
    <mergeCell ref="Q264:S264"/>
    <mergeCell ref="X252:Y252"/>
    <mergeCell ref="K54:M54"/>
    <mergeCell ref="C153:AE153"/>
    <mergeCell ref="O225:W225"/>
    <mergeCell ref="K64:M64"/>
    <mergeCell ref="O227:W227"/>
    <mergeCell ref="C202:N202"/>
    <mergeCell ref="C154:AE154"/>
    <mergeCell ref="E158:G158"/>
    <mergeCell ref="C156:AE156"/>
    <mergeCell ref="K268:M268"/>
    <mergeCell ref="H198:J198"/>
    <mergeCell ref="C277:D277"/>
    <mergeCell ref="X113:Z113"/>
    <mergeCell ref="Q275:S275"/>
    <mergeCell ref="Q250:S250"/>
    <mergeCell ref="X263:Y263"/>
    <mergeCell ref="C276:D276"/>
    <mergeCell ref="AC188:AE188"/>
    <mergeCell ref="N241:P241"/>
    <mergeCell ref="X115:Z115"/>
    <mergeCell ref="Q277:S277"/>
    <mergeCell ref="E184:G184"/>
    <mergeCell ref="Z31:AB31"/>
    <mergeCell ref="X265:Y265"/>
    <mergeCell ref="C278:D278"/>
    <mergeCell ref="H38:J38"/>
    <mergeCell ref="AD301:AE301"/>
    <mergeCell ref="Z26:AB26"/>
    <mergeCell ref="H40:J40"/>
    <mergeCell ref="V43:W43"/>
    <mergeCell ref="AA20:AC20"/>
    <mergeCell ref="AB292:AE292"/>
    <mergeCell ref="Z42:AB42"/>
    <mergeCell ref="Z259:AB259"/>
    <mergeCell ref="H267:J267"/>
    <mergeCell ref="Z44:AB44"/>
    <mergeCell ref="Q171:R171"/>
    <mergeCell ref="Z261:AB261"/>
    <mergeCell ref="E268:G268"/>
    <mergeCell ref="H269:J269"/>
    <mergeCell ref="Q173:R173"/>
    <mergeCell ref="V271:W271"/>
    <mergeCell ref="V246:W246"/>
    <mergeCell ref="O19:W19"/>
    <mergeCell ref="AA163:AB163"/>
    <mergeCell ref="N188:P188"/>
    <mergeCell ref="Z256:AB256"/>
    <mergeCell ref="V273:W273"/>
    <mergeCell ref="X31:Y31"/>
    <mergeCell ref="N165:P165"/>
    <mergeCell ref="Q51:S51"/>
    <mergeCell ref="O20:W20"/>
    <mergeCell ref="X39:Y39"/>
    <mergeCell ref="X218:AA218"/>
    <mergeCell ref="X32:Y32"/>
    <mergeCell ref="O22:W22"/>
    <mergeCell ref="C74:G74"/>
    <mergeCell ref="Z272:AB272"/>
    <mergeCell ref="Q251:S251"/>
    <mergeCell ref="Z274:AB274"/>
    <mergeCell ref="AD225:AE225"/>
    <mergeCell ref="X122:Z122"/>
    <mergeCell ref="X219:AA219"/>
    <mergeCell ref="C152:AE152"/>
    <mergeCell ref="X65:Y65"/>
    <mergeCell ref="AA95:AC95"/>
    <mergeCell ref="E193:G193"/>
    <mergeCell ref="Q246:S246"/>
    <mergeCell ref="C13:N13"/>
    <mergeCell ref="V163:X163"/>
    <mergeCell ref="AA97:AC97"/>
    <mergeCell ref="AC159:AE159"/>
    <mergeCell ref="N237:P237"/>
    <mergeCell ref="C241:D241"/>
    <mergeCell ref="X50:Y50"/>
    <mergeCell ref="T253:U253"/>
    <mergeCell ref="Q248:S248"/>
    <mergeCell ref="Z27:AB27"/>
    <mergeCell ref="C15:N15"/>
    <mergeCell ref="S164:U164"/>
    <mergeCell ref="V165:X165"/>
    <mergeCell ref="AC186:AE186"/>
    <mergeCell ref="N239:P239"/>
    <mergeCell ref="C243:D243"/>
    <mergeCell ref="H34:J34"/>
    <mergeCell ref="T254:U254"/>
    <mergeCell ref="T248:U248"/>
    <mergeCell ref="Y171:Z171"/>
    <mergeCell ref="H36:J36"/>
    <mergeCell ref="N263:P263"/>
    <mergeCell ref="T256:U256"/>
    <mergeCell ref="Y173:Z173"/>
    <mergeCell ref="AD299:AE299"/>
    <mergeCell ref="AC54:AE54"/>
    <mergeCell ref="V191:X191"/>
    <mergeCell ref="N265:P265"/>
    <mergeCell ref="AA108:AC108"/>
    <mergeCell ref="AC56:AE56"/>
    <mergeCell ref="N258:P258"/>
    <mergeCell ref="X280:Z280"/>
    <mergeCell ref="C291:G291"/>
    <mergeCell ref="O122:W122"/>
    <mergeCell ref="AC49:AE49"/>
    <mergeCell ref="H62:J62"/>
    <mergeCell ref="Z46:AB46"/>
    <mergeCell ref="N260:P260"/>
    <mergeCell ref="Z40:AB40"/>
    <mergeCell ref="E53:G53"/>
    <mergeCell ref="S183:U183"/>
    <mergeCell ref="AA22:AC22"/>
    <mergeCell ref="E55:G55"/>
    <mergeCell ref="V243:W243"/>
    <mergeCell ref="Q169:R169"/>
    <mergeCell ref="T267:U267"/>
    <mergeCell ref="Z41:AB41"/>
    <mergeCell ref="AA160:AB160"/>
    <mergeCell ref="E48:G48"/>
    <mergeCell ref="V242:W242"/>
    <mergeCell ref="V236:W236"/>
    <mergeCell ref="K248:M248"/>
    <mergeCell ref="AA159:AB159"/>
  </mergeCells>
  <printOptions horizontalCentered="1"/>
  <pageMargins left="0.5" right="0.5" top="0.6" bottom="0.6" header="0.5" footer="0.5"/>
  <pageSetup orientation="portrait" paperSize="9" scale="66" fitToHeight="0"/>
  <rowBreaks count="4" manualBreakCount="4">
    <brk id="73" min="0" max="16383" man="1"/>
    <brk id="145" min="0" max="16383" man="1"/>
    <brk id="217" min="0" max="16383" man="1"/>
    <brk id="289" min="0" max="16383" man="1"/>
  </rowBreaks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BQ361"/>
  <sheetViews>
    <sheetView showGridLines="0" zoomScale="85" workbookViewId="0">
      <selection activeCell="A1" sqref="A1"/>
    </sheetView>
  </sheetViews>
  <sheetFormatPr baseColWidth="8" defaultRowHeight="13.9"/>
  <cols>
    <col width="3.43" customWidth="1" min="1" max="1"/>
    <col width="4" customWidth="1" min="2" max="2"/>
    <col width="3.57" customWidth="1" min="3" max="3"/>
    <col width="3.57" customWidth="1" min="4" max="4"/>
    <col width="3.57" customWidth="1" min="5" max="5"/>
    <col width="3.57" customWidth="1" min="6" max="6"/>
    <col width="3.57" customWidth="1" min="7" max="7"/>
    <col width="3.57" customWidth="1" min="8" max="8"/>
    <col width="3.57" customWidth="1" min="9" max="9"/>
    <col width="3.86" customWidth="1" min="10" max="10"/>
    <col width="4" customWidth="1" min="11" max="11"/>
    <col width="4.57" customWidth="1" min="12" max="12"/>
    <col width="4.57" customWidth="1" min="13" max="13"/>
    <col width="4.57" customWidth="1" min="14" max="14"/>
    <col width="4.57" customWidth="1" min="15" max="15"/>
    <col width="4.57" customWidth="1" min="16" max="16"/>
    <col width="4.57" customWidth="1" min="17" max="17"/>
    <col width="4.57" customWidth="1" min="18" max="18"/>
    <col width="4.57" customWidth="1" min="19" max="19"/>
    <col width="4.57" customWidth="1" min="20" max="20"/>
    <col width="4.57" customWidth="1" min="21" max="21"/>
    <col width="4.57" customWidth="1" min="22" max="22"/>
    <col width="4.57" customWidth="1" min="23" max="23"/>
    <col width="4.57" customWidth="1" min="24" max="24"/>
    <col width="4.57" customWidth="1" min="25" max="25"/>
    <col width="4.57" customWidth="1" min="26" max="26"/>
    <col width="4.57" customWidth="1" min="27" max="27"/>
    <col width="4.57" customWidth="1" min="28" max="28"/>
    <col width="4.57" customWidth="1" min="29" max="29"/>
    <col width="4.57" customWidth="1" min="30" max="30"/>
    <col width="4.57" customWidth="1" min="31" max="31"/>
    <col width="3.43" customWidth="1" min="32" max="32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40" customWidth="1" min="69" max="69"/>
  </cols>
  <sheetData>
    <row r="2">
      <c r="B2" s="1" t="n"/>
      <c r="C2" s="2" t="inlineStr">
        <is>
          <t>PROJECT :</t>
        </is>
      </c>
      <c r="D2" s="3" t="n"/>
      <c r="E2" s="3" t="n"/>
      <c r="F2" s="3" t="n"/>
      <c r="G2" s="3" t="n"/>
      <c r="H2" s="4" t="inlineStr">
        <is>
          <t>GEOTHERMAL WELLPAD PSPE BORA PULU - SIGI, CENTRAL SULAWESI</t>
        </is>
      </c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5" t="inlineStr">
        <is>
          <t>Prepared by :</t>
        </is>
      </c>
      <c r="Y2" s="6" t="n"/>
      <c r="Z2" s="6" t="n"/>
      <c r="AA2" s="6" t="n"/>
      <c r="AB2" s="7" t="inlineStr">
        <is>
          <t>Date</t>
        </is>
      </c>
      <c r="AC2" s="6" t="n"/>
      <c r="AD2" s="6" t="n"/>
      <c r="AE2" s="6" t="n"/>
      <c r="AF2" s="8" t="n"/>
    </row>
    <row r="3">
      <c r="B3" s="9" t="n"/>
      <c r="C3" s="10" t="inlineStr">
        <is>
          <t>CLIENT :</t>
        </is>
      </c>
      <c r="H3" s="11" t="inlineStr">
        <is>
          <t>PT EDC PANAS BUMI INDONESIA</t>
        </is>
      </c>
      <c r="X3" s="12" t="inlineStr">
        <is>
          <t>DF</t>
        </is>
      </c>
      <c r="Y3" s="13" t="n"/>
      <c r="Z3" s="13" t="n"/>
      <c r="AA3" s="13" t="n"/>
      <c r="AB3" s="14" t="n">
        <v>46301</v>
      </c>
      <c r="AC3" s="13" t="n"/>
      <c r="AD3" s="13" t="n"/>
      <c r="AE3" s="13" t="n"/>
      <c r="AF3" s="15" t="n"/>
    </row>
    <row r="4">
      <c r="B4" s="9" t="n"/>
      <c r="C4" s="10" t="inlineStr">
        <is>
          <t>LOCATION :</t>
        </is>
      </c>
      <c r="H4" s="11" t="inlineStr">
        <is>
          <t>BH-05 (Wellpad A)</t>
        </is>
      </c>
      <c r="X4" s="12" t="inlineStr">
        <is>
          <t>Verified by :</t>
        </is>
      </c>
      <c r="Y4" s="13" t="n"/>
      <c r="Z4" s="13" t="n"/>
      <c r="AA4" s="13" t="n"/>
      <c r="AB4" s="14" t="inlineStr">
        <is>
          <t>Date</t>
        </is>
      </c>
      <c r="AC4" s="13" t="n"/>
      <c r="AD4" s="13" t="n"/>
      <c r="AE4" s="13" t="n"/>
      <c r="AF4" s="15" t="n"/>
    </row>
    <row r="5">
      <c r="B5" s="16" t="n"/>
      <c r="C5" s="17" t="inlineStr">
        <is>
          <t>SHEET :</t>
        </is>
      </c>
      <c r="D5" s="18" t="n"/>
      <c r="E5" s="18" t="n"/>
      <c r="F5" s="18" t="n"/>
      <c r="G5" s="18" t="n"/>
      <c r="H5" s="19" t="inlineStr">
        <is>
          <t>BEARING CAPACITY AND SETTLEMENT OF SUBGRADE</t>
        </is>
      </c>
      <c r="I5" s="18" t="n"/>
      <c r="J5" s="18" t="n"/>
      <c r="K5" s="18" t="n"/>
      <c r="L5" s="18" t="n"/>
      <c r="M5" s="18" t="n"/>
      <c r="N5" s="18" t="n"/>
      <c r="O5" s="18" t="n"/>
      <c r="P5" s="18" t="n"/>
      <c r="Q5" s="18" t="n"/>
      <c r="R5" s="18" t="n"/>
      <c r="S5" s="18" t="n"/>
      <c r="T5" s="18" t="n"/>
      <c r="U5" s="18" t="n"/>
      <c r="V5" s="18" t="n"/>
      <c r="W5" s="18" t="n"/>
      <c r="X5" s="20" t="inlineStr">
        <is>
          <t>BC</t>
        </is>
      </c>
      <c r="Y5" s="21" t="n"/>
      <c r="Z5" s="21" t="n"/>
      <c r="AA5" s="21" t="n"/>
      <c r="AB5" s="22" t="n">
        <v>46301</v>
      </c>
      <c r="AC5" s="21" t="n"/>
      <c r="AD5" s="21" t="n"/>
      <c r="AE5" s="21" t="n"/>
      <c r="AF5" s="23" t="n"/>
    </row>
    <row r="6">
      <c r="B6" s="9" t="n"/>
      <c r="AF6" s="15" t="n"/>
    </row>
    <row r="7">
      <c r="B7" s="9" t="n"/>
      <c r="C7" s="11" t="inlineStr">
        <is>
          <t>1. GENERAL</t>
        </is>
      </c>
      <c r="AF7" s="15" t="n"/>
    </row>
    <row r="8">
      <c r="B8" s="9" t="n"/>
      <c r="C8" s="25" t="inlineStr">
        <is>
          <t>This sheet evaluates the bearing capacity, immediate settlement and primary consolidation settlement of the subgrade</t>
        </is>
      </c>
      <c r="AF8" s="15" t="n"/>
    </row>
    <row r="9">
      <c r="B9" s="9" t="n"/>
      <c r="C9" s="25" t="inlineStr">
        <is>
          <t>below the wellpad embankment (2 m fill + 100 kPa uniform surcharge) at the borehole location.</t>
        </is>
      </c>
      <c r="AF9" s="15" t="n"/>
    </row>
    <row r="10">
      <c r="B10" s="9" t="n"/>
      <c r="AF10" s="15" t="n"/>
    </row>
    <row r="11">
      <c r="B11" s="9" t="n"/>
      <c r="C11" s="11" t="inlineStr">
        <is>
          <t>1.1. Load and loaded area</t>
        </is>
      </c>
      <c r="AF11" s="15" t="n"/>
    </row>
    <row r="12">
      <c r="B12" s="9" t="n"/>
      <c r="C12" s="25" t="inlineStr">
        <is>
          <t>Height of embankment fill</t>
        </is>
      </c>
      <c r="O12" s="26" t="inlineStr">
        <is>
          <t>(Input)</t>
        </is>
      </c>
      <c r="X12" s="27" t="inlineStr">
        <is>
          <t>Hf =</t>
        </is>
      </c>
      <c r="Y12" s="13" t="n"/>
      <c r="Z12" s="13" t="n"/>
      <c r="AA12" s="61">
        <f>Input!$AA$11</f>
        <v/>
      </c>
      <c r="AB12" s="13" t="n"/>
      <c r="AC12" s="13" t="n"/>
      <c r="AD12" s="25" t="inlineStr">
        <is>
          <t>m</t>
        </is>
      </c>
      <c r="AF12" s="15" t="n"/>
    </row>
    <row r="13">
      <c r="B13" s="9" t="n"/>
      <c r="C13" s="25" t="inlineStr">
        <is>
          <t>Uniform surcharge</t>
        </is>
      </c>
      <c r="O13" s="26" t="inlineStr">
        <is>
          <t>(Input)</t>
        </is>
      </c>
      <c r="X13" s="27" t="inlineStr">
        <is>
          <t>qs =</t>
        </is>
      </c>
      <c r="Y13" s="13" t="n"/>
      <c r="Z13" s="13" t="n"/>
      <c r="AA13" s="62">
        <f>Input!$AA$13</f>
        <v/>
      </c>
      <c r="AB13" s="13" t="n"/>
      <c r="AC13" s="13" t="n"/>
      <c r="AD13" s="25" t="inlineStr">
        <is>
          <t>kPa</t>
        </is>
      </c>
      <c r="AF13" s="15" t="n"/>
    </row>
    <row r="14">
      <c r="B14" s="9" t="n"/>
      <c r="C14" s="25" t="inlineStr">
        <is>
          <t>Total pressure on subgrade</t>
        </is>
      </c>
      <c r="O14" s="26" t="inlineStr">
        <is>
          <t>q = Hf·γf + qs</t>
        </is>
      </c>
      <c r="X14" s="27" t="inlineStr">
        <is>
          <t>q =</t>
        </is>
      </c>
      <c r="Y14" s="13" t="n"/>
      <c r="Z14" s="13" t="n"/>
      <c r="AA14" s="62">
        <f>Input!$AA$14</f>
        <v/>
      </c>
      <c r="AB14" s="13" t="n"/>
      <c r="AC14" s="13" t="n"/>
      <c r="AD14" s="25" t="inlineStr">
        <is>
          <t>kPa</t>
        </is>
      </c>
      <c r="AF14" s="15" t="n"/>
    </row>
    <row r="15">
      <c r="B15" s="9" t="n"/>
      <c r="C15" s="25" t="inlineStr">
        <is>
          <t>Loaded area (assumed)</t>
        </is>
      </c>
      <c r="O15" s="26" t="inlineStr">
        <is>
          <t>B × L</t>
        </is>
      </c>
      <c r="X15" s="27" t="inlineStr">
        <is>
          <t>B =</t>
        </is>
      </c>
      <c r="Y15" s="13" t="n"/>
      <c r="Z15" s="13" t="n"/>
      <c r="AA15" s="62">
        <f>Input!$AA$15</f>
        <v/>
      </c>
      <c r="AB15" s="13" t="n"/>
      <c r="AC15" s="13" t="n"/>
      <c r="AD15" s="25" t="inlineStr">
        <is>
          <t>m</t>
        </is>
      </c>
      <c r="AF15" s="15" t="n"/>
    </row>
    <row r="16">
      <c r="B16" s="9" t="n"/>
      <c r="C16" s="25" t="inlineStr"/>
      <c r="O16" s="26" t="inlineStr"/>
      <c r="X16" s="27" t="inlineStr">
        <is>
          <t>L =</t>
        </is>
      </c>
      <c r="Y16" s="13" t="n"/>
      <c r="Z16" s="13" t="n"/>
      <c r="AA16" s="62">
        <f>Input!$AA$16</f>
        <v/>
      </c>
      <c r="AB16" s="13" t="n"/>
      <c r="AC16" s="13" t="n"/>
      <c r="AD16" s="25" t="inlineStr">
        <is>
          <t>m</t>
        </is>
      </c>
      <c r="AF16" s="15" t="n"/>
    </row>
    <row r="17">
      <c r="B17" s="9" t="n"/>
      <c r="AF17" s="15" t="n"/>
    </row>
    <row r="18">
      <c r="B18" s="9" t="n"/>
      <c r="C18" s="11" t="inlineStr">
        <is>
          <t>1.2. Borehole data</t>
        </is>
      </c>
      <c r="AF18" s="15" t="n"/>
    </row>
    <row r="19">
      <c r="B19" s="9" t="n"/>
      <c r="C19" s="25" t="inlineStr">
        <is>
          <t>Design groundwater level (below ground)</t>
        </is>
      </c>
      <c r="O19" s="26" t="inlineStr">
        <is>
          <t>liquefaction report</t>
        </is>
      </c>
      <c r="X19" s="27" t="inlineStr">
        <is>
          <t>GWL =</t>
        </is>
      </c>
      <c r="Y19" s="13" t="n"/>
      <c r="Z19" s="13" t="n"/>
      <c r="AA19" s="63" t="n">
        <v>7</v>
      </c>
      <c r="AB19" s="29" t="n"/>
      <c r="AC19" s="29" t="n"/>
      <c r="AD19" s="25" t="inlineStr">
        <is>
          <t>m</t>
        </is>
      </c>
      <c r="AF19" s="15" t="n"/>
    </row>
    <row r="20">
      <c r="B20" s="9" t="n"/>
      <c r="C20" s="25" t="inlineStr">
        <is>
          <t>Unit weight above GWL</t>
        </is>
      </c>
      <c r="O20" s="26" t="inlineStr">
        <is>
          <t>report Table 5.1</t>
        </is>
      </c>
      <c r="X20" s="27" t="inlineStr">
        <is>
          <t>γ =</t>
        </is>
      </c>
      <c r="Y20" s="13" t="n"/>
      <c r="Z20" s="13" t="n"/>
      <c r="AA20" s="63" t="n">
        <v>18.3</v>
      </c>
      <c r="AB20" s="29" t="n"/>
      <c r="AC20" s="29" t="n"/>
      <c r="AD20" s="25" t="inlineStr">
        <is>
          <t>kN/m³</t>
        </is>
      </c>
      <c r="AF20" s="15" t="n"/>
    </row>
    <row r="21">
      <c r="B21" s="9" t="n"/>
      <c r="C21" s="25" t="inlineStr">
        <is>
          <t>Unit weight below GWL</t>
        </is>
      </c>
      <c r="O21" s="26" t="inlineStr">
        <is>
          <t>report Table 5.1</t>
        </is>
      </c>
      <c r="X21" s="27" t="inlineStr">
        <is>
          <t>γsat =</t>
        </is>
      </c>
      <c r="Y21" s="13" t="n"/>
      <c r="Z21" s="13" t="n"/>
      <c r="AA21" s="63" t="n">
        <v>18.2</v>
      </c>
      <c r="AB21" s="29" t="n"/>
      <c r="AC21" s="29" t="n"/>
      <c r="AD21" s="25" t="inlineStr">
        <is>
          <t>kN/m³</t>
        </is>
      </c>
      <c r="AF21" s="15" t="n"/>
    </row>
    <row r="22">
      <c r="B22" s="9" t="n"/>
      <c r="C22" s="25" t="inlineStr">
        <is>
          <t>Replacement depth (design condition)</t>
        </is>
      </c>
      <c r="O22" s="26" t="inlineStr">
        <is>
          <t>0 = no improvement</t>
        </is>
      </c>
      <c r="X22" s="27" t="inlineStr">
        <is>
          <t>Dr =</t>
        </is>
      </c>
      <c r="Y22" s="13" t="n"/>
      <c r="Z22" s="13" t="n"/>
      <c r="AA22" s="63" t="n">
        <v>0</v>
      </c>
      <c r="AB22" s="29" t="n"/>
      <c r="AC22" s="29" t="n"/>
      <c r="AD22" s="25" t="inlineStr">
        <is>
          <t>m</t>
        </is>
      </c>
      <c r="AF22" s="15" t="n"/>
    </row>
    <row r="23">
      <c r="B23" s="9" t="n"/>
      <c r="AF23" s="15" t="n"/>
    </row>
    <row r="24">
      <c r="B24" s="9" t="n"/>
      <c r="C24" s="11" t="inlineStr">
        <is>
          <t>2. SOIL PARAMETERS</t>
        </is>
      </c>
      <c r="AF24" s="15" t="n"/>
    </row>
    <row r="25">
      <c r="B25" s="9" t="n"/>
      <c r="C25" s="25" t="inlineStr">
        <is>
          <t>Table 1. Soil parameters of BH-05 (sub-layers = SPT intervals)</t>
        </is>
      </c>
      <c r="AF25" s="15" t="n"/>
      <c r="AI25" s="64" t="inlineStr">
        <is>
          <t>Helper calculation per sub-layer (not printed)</t>
        </is>
      </c>
    </row>
    <row r="26" ht="27" customHeight="1">
      <c r="B26" s="9" t="n"/>
      <c r="C26" s="33" t="inlineStr">
        <is>
          <t>No</t>
        </is>
      </c>
      <c r="D26" s="34" t="n"/>
      <c r="E26" s="33" t="inlineStr">
        <is>
          <t>Top</t>
        </is>
      </c>
      <c r="F26" s="34" t="n"/>
      <c r="G26" s="34" t="n"/>
      <c r="H26" s="33" t="inlineStr">
        <is>
          <t>Bottom</t>
        </is>
      </c>
      <c r="I26" s="34" t="n"/>
      <c r="J26" s="34" t="n"/>
      <c r="K26" s="33" t="inlineStr">
        <is>
          <t>Soil</t>
        </is>
      </c>
      <c r="L26" s="34" t="n"/>
      <c r="M26" s="34" t="n"/>
      <c r="N26" s="33" t="inlineStr">
        <is>
          <t>N-SPT</t>
        </is>
      </c>
      <c r="O26" s="34" t="n"/>
      <c r="P26" s="34" t="n"/>
      <c r="Q26" s="33" t="inlineStr">
        <is>
          <t>γ</t>
        </is>
      </c>
      <c r="R26" s="34" t="n"/>
      <c r="S26" s="34" t="n"/>
      <c r="T26" s="33" t="inlineStr">
        <is>
          <t>LL</t>
        </is>
      </c>
      <c r="U26" s="34" t="n"/>
      <c r="V26" s="33" t="inlineStr">
        <is>
          <t>PI</t>
        </is>
      </c>
      <c r="W26" s="34" t="n"/>
      <c r="X26" s="33" t="inlineStr">
        <is>
          <t>e0</t>
        </is>
      </c>
      <c r="Y26" s="34" t="n"/>
      <c r="Z26" s="33" t="inlineStr">
        <is>
          <t>cu</t>
        </is>
      </c>
      <c r="AA26" s="34" t="n"/>
      <c r="AB26" s="34" t="n"/>
      <c r="AC26" s="33" t="inlineStr">
        <is>
          <t>φ'</t>
        </is>
      </c>
      <c r="AD26" s="34" t="n"/>
      <c r="AE26" s="34" t="n"/>
      <c r="AF26" s="15" t="n"/>
      <c r="AI26" s="65" t="inlineStr">
        <is>
          <t>top</t>
        </is>
      </c>
      <c r="AJ26" s="65" t="inlineStr">
        <is>
          <t>bot</t>
        </is>
      </c>
      <c r="AK26" s="65" t="inlineStr">
        <is>
          <t>h</t>
        </is>
      </c>
      <c r="AL26" s="65" t="inlineStr">
        <is>
          <t>z</t>
        </is>
      </c>
      <c r="AM26" s="65" t="inlineStr">
        <is>
          <t>typ</t>
        </is>
      </c>
      <c r="AN26" s="65" t="inlineStr">
        <is>
          <t>N</t>
        </is>
      </c>
      <c r="AO26" s="65" t="inlineStr">
        <is>
          <t>g</t>
        </is>
      </c>
      <c r="AP26" s="65" t="inlineStr">
        <is>
          <t>sv</t>
        </is>
      </c>
      <c r="AQ26" s="65" t="inlineStr">
        <is>
          <t>s0</t>
        </is>
      </c>
      <c r="AR26" s="65" t="inlineStr">
        <is>
          <t>LL</t>
        </is>
      </c>
      <c r="AS26" s="65" t="inlineStr">
        <is>
          <t>PL</t>
        </is>
      </c>
      <c r="AT26" s="65" t="inlineStr">
        <is>
          <t>PI</t>
        </is>
      </c>
      <c r="AU26" s="65" t="inlineStr">
        <is>
          <t>e0</t>
        </is>
      </c>
      <c r="AV26" s="65" t="inlineStr">
        <is>
          <t>cu</t>
        </is>
      </c>
      <c r="AW26" s="65" t="inlineStr">
        <is>
          <t>phi</t>
        </is>
      </c>
      <c r="AX26" s="65" t="inlineStr">
        <is>
          <t>E</t>
        </is>
      </c>
      <c r="AY26" s="65" t="inlineStr">
        <is>
          <t>nu</t>
        </is>
      </c>
      <c r="AZ26" s="65" t="inlineStr">
        <is>
          <t>m</t>
        </is>
      </c>
      <c r="BA26" s="65" t="inlineStr">
        <is>
          <t>n</t>
        </is>
      </c>
      <c r="BB26" s="65" t="inlineStr">
        <is>
          <t>I</t>
        </is>
      </c>
      <c r="BC26" s="65" t="inlineStr">
        <is>
          <t>ds</t>
        </is>
      </c>
      <c r="BD26" s="65" t="inlineStr">
        <is>
          <t>F1</t>
        </is>
      </c>
      <c r="BE26" s="65" t="inlineStr">
        <is>
          <t>F2</t>
        </is>
      </c>
      <c r="BF26" s="65" t="inlineStr">
        <is>
          <t>keep</t>
        </is>
      </c>
      <c r="BG26" s="65" t="inlineStr">
        <is>
          <t>Si</t>
        </is>
      </c>
      <c r="BH26" s="65" t="inlineStr">
        <is>
          <t>Cc</t>
        </is>
      </c>
      <c r="BI26" s="65" t="inlineStr">
        <is>
          <t>Cr</t>
        </is>
      </c>
      <c r="BJ26" s="65" t="inlineStr">
        <is>
          <t>sp</t>
        </is>
      </c>
      <c r="BK26" s="65" t="inlineStr">
        <is>
          <t>Sc</t>
        </is>
      </c>
      <c r="BL26" s="65" t="inlineStr">
        <is>
          <t>Cv</t>
        </is>
      </c>
      <c r="BM26" s="65" t="inlineStr">
        <is>
          <t>t90</t>
        </is>
      </c>
      <c r="BN26" s="65" t="inlineStr">
        <is>
          <t>hb0</t>
        </is>
      </c>
      <c r="BO26" s="65" t="inlineStr">
        <is>
          <t>hbr</t>
        </is>
      </c>
      <c r="BP26" s="65" t="inlineStr">
        <is>
          <t>hzi</t>
        </is>
      </c>
      <c r="BQ26" s="65" t="inlineStr">
        <is>
          <t>ket</t>
        </is>
      </c>
    </row>
    <row r="27">
      <c r="B27" s="9" t="n"/>
      <c r="C27" s="35" t="inlineStr"/>
      <c r="D27" s="36" t="n"/>
      <c r="E27" s="35" t="inlineStr">
        <is>
          <t>m</t>
        </is>
      </c>
      <c r="F27" s="36" t="n"/>
      <c r="G27" s="36" t="n"/>
      <c r="H27" s="35" t="inlineStr">
        <is>
          <t>m</t>
        </is>
      </c>
      <c r="I27" s="36" t="n"/>
      <c r="J27" s="36" t="n"/>
      <c r="K27" s="35" t="inlineStr"/>
      <c r="L27" s="36" t="n"/>
      <c r="M27" s="36" t="n"/>
      <c r="N27" s="35" t="inlineStr"/>
      <c r="O27" s="36" t="n"/>
      <c r="P27" s="36" t="n"/>
      <c r="Q27" s="35" t="inlineStr">
        <is>
          <t>kN/m³</t>
        </is>
      </c>
      <c r="R27" s="36" t="n"/>
      <c r="S27" s="36" t="n"/>
      <c r="T27" s="35" t="inlineStr">
        <is>
          <t>%</t>
        </is>
      </c>
      <c r="U27" s="36" t="n"/>
      <c r="V27" s="35" t="inlineStr">
        <is>
          <t>%</t>
        </is>
      </c>
      <c r="W27" s="36" t="n"/>
      <c r="X27" s="35" t="inlineStr">
        <is>
          <t>-</t>
        </is>
      </c>
      <c r="Y27" s="36" t="n"/>
      <c r="Z27" s="35" t="inlineStr">
        <is>
          <t>kPa</t>
        </is>
      </c>
      <c r="AA27" s="36" t="n"/>
      <c r="AB27" s="36" t="n"/>
      <c r="AC27" s="35" t="inlineStr">
        <is>
          <t>°</t>
        </is>
      </c>
      <c r="AD27" s="36" t="n"/>
      <c r="AE27" s="36" t="n"/>
      <c r="AF27" s="15" t="n"/>
    </row>
    <row r="28">
      <c r="B28" s="9" t="n"/>
      <c r="C28" s="57" t="n">
        <v>1</v>
      </c>
      <c r="D28" s="41" t="n"/>
      <c r="E28" s="55">
        <f>AI28</f>
        <v/>
      </c>
      <c r="F28" s="41" t="n"/>
      <c r="G28" s="41" t="n"/>
      <c r="H28" s="55">
        <f>AJ28</f>
        <v/>
      </c>
      <c r="I28" s="41" t="n"/>
      <c r="J28" s="41" t="n"/>
      <c r="K28" s="52">
        <f>AM28</f>
        <v/>
      </c>
      <c r="L28" s="41" t="n"/>
      <c r="M28" s="41" t="n"/>
      <c r="N28" s="57">
        <f>AN28</f>
        <v/>
      </c>
      <c r="O28" s="41" t="n"/>
      <c r="P28" s="41" t="n"/>
      <c r="Q28" s="53">
        <f>AO28</f>
        <v/>
      </c>
      <c r="R28" s="41" t="n"/>
      <c r="S28" s="41" t="n"/>
      <c r="T28" s="57">
        <f>IF(AR28="","-",AR28)</f>
        <v/>
      </c>
      <c r="U28" s="41" t="n"/>
      <c r="V28" s="57">
        <f>IF(AT28="","-",AT28)</f>
        <v/>
      </c>
      <c r="W28" s="41" t="n"/>
      <c r="X28" s="55">
        <f>AU28</f>
        <v/>
      </c>
      <c r="Y28" s="41" t="n"/>
      <c r="Z28" s="66">
        <f>AV28</f>
        <v/>
      </c>
      <c r="AA28" s="41" t="n"/>
      <c r="AB28" s="41" t="n"/>
      <c r="AC28" s="53">
        <f>AW28</f>
        <v/>
      </c>
      <c r="AD28" s="41" t="n"/>
      <c r="AE28" s="41" t="n"/>
      <c r="AF28" s="15" t="n"/>
      <c r="AI28" s="67" t="n">
        <v>0</v>
      </c>
      <c r="AJ28" s="67" t="n">
        <v>1.5</v>
      </c>
      <c r="AK28" s="68">
        <f>AJ28-AI28</f>
        <v/>
      </c>
      <c r="AL28" s="68">
        <f>(AI28+AJ28)/2</f>
        <v/>
      </c>
      <c r="AM28" s="67" t="inlineStr">
        <is>
          <t>Sand</t>
        </is>
      </c>
      <c r="AN28" s="67" t="n">
        <v>46</v>
      </c>
      <c r="AO28" s="68">
        <f>IF(AL28&gt;$AA$19,$AA$21,$AA$20)</f>
        <v/>
      </c>
      <c r="AP28" s="68">
        <f>AO28*AK28</f>
        <v/>
      </c>
      <c r="AQ28" s="68">
        <f>AP28-AO28*AK28/2-10*MAX(AL28-$AA$19,0)</f>
        <v/>
      </c>
      <c r="AR28" s="67" t="n"/>
      <c r="AS28" s="67" t="n"/>
      <c r="AT28" s="68">
        <f>IF(AR28="","",AR28-AS28)</f>
        <v/>
      </c>
      <c r="AU28" s="67" t="n">
        <v>0.65</v>
      </c>
      <c r="AV28" s="68">
        <f>IF(AM28="Sand",0,Input!$AA$31*AN28)</f>
        <v/>
      </c>
      <c r="AW28" s="68">
        <f>IF(AM28="Sand",27.1+0.3*MIN(Input!$AA$32*AN28,60)-0.00054*MIN(Input!$AA$32*AN28,60)^2,MIN(MAX(DEGREES(ASIN(0.8-0.094*LN(MAX(IF(AT28="",10,AT28),5)))),20),30))</f>
        <v/>
      </c>
      <c r="AX28" s="68">
        <f>IF(AM28="Sand",Input!$AA$33*Input!$AA$32*AN28,Input!$AA$34*AV28)</f>
        <v/>
      </c>
      <c r="AY28" s="68">
        <f>IF(AM28="Sand",Input!$AA$35,0.5)</f>
        <v/>
      </c>
      <c r="AZ28" s="68">
        <f>Input!$AA$15/2/AL28</f>
        <v/>
      </c>
      <c r="BA28" s="68">
        <f>Input!$AA$16/2/AL28</f>
        <v/>
      </c>
      <c r="BB28" s="68">
        <f>1/(4*PI())*(2*AZ28*BA28*SQRT(AZ28^2+BA28^2+1)/(AZ28^2+BA28^2+1+AZ28^2*BA28^2)*(AZ28^2+BA28^2+2)/(AZ28^2+BA28^2+1)+ATAN2(AZ28^2+BA28^2+1-AZ28^2*BA28^2,2*AZ28*BA28*SQRT(AZ28^2+BA28^2+1)))</f>
        <v/>
      </c>
      <c r="BC28" s="68">
        <f>4*Input!$AA$14*BB28</f>
        <v/>
      </c>
      <c r="BD28" s="68">
        <f>((Input!$AA$16/Input!$AA$15)*LN((1+SQRT((Input!$AA$16/Input!$AA$15)^2+1))*SQRT((Input!$AA$16/Input!$AA$15)^2+(AJ28/(Input!$AA$15/2))^2)/((Input!$AA$16/Input!$AA$15)*(1+SQRT((Input!$AA$16/Input!$AA$15)^2+(AJ28/(Input!$AA$15/2))^2+1))))+LN(((Input!$AA$16/Input!$AA$15)+SQRT((Input!$AA$16/Input!$AA$15)^2+1))*SQRT(1+(AJ28/(Input!$AA$15/2))^2)/((Input!$AA$16/Input!$AA$15)+SQRT((Input!$AA$16/Input!$AA$15)^2+(AJ28/(Input!$AA$15/2))^2+1))))/PI()</f>
        <v/>
      </c>
      <c r="BE28" s="68">
        <f>(AJ28/(Input!$AA$15/2))/(2*PI())*ATAN((Input!$AA$16/Input!$AA$15)/((AJ28/(Input!$AA$15/2))*SQRT((Input!$AA$16/Input!$AA$15)^2+(AJ28/(Input!$AA$15/2))^2+1)))</f>
        <v/>
      </c>
      <c r="BF28" s="68">
        <f>MAX(0,AJ28-MAX(AI28,$AA$22))/AK28*IF(BC28&gt;=Input!$AA$21*AQ28,1,0)</f>
        <v/>
      </c>
      <c r="BG28" s="68">
        <f>4*Input!$AA$14*(Input!$AA$15/2)*(1-AY28^2)/AX28*((BD28-0)+(1-2*AY28)/(1-AY28)*(BE28-0))*1000*BF28</f>
        <v/>
      </c>
      <c r="BH28" s="68">
        <f>IF(AM28="Sand",0,0.009*(AR28-10))</f>
        <v/>
      </c>
      <c r="BI28" s="68">
        <f>BH28*Input!$AA$36</f>
        <v/>
      </c>
      <c r="BJ28" s="68">
        <f>IF(AM28="Sand",0,MAX(AV28/Input!$AA$37,AQ28))</f>
        <v/>
      </c>
      <c r="BK28" s="68">
        <f>IF(AM28="Sand",0,1000*AK28/(1+AU28)*IF(AQ28+BC28&lt;=BJ28,BI28*LOG10((AQ28+BC28)/AQ28),BI28*LOG10(BJ28/AQ28)+BH28*LOG10((AQ28+BC28)/BJ28)))*BF28</f>
        <v/>
      </c>
      <c r="BL28" s="68">
        <f>IF(AM28="Sand",0,10^(INDEX(Input!$Q$48:$Q$54,MIN(MATCH(MIN(MAX(AR28,30),120),Input!$C$48:$C$54,1),6))+(MIN(MAX(AR28,30),120)-INDEX(Input!$C$48:$C$54,MIN(MATCH(MIN(MAX(AR28,30),120),Input!$C$48:$C$54,1),6)))/(INDEX(Input!$C$48:$C$54,MIN(MATCH(MIN(MAX(AR28,30),120),Input!$C$48:$C$54,1),6)+1)-INDEX(Input!$C$48:$C$54,MIN(MATCH(MIN(MAX(AR28,30),120),Input!$C$48:$C$54,1),6)))*(INDEX(Input!$Q$48:$Q$54,MIN(MATCH(MIN(MAX(AR28,30),120),Input!$C$48:$C$54,1),6)+1)-INDEX(Input!$Q$48:$Q$54,MIN(MATCH(MIN(MAX(AR28,30),120),Input!$C$48:$C$54,1),6)))))</f>
        <v/>
      </c>
      <c r="BM28" s="68">
        <f>IF(OR(AM28="Sand",BF28=0),0,Input!$AA$38*(AK28/2)^2/(BL28*1E-4*31536000))</f>
        <v/>
      </c>
      <c r="BN28" s="68">
        <f>MAX(0,MIN(AJ28,Input!$AA$20)-AI28)</f>
        <v/>
      </c>
      <c r="BO28" s="68">
        <f>MAX(0,MIN(AJ28,Input!$AA$20)-MAX(AI28,$AA$22))</f>
        <v/>
      </c>
      <c r="BP28" s="68">
        <f>MAX(0,MIN(AJ28,$AA$225)-AI28)</f>
        <v/>
      </c>
      <c r="BQ28" s="68" t="inlineStr">
        <is>
          <t>0-1.5 m not tested: N of next layer</t>
        </is>
      </c>
    </row>
    <row r="29">
      <c r="B29" s="9" t="n"/>
      <c r="C29" s="57" t="n">
        <v>2</v>
      </c>
      <c r="D29" s="41" t="n"/>
      <c r="E29" s="55">
        <f>AI29</f>
        <v/>
      </c>
      <c r="F29" s="41" t="n"/>
      <c r="G29" s="41" t="n"/>
      <c r="H29" s="55">
        <f>AJ29</f>
        <v/>
      </c>
      <c r="I29" s="41" t="n"/>
      <c r="J29" s="41" t="n"/>
      <c r="K29" s="52">
        <f>AM29</f>
        <v/>
      </c>
      <c r="L29" s="41" t="n"/>
      <c r="M29" s="41" t="n"/>
      <c r="N29" s="57">
        <f>AN29</f>
        <v/>
      </c>
      <c r="O29" s="41" t="n"/>
      <c r="P29" s="41" t="n"/>
      <c r="Q29" s="53">
        <f>AO29</f>
        <v/>
      </c>
      <c r="R29" s="41" t="n"/>
      <c r="S29" s="41" t="n"/>
      <c r="T29" s="57">
        <f>IF(AR29="","-",AR29)</f>
        <v/>
      </c>
      <c r="U29" s="41" t="n"/>
      <c r="V29" s="57">
        <f>IF(AT29="","-",AT29)</f>
        <v/>
      </c>
      <c r="W29" s="41" t="n"/>
      <c r="X29" s="55">
        <f>AU29</f>
        <v/>
      </c>
      <c r="Y29" s="41" t="n"/>
      <c r="Z29" s="66">
        <f>AV29</f>
        <v/>
      </c>
      <c r="AA29" s="41" t="n"/>
      <c r="AB29" s="41" t="n"/>
      <c r="AC29" s="53">
        <f>AW29</f>
        <v/>
      </c>
      <c r="AD29" s="41" t="n"/>
      <c r="AE29" s="41" t="n"/>
      <c r="AF29" s="15" t="n"/>
      <c r="AI29" s="67" t="n">
        <v>1.5</v>
      </c>
      <c r="AJ29" s="67" t="n">
        <v>3</v>
      </c>
      <c r="AK29" s="68">
        <f>AJ29-AI29</f>
        <v/>
      </c>
      <c r="AL29" s="68">
        <f>(AI29+AJ29)/2</f>
        <v/>
      </c>
      <c r="AM29" s="67" t="inlineStr">
        <is>
          <t>Sand</t>
        </is>
      </c>
      <c r="AN29" s="67" t="n">
        <v>46</v>
      </c>
      <c r="AO29" s="68">
        <f>IF(AL29&gt;$AA$19,$AA$21,$AA$20)</f>
        <v/>
      </c>
      <c r="AP29" s="68">
        <f>AP28+AO29*AK29</f>
        <v/>
      </c>
      <c r="AQ29" s="68">
        <f>AP29-AO29*AK29/2-10*MAX(AL29-$AA$19,0)</f>
        <v/>
      </c>
      <c r="AR29" s="67" t="n"/>
      <c r="AS29" s="67" t="n"/>
      <c r="AT29" s="68">
        <f>IF(AR29="","",AR29-AS29)</f>
        <v/>
      </c>
      <c r="AU29" s="67" t="n">
        <v>0.659</v>
      </c>
      <c r="AV29" s="68">
        <f>IF(AM29="Sand",0,Input!$AA$31*AN29)</f>
        <v/>
      </c>
      <c r="AW29" s="68">
        <f>IF(AM29="Sand",27.1+0.3*MIN(Input!$AA$32*AN29,60)-0.00054*MIN(Input!$AA$32*AN29,60)^2,MIN(MAX(DEGREES(ASIN(0.8-0.094*LN(MAX(IF(AT29="",10,AT29),5)))),20),30))</f>
        <v/>
      </c>
      <c r="AX29" s="68">
        <f>IF(AM29="Sand",Input!$AA$33*Input!$AA$32*AN29,Input!$AA$34*AV29)</f>
        <v/>
      </c>
      <c r="AY29" s="68">
        <f>IF(AM29="Sand",Input!$AA$35,0.5)</f>
        <v/>
      </c>
      <c r="AZ29" s="68">
        <f>Input!$AA$15/2/AL29</f>
        <v/>
      </c>
      <c r="BA29" s="68">
        <f>Input!$AA$16/2/AL29</f>
        <v/>
      </c>
      <c r="BB29" s="68">
        <f>1/(4*PI())*(2*AZ29*BA29*SQRT(AZ29^2+BA29^2+1)/(AZ29^2+BA29^2+1+AZ29^2*BA29^2)*(AZ29^2+BA29^2+2)/(AZ29^2+BA29^2+1)+ATAN2(AZ29^2+BA29^2+1-AZ29^2*BA29^2,2*AZ29*BA29*SQRT(AZ29^2+BA29^2+1)))</f>
        <v/>
      </c>
      <c r="BC29" s="68">
        <f>4*Input!$AA$14*BB29</f>
        <v/>
      </c>
      <c r="BD29" s="68">
        <f>((Input!$AA$16/Input!$AA$15)*LN((1+SQRT((Input!$AA$16/Input!$AA$15)^2+1))*SQRT((Input!$AA$16/Input!$AA$15)^2+(AJ29/(Input!$AA$15/2))^2)/((Input!$AA$16/Input!$AA$15)*(1+SQRT((Input!$AA$16/Input!$AA$15)^2+(AJ29/(Input!$AA$15/2))^2+1))))+LN(((Input!$AA$16/Input!$AA$15)+SQRT((Input!$AA$16/Input!$AA$15)^2+1))*SQRT(1+(AJ29/(Input!$AA$15/2))^2)/((Input!$AA$16/Input!$AA$15)+SQRT((Input!$AA$16/Input!$AA$15)^2+(AJ29/(Input!$AA$15/2))^2+1))))/PI()</f>
        <v/>
      </c>
      <c r="BE29" s="68">
        <f>(AJ29/(Input!$AA$15/2))/(2*PI())*ATAN((Input!$AA$16/Input!$AA$15)/((AJ29/(Input!$AA$15/2))*SQRT((Input!$AA$16/Input!$AA$15)^2+(AJ29/(Input!$AA$15/2))^2+1)))</f>
        <v/>
      </c>
      <c r="BF29" s="68">
        <f>MAX(0,AJ29-MAX(AI29,$AA$22))/AK29*IF(BC29&gt;=Input!$AA$21*AQ29,1,0)</f>
        <v/>
      </c>
      <c r="BG29" s="68">
        <f>4*Input!$AA$14*(Input!$AA$15/2)*(1-AY29^2)/AX29*((BD29-BD28)+(1-2*AY29)/(1-AY29)*(BE29-BE28))*1000*BF29</f>
        <v/>
      </c>
      <c r="BH29" s="68">
        <f>IF(AM29="Sand",0,0.009*(AR29-10))</f>
        <v/>
      </c>
      <c r="BI29" s="68">
        <f>BH29*Input!$AA$36</f>
        <v/>
      </c>
      <c r="BJ29" s="68">
        <f>IF(AM29="Sand",0,MAX(AV29/Input!$AA$37,AQ29))</f>
        <v/>
      </c>
      <c r="BK29" s="68">
        <f>IF(AM29="Sand",0,1000*AK29/(1+AU29)*IF(AQ29+BC29&lt;=BJ29,BI29*LOG10((AQ29+BC29)/AQ29),BI29*LOG10(BJ29/AQ29)+BH29*LOG10((AQ29+BC29)/BJ29)))*BF29</f>
        <v/>
      </c>
      <c r="BL29" s="68">
        <f>IF(AM29="Sand",0,10^(INDEX(Input!$Q$48:$Q$54,MIN(MATCH(MIN(MAX(AR29,30),120),Input!$C$48:$C$54,1),6))+(MIN(MAX(AR29,30),120)-INDEX(Input!$C$48:$C$54,MIN(MATCH(MIN(MAX(AR29,30),120),Input!$C$48:$C$54,1),6)))/(INDEX(Input!$C$48:$C$54,MIN(MATCH(MIN(MAX(AR29,30),120),Input!$C$48:$C$54,1),6)+1)-INDEX(Input!$C$48:$C$54,MIN(MATCH(MIN(MAX(AR29,30),120),Input!$C$48:$C$54,1),6)))*(INDEX(Input!$Q$48:$Q$54,MIN(MATCH(MIN(MAX(AR29,30),120),Input!$C$48:$C$54,1),6)+1)-INDEX(Input!$Q$48:$Q$54,MIN(MATCH(MIN(MAX(AR29,30),120),Input!$C$48:$C$54,1),6)))))</f>
        <v/>
      </c>
      <c r="BM29" s="68">
        <f>IF(OR(AM29="Sand",BF29=0),0,Input!$AA$38*(AK29/2)^2/(BL29*1E-4*31536000))</f>
        <v/>
      </c>
      <c r="BN29" s="68">
        <f>MAX(0,MIN(AJ29,Input!$AA$20)-AI29)</f>
        <v/>
      </c>
      <c r="BO29" s="68">
        <f>MAX(0,MIN(AJ29,Input!$AA$20)-MAX(AI29,$AA$22))</f>
        <v/>
      </c>
      <c r="BP29" s="68">
        <f>MAX(0,MIN(AJ29,$AA$225)-AI29)</f>
        <v/>
      </c>
      <c r="BQ29" s="68" t="inlineStr"/>
    </row>
    <row r="30">
      <c r="B30" s="9" t="n"/>
      <c r="C30" s="57" t="n">
        <v>3</v>
      </c>
      <c r="D30" s="41" t="n"/>
      <c r="E30" s="55">
        <f>AI30</f>
        <v/>
      </c>
      <c r="F30" s="41" t="n"/>
      <c r="G30" s="41" t="n"/>
      <c r="H30" s="55">
        <f>AJ30</f>
        <v/>
      </c>
      <c r="I30" s="41" t="n"/>
      <c r="J30" s="41" t="n"/>
      <c r="K30" s="52">
        <f>AM30</f>
        <v/>
      </c>
      <c r="L30" s="41" t="n"/>
      <c r="M30" s="41" t="n"/>
      <c r="N30" s="57">
        <f>AN30</f>
        <v/>
      </c>
      <c r="O30" s="41" t="n"/>
      <c r="P30" s="41" t="n"/>
      <c r="Q30" s="53">
        <f>AO30</f>
        <v/>
      </c>
      <c r="R30" s="41" t="n"/>
      <c r="S30" s="41" t="n"/>
      <c r="T30" s="57">
        <f>IF(AR30="","-",AR30)</f>
        <v/>
      </c>
      <c r="U30" s="41" t="n"/>
      <c r="V30" s="57">
        <f>IF(AT30="","-",AT30)</f>
        <v/>
      </c>
      <c r="W30" s="41" t="n"/>
      <c r="X30" s="55">
        <f>AU30</f>
        <v/>
      </c>
      <c r="Y30" s="41" t="n"/>
      <c r="Z30" s="66">
        <f>AV30</f>
        <v/>
      </c>
      <c r="AA30" s="41" t="n"/>
      <c r="AB30" s="41" t="n"/>
      <c r="AC30" s="53">
        <f>AW30</f>
        <v/>
      </c>
      <c r="AD30" s="41" t="n"/>
      <c r="AE30" s="41" t="n"/>
      <c r="AF30" s="15" t="n"/>
      <c r="AI30" s="67" t="n">
        <v>3</v>
      </c>
      <c r="AJ30" s="67" t="n">
        <v>4.5</v>
      </c>
      <c r="AK30" s="68">
        <f>AJ30-AI30</f>
        <v/>
      </c>
      <c r="AL30" s="68">
        <f>(AI30+AJ30)/2</f>
        <v/>
      </c>
      <c r="AM30" s="67" t="inlineStr">
        <is>
          <t>Sand</t>
        </is>
      </c>
      <c r="AN30" s="67" t="n">
        <v>50</v>
      </c>
      <c r="AO30" s="68">
        <f>IF(AL30&gt;$AA$19,$AA$21,$AA$20)</f>
        <v/>
      </c>
      <c r="AP30" s="68">
        <f>AP29+AO30*AK30</f>
        <v/>
      </c>
      <c r="AQ30" s="68">
        <f>AP30-AO30*AK30/2-10*MAX(AL30-$AA$19,0)</f>
        <v/>
      </c>
      <c r="AR30" s="67" t="n"/>
      <c r="AS30" s="67" t="n"/>
      <c r="AT30" s="68">
        <f>IF(AR30="","",AR30-AS30)</f>
        <v/>
      </c>
      <c r="AU30" s="67" t="n">
        <v>0.65</v>
      </c>
      <c r="AV30" s="68">
        <f>IF(AM30="Sand",0,Input!$AA$31*AN30)</f>
        <v/>
      </c>
      <c r="AW30" s="68">
        <f>IF(AM30="Sand",27.1+0.3*MIN(Input!$AA$32*AN30,60)-0.00054*MIN(Input!$AA$32*AN30,60)^2,MIN(MAX(DEGREES(ASIN(0.8-0.094*LN(MAX(IF(AT30="",10,AT30),5)))),20),30))</f>
        <v/>
      </c>
      <c r="AX30" s="68">
        <f>IF(AM30="Sand",Input!$AA$33*Input!$AA$32*AN30,Input!$AA$34*AV30)</f>
        <v/>
      </c>
      <c r="AY30" s="68">
        <f>IF(AM30="Sand",Input!$AA$35,0.5)</f>
        <v/>
      </c>
      <c r="AZ30" s="68">
        <f>Input!$AA$15/2/AL30</f>
        <v/>
      </c>
      <c r="BA30" s="68">
        <f>Input!$AA$16/2/AL30</f>
        <v/>
      </c>
      <c r="BB30" s="68">
        <f>1/(4*PI())*(2*AZ30*BA30*SQRT(AZ30^2+BA30^2+1)/(AZ30^2+BA30^2+1+AZ30^2*BA30^2)*(AZ30^2+BA30^2+2)/(AZ30^2+BA30^2+1)+ATAN2(AZ30^2+BA30^2+1-AZ30^2*BA30^2,2*AZ30*BA30*SQRT(AZ30^2+BA30^2+1)))</f>
        <v/>
      </c>
      <c r="BC30" s="68">
        <f>4*Input!$AA$14*BB30</f>
        <v/>
      </c>
      <c r="BD30" s="68">
        <f>((Input!$AA$16/Input!$AA$15)*LN((1+SQRT((Input!$AA$16/Input!$AA$15)^2+1))*SQRT((Input!$AA$16/Input!$AA$15)^2+(AJ30/(Input!$AA$15/2))^2)/((Input!$AA$16/Input!$AA$15)*(1+SQRT((Input!$AA$16/Input!$AA$15)^2+(AJ30/(Input!$AA$15/2))^2+1))))+LN(((Input!$AA$16/Input!$AA$15)+SQRT((Input!$AA$16/Input!$AA$15)^2+1))*SQRT(1+(AJ30/(Input!$AA$15/2))^2)/((Input!$AA$16/Input!$AA$15)+SQRT((Input!$AA$16/Input!$AA$15)^2+(AJ30/(Input!$AA$15/2))^2+1))))/PI()</f>
        <v/>
      </c>
      <c r="BE30" s="68">
        <f>(AJ30/(Input!$AA$15/2))/(2*PI())*ATAN((Input!$AA$16/Input!$AA$15)/((AJ30/(Input!$AA$15/2))*SQRT((Input!$AA$16/Input!$AA$15)^2+(AJ30/(Input!$AA$15/2))^2+1)))</f>
        <v/>
      </c>
      <c r="BF30" s="68">
        <f>MAX(0,AJ30-MAX(AI30,$AA$22))/AK30*IF(BC30&gt;=Input!$AA$21*AQ30,1,0)</f>
        <v/>
      </c>
      <c r="BG30" s="68">
        <f>4*Input!$AA$14*(Input!$AA$15/2)*(1-AY30^2)/AX30*((BD30-BD29)+(1-2*AY30)/(1-AY30)*(BE30-BE29))*1000*BF30</f>
        <v/>
      </c>
      <c r="BH30" s="68">
        <f>IF(AM30="Sand",0,0.009*(AR30-10))</f>
        <v/>
      </c>
      <c r="BI30" s="68">
        <f>BH30*Input!$AA$36</f>
        <v/>
      </c>
      <c r="BJ30" s="68">
        <f>IF(AM30="Sand",0,MAX(AV30/Input!$AA$37,AQ30))</f>
        <v/>
      </c>
      <c r="BK30" s="68">
        <f>IF(AM30="Sand",0,1000*AK30/(1+AU30)*IF(AQ30+BC30&lt;=BJ30,BI30*LOG10((AQ30+BC30)/AQ30),BI30*LOG10(BJ30/AQ30)+BH30*LOG10((AQ30+BC30)/BJ30)))*BF30</f>
        <v/>
      </c>
      <c r="BL30" s="68">
        <f>IF(AM30="Sand",0,10^(INDEX(Input!$Q$48:$Q$54,MIN(MATCH(MIN(MAX(AR30,30),120),Input!$C$48:$C$54,1),6))+(MIN(MAX(AR30,30),120)-INDEX(Input!$C$48:$C$54,MIN(MATCH(MIN(MAX(AR30,30),120),Input!$C$48:$C$54,1),6)))/(INDEX(Input!$C$48:$C$54,MIN(MATCH(MIN(MAX(AR30,30),120),Input!$C$48:$C$54,1),6)+1)-INDEX(Input!$C$48:$C$54,MIN(MATCH(MIN(MAX(AR30,30),120),Input!$C$48:$C$54,1),6)))*(INDEX(Input!$Q$48:$Q$54,MIN(MATCH(MIN(MAX(AR30,30),120),Input!$C$48:$C$54,1),6)+1)-INDEX(Input!$Q$48:$Q$54,MIN(MATCH(MIN(MAX(AR30,30),120),Input!$C$48:$C$54,1),6)))))</f>
        <v/>
      </c>
      <c r="BM30" s="68">
        <f>IF(OR(AM30="Sand",BF30=0),0,Input!$AA$38*(AK30/2)^2/(BL30*1E-4*31536000))</f>
        <v/>
      </c>
      <c r="BN30" s="68">
        <f>MAX(0,MIN(AJ30,Input!$AA$20)-AI30)</f>
        <v/>
      </c>
      <c r="BO30" s="68">
        <f>MAX(0,MIN(AJ30,Input!$AA$20)-MAX(AI30,$AA$22))</f>
        <v/>
      </c>
      <c r="BP30" s="68">
        <f>MAX(0,MIN(AJ30,$AA$225)-AI30)</f>
        <v/>
      </c>
      <c r="BQ30" s="68" t="inlineStr"/>
    </row>
    <row r="31">
      <c r="B31" s="9" t="n"/>
      <c r="C31" s="57" t="n">
        <v>4</v>
      </c>
      <c r="D31" s="41" t="n"/>
      <c r="E31" s="55">
        <f>AI31</f>
        <v/>
      </c>
      <c r="F31" s="41" t="n"/>
      <c r="G31" s="41" t="n"/>
      <c r="H31" s="55">
        <f>AJ31</f>
        <v/>
      </c>
      <c r="I31" s="41" t="n"/>
      <c r="J31" s="41" t="n"/>
      <c r="K31" s="52">
        <f>AM31</f>
        <v/>
      </c>
      <c r="L31" s="41" t="n"/>
      <c r="M31" s="41" t="n"/>
      <c r="N31" s="57">
        <f>AN31</f>
        <v/>
      </c>
      <c r="O31" s="41" t="n"/>
      <c r="P31" s="41" t="n"/>
      <c r="Q31" s="53">
        <f>AO31</f>
        <v/>
      </c>
      <c r="R31" s="41" t="n"/>
      <c r="S31" s="41" t="n"/>
      <c r="T31" s="57">
        <f>IF(AR31="","-",AR31)</f>
        <v/>
      </c>
      <c r="U31" s="41" t="n"/>
      <c r="V31" s="57">
        <f>IF(AT31="","-",AT31)</f>
        <v/>
      </c>
      <c r="W31" s="41" t="n"/>
      <c r="X31" s="55">
        <f>AU31</f>
        <v/>
      </c>
      <c r="Y31" s="41" t="n"/>
      <c r="Z31" s="66">
        <f>AV31</f>
        <v/>
      </c>
      <c r="AA31" s="41" t="n"/>
      <c r="AB31" s="41" t="n"/>
      <c r="AC31" s="53">
        <f>AW31</f>
        <v/>
      </c>
      <c r="AD31" s="41" t="n"/>
      <c r="AE31" s="41" t="n"/>
      <c r="AF31" s="15" t="n"/>
      <c r="AI31" s="67" t="n">
        <v>4.5</v>
      </c>
      <c r="AJ31" s="67" t="n">
        <v>6</v>
      </c>
      <c r="AK31" s="68">
        <f>AJ31-AI31</f>
        <v/>
      </c>
      <c r="AL31" s="68">
        <f>(AI31+AJ31)/2</f>
        <v/>
      </c>
      <c r="AM31" s="67" t="inlineStr">
        <is>
          <t>Sand</t>
        </is>
      </c>
      <c r="AN31" s="67" t="n">
        <v>50</v>
      </c>
      <c r="AO31" s="68">
        <f>IF(AL31&gt;$AA$19,$AA$21,$AA$20)</f>
        <v/>
      </c>
      <c r="AP31" s="68">
        <f>AP30+AO31*AK31</f>
        <v/>
      </c>
      <c r="AQ31" s="68">
        <f>AP31-AO31*AK31/2-10*MAX(AL31-$AA$19,0)</f>
        <v/>
      </c>
      <c r="AR31" s="67" t="n"/>
      <c r="AS31" s="67" t="n"/>
      <c r="AT31" s="68">
        <f>IF(AR31="","",AR31-AS31)</f>
        <v/>
      </c>
      <c r="AU31" s="67" t="n">
        <v>0.783</v>
      </c>
      <c r="AV31" s="68">
        <f>IF(AM31="Sand",0,Input!$AA$31*AN31)</f>
        <v/>
      </c>
      <c r="AW31" s="68">
        <f>IF(AM31="Sand",27.1+0.3*MIN(Input!$AA$32*AN31,60)-0.00054*MIN(Input!$AA$32*AN31,60)^2,MIN(MAX(DEGREES(ASIN(0.8-0.094*LN(MAX(IF(AT31="",10,AT31),5)))),20),30))</f>
        <v/>
      </c>
      <c r="AX31" s="68">
        <f>IF(AM31="Sand",Input!$AA$33*Input!$AA$32*AN31,Input!$AA$34*AV31)</f>
        <v/>
      </c>
      <c r="AY31" s="68">
        <f>IF(AM31="Sand",Input!$AA$35,0.5)</f>
        <v/>
      </c>
      <c r="AZ31" s="68">
        <f>Input!$AA$15/2/AL31</f>
        <v/>
      </c>
      <c r="BA31" s="68">
        <f>Input!$AA$16/2/AL31</f>
        <v/>
      </c>
      <c r="BB31" s="68">
        <f>1/(4*PI())*(2*AZ31*BA31*SQRT(AZ31^2+BA31^2+1)/(AZ31^2+BA31^2+1+AZ31^2*BA31^2)*(AZ31^2+BA31^2+2)/(AZ31^2+BA31^2+1)+ATAN2(AZ31^2+BA31^2+1-AZ31^2*BA31^2,2*AZ31*BA31*SQRT(AZ31^2+BA31^2+1)))</f>
        <v/>
      </c>
      <c r="BC31" s="68">
        <f>4*Input!$AA$14*BB31</f>
        <v/>
      </c>
      <c r="BD31" s="68">
        <f>((Input!$AA$16/Input!$AA$15)*LN((1+SQRT((Input!$AA$16/Input!$AA$15)^2+1))*SQRT((Input!$AA$16/Input!$AA$15)^2+(AJ31/(Input!$AA$15/2))^2)/((Input!$AA$16/Input!$AA$15)*(1+SQRT((Input!$AA$16/Input!$AA$15)^2+(AJ31/(Input!$AA$15/2))^2+1))))+LN(((Input!$AA$16/Input!$AA$15)+SQRT((Input!$AA$16/Input!$AA$15)^2+1))*SQRT(1+(AJ31/(Input!$AA$15/2))^2)/((Input!$AA$16/Input!$AA$15)+SQRT((Input!$AA$16/Input!$AA$15)^2+(AJ31/(Input!$AA$15/2))^2+1))))/PI()</f>
        <v/>
      </c>
      <c r="BE31" s="68">
        <f>(AJ31/(Input!$AA$15/2))/(2*PI())*ATAN((Input!$AA$16/Input!$AA$15)/((AJ31/(Input!$AA$15/2))*SQRT((Input!$AA$16/Input!$AA$15)^2+(AJ31/(Input!$AA$15/2))^2+1)))</f>
        <v/>
      </c>
      <c r="BF31" s="68">
        <f>MAX(0,AJ31-MAX(AI31,$AA$22))/AK31*IF(BC31&gt;=Input!$AA$21*AQ31,1,0)</f>
        <v/>
      </c>
      <c r="BG31" s="68">
        <f>4*Input!$AA$14*(Input!$AA$15/2)*(1-AY31^2)/AX31*((BD31-BD30)+(1-2*AY31)/(1-AY31)*(BE31-BE30))*1000*BF31</f>
        <v/>
      </c>
      <c r="BH31" s="68">
        <f>IF(AM31="Sand",0,0.009*(AR31-10))</f>
        <v/>
      </c>
      <c r="BI31" s="68">
        <f>BH31*Input!$AA$36</f>
        <v/>
      </c>
      <c r="BJ31" s="68">
        <f>IF(AM31="Sand",0,MAX(AV31/Input!$AA$37,AQ31))</f>
        <v/>
      </c>
      <c r="BK31" s="68">
        <f>IF(AM31="Sand",0,1000*AK31/(1+AU31)*IF(AQ31+BC31&lt;=BJ31,BI31*LOG10((AQ31+BC31)/AQ31),BI31*LOG10(BJ31/AQ31)+BH31*LOG10((AQ31+BC31)/BJ31)))*BF31</f>
        <v/>
      </c>
      <c r="BL31" s="68">
        <f>IF(AM31="Sand",0,10^(INDEX(Input!$Q$48:$Q$54,MIN(MATCH(MIN(MAX(AR31,30),120),Input!$C$48:$C$54,1),6))+(MIN(MAX(AR31,30),120)-INDEX(Input!$C$48:$C$54,MIN(MATCH(MIN(MAX(AR31,30),120),Input!$C$48:$C$54,1),6)))/(INDEX(Input!$C$48:$C$54,MIN(MATCH(MIN(MAX(AR31,30),120),Input!$C$48:$C$54,1),6)+1)-INDEX(Input!$C$48:$C$54,MIN(MATCH(MIN(MAX(AR31,30),120),Input!$C$48:$C$54,1),6)))*(INDEX(Input!$Q$48:$Q$54,MIN(MATCH(MIN(MAX(AR31,30),120),Input!$C$48:$C$54,1),6)+1)-INDEX(Input!$Q$48:$Q$54,MIN(MATCH(MIN(MAX(AR31,30),120),Input!$C$48:$C$54,1),6)))))</f>
        <v/>
      </c>
      <c r="BM31" s="68">
        <f>IF(OR(AM31="Sand",BF31=0),0,Input!$AA$38*(AK31/2)^2/(BL31*1E-4*31536000))</f>
        <v/>
      </c>
      <c r="BN31" s="68">
        <f>MAX(0,MIN(AJ31,Input!$AA$20)-AI31)</f>
        <v/>
      </c>
      <c r="BO31" s="68">
        <f>MAX(0,MIN(AJ31,Input!$AA$20)-MAX(AI31,$AA$22))</f>
        <v/>
      </c>
      <c r="BP31" s="68">
        <f>MAX(0,MIN(AJ31,$AA$225)-AI31)</f>
        <v/>
      </c>
      <c r="BQ31" s="68" t="inlineStr"/>
    </row>
    <row r="32">
      <c r="B32" s="9" t="n"/>
      <c r="C32" s="57" t="n">
        <v>5</v>
      </c>
      <c r="D32" s="41" t="n"/>
      <c r="E32" s="55">
        <f>AI32</f>
        <v/>
      </c>
      <c r="F32" s="41" t="n"/>
      <c r="G32" s="41" t="n"/>
      <c r="H32" s="55">
        <f>AJ32</f>
        <v/>
      </c>
      <c r="I32" s="41" t="n"/>
      <c r="J32" s="41" t="n"/>
      <c r="K32" s="52">
        <f>AM32</f>
        <v/>
      </c>
      <c r="L32" s="41" t="n"/>
      <c r="M32" s="41" t="n"/>
      <c r="N32" s="57">
        <f>AN32</f>
        <v/>
      </c>
      <c r="O32" s="41" t="n"/>
      <c r="P32" s="41" t="n"/>
      <c r="Q32" s="53">
        <f>AO32</f>
        <v/>
      </c>
      <c r="R32" s="41" t="n"/>
      <c r="S32" s="41" t="n"/>
      <c r="T32" s="57">
        <f>IF(AR32="","-",AR32)</f>
        <v/>
      </c>
      <c r="U32" s="41" t="n"/>
      <c r="V32" s="57">
        <f>IF(AT32="","-",AT32)</f>
        <v/>
      </c>
      <c r="W32" s="41" t="n"/>
      <c r="X32" s="55">
        <f>AU32</f>
        <v/>
      </c>
      <c r="Y32" s="41" t="n"/>
      <c r="Z32" s="66">
        <f>AV32</f>
        <v/>
      </c>
      <c r="AA32" s="41" t="n"/>
      <c r="AB32" s="41" t="n"/>
      <c r="AC32" s="53">
        <f>AW32</f>
        <v/>
      </c>
      <c r="AD32" s="41" t="n"/>
      <c r="AE32" s="41" t="n"/>
      <c r="AF32" s="15" t="n"/>
      <c r="AI32" s="67" t="n">
        <v>6</v>
      </c>
      <c r="AJ32" s="67" t="n">
        <v>7.5</v>
      </c>
      <c r="AK32" s="68">
        <f>AJ32-AI32</f>
        <v/>
      </c>
      <c r="AL32" s="68">
        <f>(AI32+AJ32)/2</f>
        <v/>
      </c>
      <c r="AM32" s="67" t="inlineStr">
        <is>
          <t>Sand</t>
        </is>
      </c>
      <c r="AN32" s="67" t="n">
        <v>32</v>
      </c>
      <c r="AO32" s="68">
        <f>IF(AL32&gt;$AA$19,$AA$21,$AA$20)</f>
        <v/>
      </c>
      <c r="AP32" s="68">
        <f>AP31+AO32*AK32</f>
        <v/>
      </c>
      <c r="AQ32" s="68">
        <f>AP32-AO32*AK32/2-10*MAX(AL32-$AA$19,0)</f>
        <v/>
      </c>
      <c r="AR32" s="67" t="n"/>
      <c r="AS32" s="67" t="n"/>
      <c r="AT32" s="68">
        <f>IF(AR32="","",AR32-AS32)</f>
        <v/>
      </c>
      <c r="AU32" s="67" t="n">
        <v>0.43</v>
      </c>
      <c r="AV32" s="68">
        <f>IF(AM32="Sand",0,Input!$AA$31*AN32)</f>
        <v/>
      </c>
      <c r="AW32" s="68">
        <f>IF(AM32="Sand",27.1+0.3*MIN(Input!$AA$32*AN32,60)-0.00054*MIN(Input!$AA$32*AN32,60)^2,MIN(MAX(DEGREES(ASIN(0.8-0.094*LN(MAX(IF(AT32="",10,AT32),5)))),20),30))</f>
        <v/>
      </c>
      <c r="AX32" s="68">
        <f>IF(AM32="Sand",Input!$AA$33*Input!$AA$32*AN32,Input!$AA$34*AV32)</f>
        <v/>
      </c>
      <c r="AY32" s="68">
        <f>IF(AM32="Sand",Input!$AA$35,0.5)</f>
        <v/>
      </c>
      <c r="AZ32" s="68">
        <f>Input!$AA$15/2/AL32</f>
        <v/>
      </c>
      <c r="BA32" s="68">
        <f>Input!$AA$16/2/AL32</f>
        <v/>
      </c>
      <c r="BB32" s="68">
        <f>1/(4*PI())*(2*AZ32*BA32*SQRT(AZ32^2+BA32^2+1)/(AZ32^2+BA32^2+1+AZ32^2*BA32^2)*(AZ32^2+BA32^2+2)/(AZ32^2+BA32^2+1)+ATAN2(AZ32^2+BA32^2+1-AZ32^2*BA32^2,2*AZ32*BA32*SQRT(AZ32^2+BA32^2+1)))</f>
        <v/>
      </c>
      <c r="BC32" s="68">
        <f>4*Input!$AA$14*BB32</f>
        <v/>
      </c>
      <c r="BD32" s="68">
        <f>((Input!$AA$16/Input!$AA$15)*LN((1+SQRT((Input!$AA$16/Input!$AA$15)^2+1))*SQRT((Input!$AA$16/Input!$AA$15)^2+(AJ32/(Input!$AA$15/2))^2)/((Input!$AA$16/Input!$AA$15)*(1+SQRT((Input!$AA$16/Input!$AA$15)^2+(AJ32/(Input!$AA$15/2))^2+1))))+LN(((Input!$AA$16/Input!$AA$15)+SQRT((Input!$AA$16/Input!$AA$15)^2+1))*SQRT(1+(AJ32/(Input!$AA$15/2))^2)/((Input!$AA$16/Input!$AA$15)+SQRT((Input!$AA$16/Input!$AA$15)^2+(AJ32/(Input!$AA$15/2))^2+1))))/PI()</f>
        <v/>
      </c>
      <c r="BE32" s="68">
        <f>(AJ32/(Input!$AA$15/2))/(2*PI())*ATAN((Input!$AA$16/Input!$AA$15)/((AJ32/(Input!$AA$15/2))*SQRT((Input!$AA$16/Input!$AA$15)^2+(AJ32/(Input!$AA$15/2))^2+1)))</f>
        <v/>
      </c>
      <c r="BF32" s="68">
        <f>MAX(0,AJ32-MAX(AI32,$AA$22))/AK32*IF(BC32&gt;=Input!$AA$21*AQ32,1,0)</f>
        <v/>
      </c>
      <c r="BG32" s="68">
        <f>4*Input!$AA$14*(Input!$AA$15/2)*(1-AY32^2)/AX32*((BD32-BD31)+(1-2*AY32)/(1-AY32)*(BE32-BE31))*1000*BF32</f>
        <v/>
      </c>
      <c r="BH32" s="68">
        <f>IF(AM32="Sand",0,0.009*(AR32-10))</f>
        <v/>
      </c>
      <c r="BI32" s="68">
        <f>BH32*Input!$AA$36</f>
        <v/>
      </c>
      <c r="BJ32" s="68">
        <f>IF(AM32="Sand",0,MAX(AV32/Input!$AA$37,AQ32))</f>
        <v/>
      </c>
      <c r="BK32" s="68">
        <f>IF(AM32="Sand",0,1000*AK32/(1+AU32)*IF(AQ32+BC32&lt;=BJ32,BI32*LOG10((AQ32+BC32)/AQ32),BI32*LOG10(BJ32/AQ32)+BH32*LOG10((AQ32+BC32)/BJ32)))*BF32</f>
        <v/>
      </c>
      <c r="BL32" s="68">
        <f>IF(AM32="Sand",0,10^(INDEX(Input!$Q$48:$Q$54,MIN(MATCH(MIN(MAX(AR32,30),120),Input!$C$48:$C$54,1),6))+(MIN(MAX(AR32,30),120)-INDEX(Input!$C$48:$C$54,MIN(MATCH(MIN(MAX(AR32,30),120),Input!$C$48:$C$54,1),6)))/(INDEX(Input!$C$48:$C$54,MIN(MATCH(MIN(MAX(AR32,30),120),Input!$C$48:$C$54,1),6)+1)-INDEX(Input!$C$48:$C$54,MIN(MATCH(MIN(MAX(AR32,30),120),Input!$C$48:$C$54,1),6)))*(INDEX(Input!$Q$48:$Q$54,MIN(MATCH(MIN(MAX(AR32,30),120),Input!$C$48:$C$54,1),6)+1)-INDEX(Input!$Q$48:$Q$54,MIN(MATCH(MIN(MAX(AR32,30),120),Input!$C$48:$C$54,1),6)))))</f>
        <v/>
      </c>
      <c r="BM32" s="68">
        <f>IF(OR(AM32="Sand",BF32=0),0,Input!$AA$38*(AK32/2)^2/(BL32*1E-4*31536000))</f>
        <v/>
      </c>
      <c r="BN32" s="68">
        <f>MAX(0,MIN(AJ32,Input!$AA$20)-AI32)</f>
        <v/>
      </c>
      <c r="BO32" s="68">
        <f>MAX(0,MIN(AJ32,Input!$AA$20)-MAX(AI32,$AA$22))</f>
        <v/>
      </c>
      <c r="BP32" s="68">
        <f>MAX(0,MIN(AJ32,$AA$225)-AI32)</f>
        <v/>
      </c>
      <c r="BQ32" s="68" t="inlineStr"/>
    </row>
    <row r="33">
      <c r="B33" s="9" t="n"/>
      <c r="C33" s="57" t="n">
        <v>6</v>
      </c>
      <c r="D33" s="41" t="n"/>
      <c r="E33" s="55">
        <f>AI33</f>
        <v/>
      </c>
      <c r="F33" s="41" t="n"/>
      <c r="G33" s="41" t="n"/>
      <c r="H33" s="55">
        <f>AJ33</f>
        <v/>
      </c>
      <c r="I33" s="41" t="n"/>
      <c r="J33" s="41" t="n"/>
      <c r="K33" s="52">
        <f>AM33</f>
        <v/>
      </c>
      <c r="L33" s="41" t="n"/>
      <c r="M33" s="41" t="n"/>
      <c r="N33" s="57">
        <f>AN33</f>
        <v/>
      </c>
      <c r="O33" s="41" t="n"/>
      <c r="P33" s="41" t="n"/>
      <c r="Q33" s="53">
        <f>AO33</f>
        <v/>
      </c>
      <c r="R33" s="41" t="n"/>
      <c r="S33" s="41" t="n"/>
      <c r="T33" s="57">
        <f>IF(AR33="","-",AR33)</f>
        <v/>
      </c>
      <c r="U33" s="41" t="n"/>
      <c r="V33" s="57">
        <f>IF(AT33="","-",AT33)</f>
        <v/>
      </c>
      <c r="W33" s="41" t="n"/>
      <c r="X33" s="55">
        <f>AU33</f>
        <v/>
      </c>
      <c r="Y33" s="41" t="n"/>
      <c r="Z33" s="66">
        <f>AV33</f>
        <v/>
      </c>
      <c r="AA33" s="41" t="n"/>
      <c r="AB33" s="41" t="n"/>
      <c r="AC33" s="53">
        <f>AW33</f>
        <v/>
      </c>
      <c r="AD33" s="41" t="n"/>
      <c r="AE33" s="41" t="n"/>
      <c r="AF33" s="15" t="n"/>
      <c r="AI33" s="67" t="n">
        <v>7.5</v>
      </c>
      <c r="AJ33" s="67" t="n">
        <v>9</v>
      </c>
      <c r="AK33" s="68">
        <f>AJ33-AI33</f>
        <v/>
      </c>
      <c r="AL33" s="68">
        <f>(AI33+AJ33)/2</f>
        <v/>
      </c>
      <c r="AM33" s="67" t="inlineStr">
        <is>
          <t>Sand</t>
        </is>
      </c>
      <c r="AN33" s="67" t="n">
        <v>28</v>
      </c>
      <c r="AO33" s="68">
        <f>IF(AL33&gt;$AA$19,$AA$21,$AA$20)</f>
        <v/>
      </c>
      <c r="AP33" s="68">
        <f>AP32+AO33*AK33</f>
        <v/>
      </c>
      <c r="AQ33" s="68">
        <f>AP33-AO33*AK33/2-10*MAX(AL33-$AA$19,0)</f>
        <v/>
      </c>
      <c r="AR33" s="67" t="n"/>
      <c r="AS33" s="67" t="n"/>
      <c r="AT33" s="68">
        <f>IF(AR33="","",AR33-AS33)</f>
        <v/>
      </c>
      <c r="AU33" s="67" t="n">
        <v>0.715</v>
      </c>
      <c r="AV33" s="68">
        <f>IF(AM33="Sand",0,Input!$AA$31*AN33)</f>
        <v/>
      </c>
      <c r="AW33" s="68">
        <f>IF(AM33="Sand",27.1+0.3*MIN(Input!$AA$32*AN33,60)-0.00054*MIN(Input!$AA$32*AN33,60)^2,MIN(MAX(DEGREES(ASIN(0.8-0.094*LN(MAX(IF(AT33="",10,AT33),5)))),20),30))</f>
        <v/>
      </c>
      <c r="AX33" s="68">
        <f>IF(AM33="Sand",Input!$AA$33*Input!$AA$32*AN33,Input!$AA$34*AV33)</f>
        <v/>
      </c>
      <c r="AY33" s="68">
        <f>IF(AM33="Sand",Input!$AA$35,0.5)</f>
        <v/>
      </c>
      <c r="AZ33" s="68">
        <f>Input!$AA$15/2/AL33</f>
        <v/>
      </c>
      <c r="BA33" s="68">
        <f>Input!$AA$16/2/AL33</f>
        <v/>
      </c>
      <c r="BB33" s="68">
        <f>1/(4*PI())*(2*AZ33*BA33*SQRT(AZ33^2+BA33^2+1)/(AZ33^2+BA33^2+1+AZ33^2*BA33^2)*(AZ33^2+BA33^2+2)/(AZ33^2+BA33^2+1)+ATAN2(AZ33^2+BA33^2+1-AZ33^2*BA33^2,2*AZ33*BA33*SQRT(AZ33^2+BA33^2+1)))</f>
        <v/>
      </c>
      <c r="BC33" s="68">
        <f>4*Input!$AA$14*BB33</f>
        <v/>
      </c>
      <c r="BD33" s="68">
        <f>((Input!$AA$16/Input!$AA$15)*LN((1+SQRT((Input!$AA$16/Input!$AA$15)^2+1))*SQRT((Input!$AA$16/Input!$AA$15)^2+(AJ33/(Input!$AA$15/2))^2)/((Input!$AA$16/Input!$AA$15)*(1+SQRT((Input!$AA$16/Input!$AA$15)^2+(AJ33/(Input!$AA$15/2))^2+1))))+LN(((Input!$AA$16/Input!$AA$15)+SQRT((Input!$AA$16/Input!$AA$15)^2+1))*SQRT(1+(AJ33/(Input!$AA$15/2))^2)/((Input!$AA$16/Input!$AA$15)+SQRT((Input!$AA$16/Input!$AA$15)^2+(AJ33/(Input!$AA$15/2))^2+1))))/PI()</f>
        <v/>
      </c>
      <c r="BE33" s="68">
        <f>(AJ33/(Input!$AA$15/2))/(2*PI())*ATAN((Input!$AA$16/Input!$AA$15)/((AJ33/(Input!$AA$15/2))*SQRT((Input!$AA$16/Input!$AA$15)^2+(AJ33/(Input!$AA$15/2))^2+1)))</f>
        <v/>
      </c>
      <c r="BF33" s="68">
        <f>MAX(0,AJ33-MAX(AI33,$AA$22))/AK33*IF(BC33&gt;=Input!$AA$21*AQ33,1,0)</f>
        <v/>
      </c>
      <c r="BG33" s="68">
        <f>4*Input!$AA$14*(Input!$AA$15/2)*(1-AY33^2)/AX33*((BD33-BD32)+(1-2*AY33)/(1-AY33)*(BE33-BE32))*1000*BF33</f>
        <v/>
      </c>
      <c r="BH33" s="68">
        <f>IF(AM33="Sand",0,0.009*(AR33-10))</f>
        <v/>
      </c>
      <c r="BI33" s="68">
        <f>BH33*Input!$AA$36</f>
        <v/>
      </c>
      <c r="BJ33" s="68">
        <f>IF(AM33="Sand",0,MAX(AV33/Input!$AA$37,AQ33))</f>
        <v/>
      </c>
      <c r="BK33" s="68">
        <f>IF(AM33="Sand",0,1000*AK33/(1+AU33)*IF(AQ33+BC33&lt;=BJ33,BI33*LOG10((AQ33+BC33)/AQ33),BI33*LOG10(BJ33/AQ33)+BH33*LOG10((AQ33+BC33)/BJ33)))*BF33</f>
        <v/>
      </c>
      <c r="BL33" s="68">
        <f>IF(AM33="Sand",0,10^(INDEX(Input!$Q$48:$Q$54,MIN(MATCH(MIN(MAX(AR33,30),120),Input!$C$48:$C$54,1),6))+(MIN(MAX(AR33,30),120)-INDEX(Input!$C$48:$C$54,MIN(MATCH(MIN(MAX(AR33,30),120),Input!$C$48:$C$54,1),6)))/(INDEX(Input!$C$48:$C$54,MIN(MATCH(MIN(MAX(AR33,30),120),Input!$C$48:$C$54,1),6)+1)-INDEX(Input!$C$48:$C$54,MIN(MATCH(MIN(MAX(AR33,30),120),Input!$C$48:$C$54,1),6)))*(INDEX(Input!$Q$48:$Q$54,MIN(MATCH(MIN(MAX(AR33,30),120),Input!$C$48:$C$54,1),6)+1)-INDEX(Input!$Q$48:$Q$54,MIN(MATCH(MIN(MAX(AR33,30),120),Input!$C$48:$C$54,1),6)))))</f>
        <v/>
      </c>
      <c r="BM33" s="68">
        <f>IF(OR(AM33="Sand",BF33=0),0,Input!$AA$38*(AK33/2)^2/(BL33*1E-4*31536000))</f>
        <v/>
      </c>
      <c r="BN33" s="68">
        <f>MAX(0,MIN(AJ33,Input!$AA$20)-AI33)</f>
        <v/>
      </c>
      <c r="BO33" s="68">
        <f>MAX(0,MIN(AJ33,Input!$AA$20)-MAX(AI33,$AA$22))</f>
        <v/>
      </c>
      <c r="BP33" s="68">
        <f>MAX(0,MIN(AJ33,$AA$225)-AI33)</f>
        <v/>
      </c>
      <c r="BQ33" s="68" t="inlineStr"/>
    </row>
    <row r="34">
      <c r="B34" s="9" t="n"/>
      <c r="C34" s="57" t="n">
        <v>7</v>
      </c>
      <c r="D34" s="41" t="n"/>
      <c r="E34" s="55">
        <f>AI34</f>
        <v/>
      </c>
      <c r="F34" s="41" t="n"/>
      <c r="G34" s="41" t="n"/>
      <c r="H34" s="55">
        <f>AJ34</f>
        <v/>
      </c>
      <c r="I34" s="41" t="n"/>
      <c r="J34" s="41" t="n"/>
      <c r="K34" s="52">
        <f>AM34</f>
        <v/>
      </c>
      <c r="L34" s="41" t="n"/>
      <c r="M34" s="41" t="n"/>
      <c r="N34" s="57">
        <f>AN34</f>
        <v/>
      </c>
      <c r="O34" s="41" t="n"/>
      <c r="P34" s="41" t="n"/>
      <c r="Q34" s="53">
        <f>AO34</f>
        <v/>
      </c>
      <c r="R34" s="41" t="n"/>
      <c r="S34" s="41" t="n"/>
      <c r="T34" s="57">
        <f>IF(AR34="","-",AR34)</f>
        <v/>
      </c>
      <c r="U34" s="41" t="n"/>
      <c r="V34" s="57">
        <f>IF(AT34="","-",AT34)</f>
        <v/>
      </c>
      <c r="W34" s="41" t="n"/>
      <c r="X34" s="55">
        <f>AU34</f>
        <v/>
      </c>
      <c r="Y34" s="41" t="n"/>
      <c r="Z34" s="66">
        <f>AV34</f>
        <v/>
      </c>
      <c r="AA34" s="41" t="n"/>
      <c r="AB34" s="41" t="n"/>
      <c r="AC34" s="53">
        <f>AW34</f>
        <v/>
      </c>
      <c r="AD34" s="41" t="n"/>
      <c r="AE34" s="41" t="n"/>
      <c r="AF34" s="15" t="n"/>
      <c r="AI34" s="67" t="n">
        <v>9</v>
      </c>
      <c r="AJ34" s="67" t="n">
        <v>10.5</v>
      </c>
      <c r="AK34" s="68">
        <f>AJ34-AI34</f>
        <v/>
      </c>
      <c r="AL34" s="68">
        <f>(AI34+AJ34)/2</f>
        <v/>
      </c>
      <c r="AM34" s="67" t="inlineStr">
        <is>
          <t>Silt</t>
        </is>
      </c>
      <c r="AN34" s="67" t="n">
        <v>35</v>
      </c>
      <c r="AO34" s="68">
        <f>IF(AL34&gt;$AA$19,$AA$21,$AA$20)</f>
        <v/>
      </c>
      <c r="AP34" s="68">
        <f>AP33+AO34*AK34</f>
        <v/>
      </c>
      <c r="AQ34" s="68">
        <f>AP34-AO34*AK34/2-10*MAX(AL34-$AA$19,0)</f>
        <v/>
      </c>
      <c r="AR34" s="67" t="n">
        <v>25.866</v>
      </c>
      <c r="AS34" s="67" t="n">
        <v>19.5</v>
      </c>
      <c r="AT34" s="68">
        <f>IF(AR34="","",AR34-AS34)</f>
        <v/>
      </c>
      <c r="AU34" s="67" t="n">
        <v>0.779</v>
      </c>
      <c r="AV34" s="68">
        <f>IF(AM34="Sand",0,Input!$AA$31*AN34)</f>
        <v/>
      </c>
      <c r="AW34" s="68">
        <f>IF(AM34="Sand",27.1+0.3*MIN(Input!$AA$32*AN34,60)-0.00054*MIN(Input!$AA$32*AN34,60)^2,MIN(MAX(DEGREES(ASIN(0.8-0.094*LN(MAX(IF(AT34="",10,AT34),5)))),20),30))</f>
        <v/>
      </c>
      <c r="AX34" s="68">
        <f>IF(AM34="Sand",Input!$AA$33*Input!$AA$32*AN34,Input!$AA$34*AV34)</f>
        <v/>
      </c>
      <c r="AY34" s="68">
        <f>IF(AM34="Sand",Input!$AA$35,0.5)</f>
        <v/>
      </c>
      <c r="AZ34" s="68">
        <f>Input!$AA$15/2/AL34</f>
        <v/>
      </c>
      <c r="BA34" s="68">
        <f>Input!$AA$16/2/AL34</f>
        <v/>
      </c>
      <c r="BB34" s="68">
        <f>1/(4*PI())*(2*AZ34*BA34*SQRT(AZ34^2+BA34^2+1)/(AZ34^2+BA34^2+1+AZ34^2*BA34^2)*(AZ34^2+BA34^2+2)/(AZ34^2+BA34^2+1)+ATAN2(AZ34^2+BA34^2+1-AZ34^2*BA34^2,2*AZ34*BA34*SQRT(AZ34^2+BA34^2+1)))</f>
        <v/>
      </c>
      <c r="BC34" s="68">
        <f>4*Input!$AA$14*BB34</f>
        <v/>
      </c>
      <c r="BD34" s="68">
        <f>((Input!$AA$16/Input!$AA$15)*LN((1+SQRT((Input!$AA$16/Input!$AA$15)^2+1))*SQRT((Input!$AA$16/Input!$AA$15)^2+(AJ34/(Input!$AA$15/2))^2)/((Input!$AA$16/Input!$AA$15)*(1+SQRT((Input!$AA$16/Input!$AA$15)^2+(AJ34/(Input!$AA$15/2))^2+1))))+LN(((Input!$AA$16/Input!$AA$15)+SQRT((Input!$AA$16/Input!$AA$15)^2+1))*SQRT(1+(AJ34/(Input!$AA$15/2))^2)/((Input!$AA$16/Input!$AA$15)+SQRT((Input!$AA$16/Input!$AA$15)^2+(AJ34/(Input!$AA$15/2))^2+1))))/PI()</f>
        <v/>
      </c>
      <c r="BE34" s="68">
        <f>(AJ34/(Input!$AA$15/2))/(2*PI())*ATAN((Input!$AA$16/Input!$AA$15)/((AJ34/(Input!$AA$15/2))*SQRT((Input!$AA$16/Input!$AA$15)^2+(AJ34/(Input!$AA$15/2))^2+1)))</f>
        <v/>
      </c>
      <c r="BF34" s="68">
        <f>MAX(0,AJ34-MAX(AI34,$AA$22))/AK34*IF(BC34&gt;=Input!$AA$21*AQ34,1,0)</f>
        <v/>
      </c>
      <c r="BG34" s="68">
        <f>4*Input!$AA$14*(Input!$AA$15/2)*(1-AY34^2)/AX34*((BD34-BD33)+(1-2*AY34)/(1-AY34)*(BE34-BE33))*1000*BF34</f>
        <v/>
      </c>
      <c r="BH34" s="68">
        <f>IF(AM34="Sand",0,0.009*(AR34-10))</f>
        <v/>
      </c>
      <c r="BI34" s="68">
        <f>BH34*Input!$AA$36</f>
        <v/>
      </c>
      <c r="BJ34" s="68">
        <f>IF(AM34="Sand",0,MAX(AV34/Input!$AA$37,AQ34))</f>
        <v/>
      </c>
      <c r="BK34" s="68">
        <f>IF(AM34="Sand",0,1000*AK34/(1+AU34)*IF(AQ34+BC34&lt;=BJ34,BI34*LOG10((AQ34+BC34)/AQ34),BI34*LOG10(BJ34/AQ34)+BH34*LOG10((AQ34+BC34)/BJ34)))*BF34</f>
        <v/>
      </c>
      <c r="BL34" s="68">
        <f>IF(AM34="Sand",0,10^(INDEX(Input!$Q$48:$Q$54,MIN(MATCH(MIN(MAX(AR34,30),120),Input!$C$48:$C$54,1),6))+(MIN(MAX(AR34,30),120)-INDEX(Input!$C$48:$C$54,MIN(MATCH(MIN(MAX(AR34,30),120),Input!$C$48:$C$54,1),6)))/(INDEX(Input!$C$48:$C$54,MIN(MATCH(MIN(MAX(AR34,30),120),Input!$C$48:$C$54,1),6)+1)-INDEX(Input!$C$48:$C$54,MIN(MATCH(MIN(MAX(AR34,30),120),Input!$C$48:$C$54,1),6)))*(INDEX(Input!$Q$48:$Q$54,MIN(MATCH(MIN(MAX(AR34,30),120),Input!$C$48:$C$54,1),6)+1)-INDEX(Input!$Q$48:$Q$54,MIN(MATCH(MIN(MAX(AR34,30),120),Input!$C$48:$C$54,1),6)))))</f>
        <v/>
      </c>
      <c r="BM34" s="68">
        <f>IF(OR(AM34="Sand",BF34=0),0,Input!$AA$38*(AK34/2)^2/(BL34*1E-4*31536000))</f>
        <v/>
      </c>
      <c r="BN34" s="68">
        <f>MAX(0,MIN(AJ34,Input!$AA$20)-AI34)</f>
        <v/>
      </c>
      <c r="BO34" s="68">
        <f>MAX(0,MIN(AJ34,Input!$AA$20)-MAX(AI34,$AA$22))</f>
        <v/>
      </c>
      <c r="BP34" s="68">
        <f>MAX(0,MIN(AJ34,$AA$225)-AI34)</f>
        <v/>
      </c>
      <c r="BQ34" s="68" t="inlineStr"/>
    </row>
    <row r="35">
      <c r="B35" s="9" t="n"/>
      <c r="C35" s="57" t="n">
        <v>8</v>
      </c>
      <c r="D35" s="41" t="n"/>
      <c r="E35" s="55">
        <f>AI35</f>
        <v/>
      </c>
      <c r="F35" s="41" t="n"/>
      <c r="G35" s="41" t="n"/>
      <c r="H35" s="55">
        <f>AJ35</f>
        <v/>
      </c>
      <c r="I35" s="41" t="n"/>
      <c r="J35" s="41" t="n"/>
      <c r="K35" s="52">
        <f>AM35</f>
        <v/>
      </c>
      <c r="L35" s="41" t="n"/>
      <c r="M35" s="41" t="n"/>
      <c r="N35" s="57">
        <f>AN35</f>
        <v/>
      </c>
      <c r="O35" s="41" t="n"/>
      <c r="P35" s="41" t="n"/>
      <c r="Q35" s="53">
        <f>AO35</f>
        <v/>
      </c>
      <c r="R35" s="41" t="n"/>
      <c r="S35" s="41" t="n"/>
      <c r="T35" s="57">
        <f>IF(AR35="","-",AR35)</f>
        <v/>
      </c>
      <c r="U35" s="41" t="n"/>
      <c r="V35" s="57">
        <f>IF(AT35="","-",AT35)</f>
        <v/>
      </c>
      <c r="W35" s="41" t="n"/>
      <c r="X35" s="55">
        <f>AU35</f>
        <v/>
      </c>
      <c r="Y35" s="41" t="n"/>
      <c r="Z35" s="66">
        <f>AV35</f>
        <v/>
      </c>
      <c r="AA35" s="41" t="n"/>
      <c r="AB35" s="41" t="n"/>
      <c r="AC35" s="53">
        <f>AW35</f>
        <v/>
      </c>
      <c r="AD35" s="41" t="n"/>
      <c r="AE35" s="41" t="n"/>
      <c r="AF35" s="15" t="n"/>
      <c r="AI35" s="67" t="n">
        <v>10.5</v>
      </c>
      <c r="AJ35" s="67" t="n">
        <v>12</v>
      </c>
      <c r="AK35" s="68">
        <f>AJ35-AI35</f>
        <v/>
      </c>
      <c r="AL35" s="68">
        <f>(AI35+AJ35)/2</f>
        <v/>
      </c>
      <c r="AM35" s="67" t="inlineStr">
        <is>
          <t>Sand</t>
        </is>
      </c>
      <c r="AN35" s="67" t="n">
        <v>40</v>
      </c>
      <c r="AO35" s="68">
        <f>IF(AL35&gt;$AA$19,$AA$21,$AA$20)</f>
        <v/>
      </c>
      <c r="AP35" s="68">
        <f>AP34+AO35*AK35</f>
        <v/>
      </c>
      <c r="AQ35" s="68">
        <f>AP35-AO35*AK35/2-10*MAX(AL35-$AA$19,0)</f>
        <v/>
      </c>
      <c r="AR35" s="67" t="n"/>
      <c r="AS35" s="67" t="n"/>
      <c r="AT35" s="68">
        <f>IF(AR35="","",AR35-AS35)</f>
        <v/>
      </c>
      <c r="AU35" s="67" t="n">
        <v>0.441</v>
      </c>
      <c r="AV35" s="68">
        <f>IF(AM35="Sand",0,Input!$AA$31*AN35)</f>
        <v/>
      </c>
      <c r="AW35" s="68">
        <f>IF(AM35="Sand",27.1+0.3*MIN(Input!$AA$32*AN35,60)-0.00054*MIN(Input!$AA$32*AN35,60)^2,MIN(MAX(DEGREES(ASIN(0.8-0.094*LN(MAX(IF(AT35="",10,AT35),5)))),20),30))</f>
        <v/>
      </c>
      <c r="AX35" s="68">
        <f>IF(AM35="Sand",Input!$AA$33*Input!$AA$32*AN35,Input!$AA$34*AV35)</f>
        <v/>
      </c>
      <c r="AY35" s="68">
        <f>IF(AM35="Sand",Input!$AA$35,0.5)</f>
        <v/>
      </c>
      <c r="AZ35" s="68">
        <f>Input!$AA$15/2/AL35</f>
        <v/>
      </c>
      <c r="BA35" s="68">
        <f>Input!$AA$16/2/AL35</f>
        <v/>
      </c>
      <c r="BB35" s="68">
        <f>1/(4*PI())*(2*AZ35*BA35*SQRT(AZ35^2+BA35^2+1)/(AZ35^2+BA35^2+1+AZ35^2*BA35^2)*(AZ35^2+BA35^2+2)/(AZ35^2+BA35^2+1)+ATAN2(AZ35^2+BA35^2+1-AZ35^2*BA35^2,2*AZ35*BA35*SQRT(AZ35^2+BA35^2+1)))</f>
        <v/>
      </c>
      <c r="BC35" s="68">
        <f>4*Input!$AA$14*BB35</f>
        <v/>
      </c>
      <c r="BD35" s="68">
        <f>((Input!$AA$16/Input!$AA$15)*LN((1+SQRT((Input!$AA$16/Input!$AA$15)^2+1))*SQRT((Input!$AA$16/Input!$AA$15)^2+(AJ35/(Input!$AA$15/2))^2)/((Input!$AA$16/Input!$AA$15)*(1+SQRT((Input!$AA$16/Input!$AA$15)^2+(AJ35/(Input!$AA$15/2))^2+1))))+LN(((Input!$AA$16/Input!$AA$15)+SQRT((Input!$AA$16/Input!$AA$15)^2+1))*SQRT(1+(AJ35/(Input!$AA$15/2))^2)/((Input!$AA$16/Input!$AA$15)+SQRT((Input!$AA$16/Input!$AA$15)^2+(AJ35/(Input!$AA$15/2))^2+1))))/PI()</f>
        <v/>
      </c>
      <c r="BE35" s="68">
        <f>(AJ35/(Input!$AA$15/2))/(2*PI())*ATAN((Input!$AA$16/Input!$AA$15)/((AJ35/(Input!$AA$15/2))*SQRT((Input!$AA$16/Input!$AA$15)^2+(AJ35/(Input!$AA$15/2))^2+1)))</f>
        <v/>
      </c>
      <c r="BF35" s="68">
        <f>MAX(0,AJ35-MAX(AI35,$AA$22))/AK35*IF(BC35&gt;=Input!$AA$21*AQ35,1,0)</f>
        <v/>
      </c>
      <c r="BG35" s="68">
        <f>4*Input!$AA$14*(Input!$AA$15/2)*(1-AY35^2)/AX35*((BD35-BD34)+(1-2*AY35)/(1-AY35)*(BE35-BE34))*1000*BF35</f>
        <v/>
      </c>
      <c r="BH35" s="68">
        <f>IF(AM35="Sand",0,0.009*(AR35-10))</f>
        <v/>
      </c>
      <c r="BI35" s="68">
        <f>BH35*Input!$AA$36</f>
        <v/>
      </c>
      <c r="BJ35" s="68">
        <f>IF(AM35="Sand",0,MAX(AV35/Input!$AA$37,AQ35))</f>
        <v/>
      </c>
      <c r="BK35" s="68">
        <f>IF(AM35="Sand",0,1000*AK35/(1+AU35)*IF(AQ35+BC35&lt;=BJ35,BI35*LOG10((AQ35+BC35)/AQ35),BI35*LOG10(BJ35/AQ35)+BH35*LOG10((AQ35+BC35)/BJ35)))*BF35</f>
        <v/>
      </c>
      <c r="BL35" s="68">
        <f>IF(AM35="Sand",0,10^(INDEX(Input!$Q$48:$Q$54,MIN(MATCH(MIN(MAX(AR35,30),120),Input!$C$48:$C$54,1),6))+(MIN(MAX(AR35,30),120)-INDEX(Input!$C$48:$C$54,MIN(MATCH(MIN(MAX(AR35,30),120),Input!$C$48:$C$54,1),6)))/(INDEX(Input!$C$48:$C$54,MIN(MATCH(MIN(MAX(AR35,30),120),Input!$C$48:$C$54,1),6)+1)-INDEX(Input!$C$48:$C$54,MIN(MATCH(MIN(MAX(AR35,30),120),Input!$C$48:$C$54,1),6)))*(INDEX(Input!$Q$48:$Q$54,MIN(MATCH(MIN(MAX(AR35,30),120),Input!$C$48:$C$54,1),6)+1)-INDEX(Input!$Q$48:$Q$54,MIN(MATCH(MIN(MAX(AR35,30),120),Input!$C$48:$C$54,1),6)))))</f>
        <v/>
      </c>
      <c r="BM35" s="68">
        <f>IF(OR(AM35="Sand",BF35=0),0,Input!$AA$38*(AK35/2)^2/(BL35*1E-4*31536000))</f>
        <v/>
      </c>
      <c r="BN35" s="68">
        <f>MAX(0,MIN(AJ35,Input!$AA$20)-AI35)</f>
        <v/>
      </c>
      <c r="BO35" s="68">
        <f>MAX(0,MIN(AJ35,Input!$AA$20)-MAX(AI35,$AA$22))</f>
        <v/>
      </c>
      <c r="BP35" s="68">
        <f>MAX(0,MIN(AJ35,$AA$225)-AI35)</f>
        <v/>
      </c>
      <c r="BQ35" s="68" t="inlineStr"/>
    </row>
    <row r="36">
      <c r="B36" s="9" t="n"/>
      <c r="C36" s="57" t="n">
        <v>9</v>
      </c>
      <c r="D36" s="41" t="n"/>
      <c r="E36" s="55">
        <f>AI36</f>
        <v/>
      </c>
      <c r="F36" s="41" t="n"/>
      <c r="G36" s="41" t="n"/>
      <c r="H36" s="55">
        <f>AJ36</f>
        <v/>
      </c>
      <c r="I36" s="41" t="n"/>
      <c r="J36" s="41" t="n"/>
      <c r="K36" s="52">
        <f>AM36</f>
        <v/>
      </c>
      <c r="L36" s="41" t="n"/>
      <c r="M36" s="41" t="n"/>
      <c r="N36" s="57">
        <f>AN36</f>
        <v/>
      </c>
      <c r="O36" s="41" t="n"/>
      <c r="P36" s="41" t="n"/>
      <c r="Q36" s="53">
        <f>AO36</f>
        <v/>
      </c>
      <c r="R36" s="41" t="n"/>
      <c r="S36" s="41" t="n"/>
      <c r="T36" s="57">
        <f>IF(AR36="","-",AR36)</f>
        <v/>
      </c>
      <c r="U36" s="41" t="n"/>
      <c r="V36" s="57">
        <f>IF(AT36="","-",AT36)</f>
        <v/>
      </c>
      <c r="W36" s="41" t="n"/>
      <c r="X36" s="55">
        <f>AU36</f>
        <v/>
      </c>
      <c r="Y36" s="41" t="n"/>
      <c r="Z36" s="66">
        <f>AV36</f>
        <v/>
      </c>
      <c r="AA36" s="41" t="n"/>
      <c r="AB36" s="41" t="n"/>
      <c r="AC36" s="53">
        <f>AW36</f>
        <v/>
      </c>
      <c r="AD36" s="41" t="n"/>
      <c r="AE36" s="41" t="n"/>
      <c r="AF36" s="15" t="n"/>
      <c r="AI36" s="67" t="n">
        <v>12</v>
      </c>
      <c r="AJ36" s="67" t="n">
        <v>13.5</v>
      </c>
      <c r="AK36" s="68">
        <f>AJ36-AI36</f>
        <v/>
      </c>
      <c r="AL36" s="68">
        <f>(AI36+AJ36)/2</f>
        <v/>
      </c>
      <c r="AM36" s="67" t="inlineStr">
        <is>
          <t>Sand</t>
        </is>
      </c>
      <c r="AN36" s="67" t="n">
        <v>42</v>
      </c>
      <c r="AO36" s="68">
        <f>IF(AL36&gt;$AA$19,$AA$21,$AA$20)</f>
        <v/>
      </c>
      <c r="AP36" s="68">
        <f>AP35+AO36*AK36</f>
        <v/>
      </c>
      <c r="AQ36" s="68">
        <f>AP36-AO36*AK36/2-10*MAX(AL36-$AA$19,0)</f>
        <v/>
      </c>
      <c r="AR36" s="67" t="n"/>
      <c r="AS36" s="67" t="n"/>
      <c r="AT36" s="68">
        <f>IF(AR36="","",AR36-AS36)</f>
        <v/>
      </c>
      <c r="AU36" s="67" t="n">
        <v>0.71</v>
      </c>
      <c r="AV36" s="68">
        <f>IF(AM36="Sand",0,Input!$AA$31*AN36)</f>
        <v/>
      </c>
      <c r="AW36" s="68">
        <f>IF(AM36="Sand",27.1+0.3*MIN(Input!$AA$32*AN36,60)-0.00054*MIN(Input!$AA$32*AN36,60)^2,MIN(MAX(DEGREES(ASIN(0.8-0.094*LN(MAX(IF(AT36="",10,AT36),5)))),20),30))</f>
        <v/>
      </c>
      <c r="AX36" s="68">
        <f>IF(AM36="Sand",Input!$AA$33*Input!$AA$32*AN36,Input!$AA$34*AV36)</f>
        <v/>
      </c>
      <c r="AY36" s="68">
        <f>IF(AM36="Sand",Input!$AA$35,0.5)</f>
        <v/>
      </c>
      <c r="AZ36" s="68">
        <f>Input!$AA$15/2/AL36</f>
        <v/>
      </c>
      <c r="BA36" s="68">
        <f>Input!$AA$16/2/AL36</f>
        <v/>
      </c>
      <c r="BB36" s="68">
        <f>1/(4*PI())*(2*AZ36*BA36*SQRT(AZ36^2+BA36^2+1)/(AZ36^2+BA36^2+1+AZ36^2*BA36^2)*(AZ36^2+BA36^2+2)/(AZ36^2+BA36^2+1)+ATAN2(AZ36^2+BA36^2+1-AZ36^2*BA36^2,2*AZ36*BA36*SQRT(AZ36^2+BA36^2+1)))</f>
        <v/>
      </c>
      <c r="BC36" s="68">
        <f>4*Input!$AA$14*BB36</f>
        <v/>
      </c>
      <c r="BD36" s="68">
        <f>((Input!$AA$16/Input!$AA$15)*LN((1+SQRT((Input!$AA$16/Input!$AA$15)^2+1))*SQRT((Input!$AA$16/Input!$AA$15)^2+(AJ36/(Input!$AA$15/2))^2)/((Input!$AA$16/Input!$AA$15)*(1+SQRT((Input!$AA$16/Input!$AA$15)^2+(AJ36/(Input!$AA$15/2))^2+1))))+LN(((Input!$AA$16/Input!$AA$15)+SQRT((Input!$AA$16/Input!$AA$15)^2+1))*SQRT(1+(AJ36/(Input!$AA$15/2))^2)/((Input!$AA$16/Input!$AA$15)+SQRT((Input!$AA$16/Input!$AA$15)^2+(AJ36/(Input!$AA$15/2))^2+1))))/PI()</f>
        <v/>
      </c>
      <c r="BE36" s="68">
        <f>(AJ36/(Input!$AA$15/2))/(2*PI())*ATAN((Input!$AA$16/Input!$AA$15)/((AJ36/(Input!$AA$15/2))*SQRT((Input!$AA$16/Input!$AA$15)^2+(AJ36/(Input!$AA$15/2))^2+1)))</f>
        <v/>
      </c>
      <c r="BF36" s="68">
        <f>MAX(0,AJ36-MAX(AI36,$AA$22))/AK36*IF(BC36&gt;=Input!$AA$21*AQ36,1,0)</f>
        <v/>
      </c>
      <c r="BG36" s="68">
        <f>4*Input!$AA$14*(Input!$AA$15/2)*(1-AY36^2)/AX36*((BD36-BD35)+(1-2*AY36)/(1-AY36)*(BE36-BE35))*1000*BF36</f>
        <v/>
      </c>
      <c r="BH36" s="68">
        <f>IF(AM36="Sand",0,0.009*(AR36-10))</f>
        <v/>
      </c>
      <c r="BI36" s="68">
        <f>BH36*Input!$AA$36</f>
        <v/>
      </c>
      <c r="BJ36" s="68">
        <f>IF(AM36="Sand",0,MAX(AV36/Input!$AA$37,AQ36))</f>
        <v/>
      </c>
      <c r="BK36" s="68">
        <f>IF(AM36="Sand",0,1000*AK36/(1+AU36)*IF(AQ36+BC36&lt;=BJ36,BI36*LOG10((AQ36+BC36)/AQ36),BI36*LOG10(BJ36/AQ36)+BH36*LOG10((AQ36+BC36)/BJ36)))*BF36</f>
        <v/>
      </c>
      <c r="BL36" s="68">
        <f>IF(AM36="Sand",0,10^(INDEX(Input!$Q$48:$Q$54,MIN(MATCH(MIN(MAX(AR36,30),120),Input!$C$48:$C$54,1),6))+(MIN(MAX(AR36,30),120)-INDEX(Input!$C$48:$C$54,MIN(MATCH(MIN(MAX(AR36,30),120),Input!$C$48:$C$54,1),6)))/(INDEX(Input!$C$48:$C$54,MIN(MATCH(MIN(MAX(AR36,30),120),Input!$C$48:$C$54,1),6)+1)-INDEX(Input!$C$48:$C$54,MIN(MATCH(MIN(MAX(AR36,30),120),Input!$C$48:$C$54,1),6)))*(INDEX(Input!$Q$48:$Q$54,MIN(MATCH(MIN(MAX(AR36,30),120),Input!$C$48:$C$54,1),6)+1)-INDEX(Input!$Q$48:$Q$54,MIN(MATCH(MIN(MAX(AR36,30),120),Input!$C$48:$C$54,1),6)))))</f>
        <v/>
      </c>
      <c r="BM36" s="68">
        <f>IF(OR(AM36="Sand",BF36=0),0,Input!$AA$38*(AK36/2)^2/(BL36*1E-4*31536000))</f>
        <v/>
      </c>
      <c r="BN36" s="68">
        <f>MAX(0,MIN(AJ36,Input!$AA$20)-AI36)</f>
        <v/>
      </c>
      <c r="BO36" s="68">
        <f>MAX(0,MIN(AJ36,Input!$AA$20)-MAX(AI36,$AA$22))</f>
        <v/>
      </c>
      <c r="BP36" s="68">
        <f>MAX(0,MIN(AJ36,$AA$225)-AI36)</f>
        <v/>
      </c>
      <c r="BQ36" s="68" t="inlineStr"/>
    </row>
    <row r="37">
      <c r="B37" s="9" t="n"/>
      <c r="C37" s="57" t="n">
        <v>10</v>
      </c>
      <c r="D37" s="41" t="n"/>
      <c r="E37" s="55">
        <f>AI37</f>
        <v/>
      </c>
      <c r="F37" s="41" t="n"/>
      <c r="G37" s="41" t="n"/>
      <c r="H37" s="55">
        <f>AJ37</f>
        <v/>
      </c>
      <c r="I37" s="41" t="n"/>
      <c r="J37" s="41" t="n"/>
      <c r="K37" s="52">
        <f>AM37</f>
        <v/>
      </c>
      <c r="L37" s="41" t="n"/>
      <c r="M37" s="41" t="n"/>
      <c r="N37" s="57">
        <f>AN37</f>
        <v/>
      </c>
      <c r="O37" s="41" t="n"/>
      <c r="P37" s="41" t="n"/>
      <c r="Q37" s="53">
        <f>AO37</f>
        <v/>
      </c>
      <c r="R37" s="41" t="n"/>
      <c r="S37" s="41" t="n"/>
      <c r="T37" s="57">
        <f>IF(AR37="","-",AR37)</f>
        <v/>
      </c>
      <c r="U37" s="41" t="n"/>
      <c r="V37" s="57">
        <f>IF(AT37="","-",AT37)</f>
        <v/>
      </c>
      <c r="W37" s="41" t="n"/>
      <c r="X37" s="55">
        <f>AU37</f>
        <v/>
      </c>
      <c r="Y37" s="41" t="n"/>
      <c r="Z37" s="66">
        <f>AV37</f>
        <v/>
      </c>
      <c r="AA37" s="41" t="n"/>
      <c r="AB37" s="41" t="n"/>
      <c r="AC37" s="53">
        <f>AW37</f>
        <v/>
      </c>
      <c r="AD37" s="41" t="n"/>
      <c r="AE37" s="41" t="n"/>
      <c r="AF37" s="15" t="n"/>
      <c r="AI37" s="67" t="n">
        <v>13.5</v>
      </c>
      <c r="AJ37" s="67" t="n">
        <v>15</v>
      </c>
      <c r="AK37" s="68">
        <f>AJ37-AI37</f>
        <v/>
      </c>
      <c r="AL37" s="68">
        <f>(AI37+AJ37)/2</f>
        <v/>
      </c>
      <c r="AM37" s="67" t="inlineStr">
        <is>
          <t>Sand</t>
        </is>
      </c>
      <c r="AN37" s="67" t="n">
        <v>42</v>
      </c>
      <c r="AO37" s="68">
        <f>IF(AL37&gt;$AA$19,$AA$21,$AA$20)</f>
        <v/>
      </c>
      <c r="AP37" s="68">
        <f>AP36+AO37*AK37</f>
        <v/>
      </c>
      <c r="AQ37" s="68">
        <f>AP37-AO37*AK37/2-10*MAX(AL37-$AA$19,0)</f>
        <v/>
      </c>
      <c r="AR37" s="67" t="n"/>
      <c r="AS37" s="67" t="n"/>
      <c r="AT37" s="68">
        <f>IF(AR37="","",AR37-AS37)</f>
        <v/>
      </c>
      <c r="AU37" s="67" t="n">
        <v>0.546</v>
      </c>
      <c r="AV37" s="68">
        <f>IF(AM37="Sand",0,Input!$AA$31*AN37)</f>
        <v/>
      </c>
      <c r="AW37" s="68">
        <f>IF(AM37="Sand",27.1+0.3*MIN(Input!$AA$32*AN37,60)-0.00054*MIN(Input!$AA$32*AN37,60)^2,MIN(MAX(DEGREES(ASIN(0.8-0.094*LN(MAX(IF(AT37="",10,AT37),5)))),20),30))</f>
        <v/>
      </c>
      <c r="AX37" s="68">
        <f>IF(AM37="Sand",Input!$AA$33*Input!$AA$32*AN37,Input!$AA$34*AV37)</f>
        <v/>
      </c>
      <c r="AY37" s="68">
        <f>IF(AM37="Sand",Input!$AA$35,0.5)</f>
        <v/>
      </c>
      <c r="AZ37" s="68">
        <f>Input!$AA$15/2/AL37</f>
        <v/>
      </c>
      <c r="BA37" s="68">
        <f>Input!$AA$16/2/AL37</f>
        <v/>
      </c>
      <c r="BB37" s="68">
        <f>1/(4*PI())*(2*AZ37*BA37*SQRT(AZ37^2+BA37^2+1)/(AZ37^2+BA37^2+1+AZ37^2*BA37^2)*(AZ37^2+BA37^2+2)/(AZ37^2+BA37^2+1)+ATAN2(AZ37^2+BA37^2+1-AZ37^2*BA37^2,2*AZ37*BA37*SQRT(AZ37^2+BA37^2+1)))</f>
        <v/>
      </c>
      <c r="BC37" s="68">
        <f>4*Input!$AA$14*BB37</f>
        <v/>
      </c>
      <c r="BD37" s="68">
        <f>((Input!$AA$16/Input!$AA$15)*LN((1+SQRT((Input!$AA$16/Input!$AA$15)^2+1))*SQRT((Input!$AA$16/Input!$AA$15)^2+(AJ37/(Input!$AA$15/2))^2)/((Input!$AA$16/Input!$AA$15)*(1+SQRT((Input!$AA$16/Input!$AA$15)^2+(AJ37/(Input!$AA$15/2))^2+1))))+LN(((Input!$AA$16/Input!$AA$15)+SQRT((Input!$AA$16/Input!$AA$15)^2+1))*SQRT(1+(AJ37/(Input!$AA$15/2))^2)/((Input!$AA$16/Input!$AA$15)+SQRT((Input!$AA$16/Input!$AA$15)^2+(AJ37/(Input!$AA$15/2))^2+1))))/PI()</f>
        <v/>
      </c>
      <c r="BE37" s="68">
        <f>(AJ37/(Input!$AA$15/2))/(2*PI())*ATAN((Input!$AA$16/Input!$AA$15)/((AJ37/(Input!$AA$15/2))*SQRT((Input!$AA$16/Input!$AA$15)^2+(AJ37/(Input!$AA$15/2))^2+1)))</f>
        <v/>
      </c>
      <c r="BF37" s="68">
        <f>MAX(0,AJ37-MAX(AI37,$AA$22))/AK37*IF(BC37&gt;=Input!$AA$21*AQ37,1,0)</f>
        <v/>
      </c>
      <c r="BG37" s="68">
        <f>4*Input!$AA$14*(Input!$AA$15/2)*(1-AY37^2)/AX37*((BD37-BD36)+(1-2*AY37)/(1-AY37)*(BE37-BE36))*1000*BF37</f>
        <v/>
      </c>
      <c r="BH37" s="68">
        <f>IF(AM37="Sand",0,0.009*(AR37-10))</f>
        <v/>
      </c>
      <c r="BI37" s="68">
        <f>BH37*Input!$AA$36</f>
        <v/>
      </c>
      <c r="BJ37" s="68">
        <f>IF(AM37="Sand",0,MAX(AV37/Input!$AA$37,AQ37))</f>
        <v/>
      </c>
      <c r="BK37" s="68">
        <f>IF(AM37="Sand",0,1000*AK37/(1+AU37)*IF(AQ37+BC37&lt;=BJ37,BI37*LOG10((AQ37+BC37)/AQ37),BI37*LOG10(BJ37/AQ37)+BH37*LOG10((AQ37+BC37)/BJ37)))*BF37</f>
        <v/>
      </c>
      <c r="BL37" s="68">
        <f>IF(AM37="Sand",0,10^(INDEX(Input!$Q$48:$Q$54,MIN(MATCH(MIN(MAX(AR37,30),120),Input!$C$48:$C$54,1),6))+(MIN(MAX(AR37,30),120)-INDEX(Input!$C$48:$C$54,MIN(MATCH(MIN(MAX(AR37,30),120),Input!$C$48:$C$54,1),6)))/(INDEX(Input!$C$48:$C$54,MIN(MATCH(MIN(MAX(AR37,30),120),Input!$C$48:$C$54,1),6)+1)-INDEX(Input!$C$48:$C$54,MIN(MATCH(MIN(MAX(AR37,30),120),Input!$C$48:$C$54,1),6)))*(INDEX(Input!$Q$48:$Q$54,MIN(MATCH(MIN(MAX(AR37,30),120),Input!$C$48:$C$54,1),6)+1)-INDEX(Input!$Q$48:$Q$54,MIN(MATCH(MIN(MAX(AR37,30),120),Input!$C$48:$C$54,1),6)))))</f>
        <v/>
      </c>
      <c r="BM37" s="68">
        <f>IF(OR(AM37="Sand",BF37=0),0,Input!$AA$38*(AK37/2)^2/(BL37*1E-4*31536000))</f>
        <v/>
      </c>
      <c r="BN37" s="68">
        <f>MAX(0,MIN(AJ37,Input!$AA$20)-AI37)</f>
        <v/>
      </c>
      <c r="BO37" s="68">
        <f>MAX(0,MIN(AJ37,Input!$AA$20)-MAX(AI37,$AA$22))</f>
        <v/>
      </c>
      <c r="BP37" s="68">
        <f>MAX(0,MIN(AJ37,$AA$225)-AI37)</f>
        <v/>
      </c>
      <c r="BQ37" s="68" t="inlineStr"/>
    </row>
    <row r="38">
      <c r="B38" s="9" t="n"/>
      <c r="C38" s="57" t="n">
        <v>11</v>
      </c>
      <c r="D38" s="41" t="n"/>
      <c r="E38" s="55">
        <f>AI38</f>
        <v/>
      </c>
      <c r="F38" s="41" t="n"/>
      <c r="G38" s="41" t="n"/>
      <c r="H38" s="55">
        <f>AJ38</f>
        <v/>
      </c>
      <c r="I38" s="41" t="n"/>
      <c r="J38" s="41" t="n"/>
      <c r="K38" s="52">
        <f>AM38</f>
        <v/>
      </c>
      <c r="L38" s="41" t="n"/>
      <c r="M38" s="41" t="n"/>
      <c r="N38" s="57">
        <f>AN38</f>
        <v/>
      </c>
      <c r="O38" s="41" t="n"/>
      <c r="P38" s="41" t="n"/>
      <c r="Q38" s="53">
        <f>AO38</f>
        <v/>
      </c>
      <c r="R38" s="41" t="n"/>
      <c r="S38" s="41" t="n"/>
      <c r="T38" s="57">
        <f>IF(AR38="","-",AR38)</f>
        <v/>
      </c>
      <c r="U38" s="41" t="n"/>
      <c r="V38" s="57">
        <f>IF(AT38="","-",AT38)</f>
        <v/>
      </c>
      <c r="W38" s="41" t="n"/>
      <c r="X38" s="55">
        <f>AU38</f>
        <v/>
      </c>
      <c r="Y38" s="41" t="n"/>
      <c r="Z38" s="66">
        <f>AV38</f>
        <v/>
      </c>
      <c r="AA38" s="41" t="n"/>
      <c r="AB38" s="41" t="n"/>
      <c r="AC38" s="53">
        <f>AW38</f>
        <v/>
      </c>
      <c r="AD38" s="41" t="n"/>
      <c r="AE38" s="41" t="n"/>
      <c r="AF38" s="15" t="n"/>
      <c r="AI38" s="67" t="n">
        <v>15</v>
      </c>
      <c r="AJ38" s="67" t="n">
        <v>16.5</v>
      </c>
      <c r="AK38" s="68">
        <f>AJ38-AI38</f>
        <v/>
      </c>
      <c r="AL38" s="68">
        <f>(AI38+AJ38)/2</f>
        <v/>
      </c>
      <c r="AM38" s="67" t="inlineStr">
        <is>
          <t>Sand</t>
        </is>
      </c>
      <c r="AN38" s="67" t="n">
        <v>50</v>
      </c>
      <c r="AO38" s="68">
        <f>IF(AL38&gt;$AA$19,$AA$21,$AA$20)</f>
        <v/>
      </c>
      <c r="AP38" s="68">
        <f>AP37+AO38*AK38</f>
        <v/>
      </c>
      <c r="AQ38" s="68">
        <f>AP38-AO38*AK38/2-10*MAX(AL38-$AA$19,0)</f>
        <v/>
      </c>
      <c r="AR38" s="67" t="n"/>
      <c r="AS38" s="67" t="n"/>
      <c r="AT38" s="68">
        <f>IF(AR38="","",AR38-AS38)</f>
        <v/>
      </c>
      <c r="AU38" s="67" t="n">
        <v>0.65</v>
      </c>
      <c r="AV38" s="68">
        <f>IF(AM38="Sand",0,Input!$AA$31*AN38)</f>
        <v/>
      </c>
      <c r="AW38" s="68">
        <f>IF(AM38="Sand",27.1+0.3*MIN(Input!$AA$32*AN38,60)-0.00054*MIN(Input!$AA$32*AN38,60)^2,MIN(MAX(DEGREES(ASIN(0.8-0.094*LN(MAX(IF(AT38="",10,AT38),5)))),20),30))</f>
        <v/>
      </c>
      <c r="AX38" s="68">
        <f>IF(AM38="Sand",Input!$AA$33*Input!$AA$32*AN38,Input!$AA$34*AV38)</f>
        <v/>
      </c>
      <c r="AY38" s="68">
        <f>IF(AM38="Sand",Input!$AA$35,0.5)</f>
        <v/>
      </c>
      <c r="AZ38" s="68">
        <f>Input!$AA$15/2/AL38</f>
        <v/>
      </c>
      <c r="BA38" s="68">
        <f>Input!$AA$16/2/AL38</f>
        <v/>
      </c>
      <c r="BB38" s="68">
        <f>1/(4*PI())*(2*AZ38*BA38*SQRT(AZ38^2+BA38^2+1)/(AZ38^2+BA38^2+1+AZ38^2*BA38^2)*(AZ38^2+BA38^2+2)/(AZ38^2+BA38^2+1)+ATAN2(AZ38^2+BA38^2+1-AZ38^2*BA38^2,2*AZ38*BA38*SQRT(AZ38^2+BA38^2+1)))</f>
        <v/>
      </c>
      <c r="BC38" s="68">
        <f>4*Input!$AA$14*BB38</f>
        <v/>
      </c>
      <c r="BD38" s="68">
        <f>((Input!$AA$16/Input!$AA$15)*LN((1+SQRT((Input!$AA$16/Input!$AA$15)^2+1))*SQRT((Input!$AA$16/Input!$AA$15)^2+(AJ38/(Input!$AA$15/2))^2)/((Input!$AA$16/Input!$AA$15)*(1+SQRT((Input!$AA$16/Input!$AA$15)^2+(AJ38/(Input!$AA$15/2))^2+1))))+LN(((Input!$AA$16/Input!$AA$15)+SQRT((Input!$AA$16/Input!$AA$15)^2+1))*SQRT(1+(AJ38/(Input!$AA$15/2))^2)/((Input!$AA$16/Input!$AA$15)+SQRT((Input!$AA$16/Input!$AA$15)^2+(AJ38/(Input!$AA$15/2))^2+1))))/PI()</f>
        <v/>
      </c>
      <c r="BE38" s="68">
        <f>(AJ38/(Input!$AA$15/2))/(2*PI())*ATAN((Input!$AA$16/Input!$AA$15)/((AJ38/(Input!$AA$15/2))*SQRT((Input!$AA$16/Input!$AA$15)^2+(AJ38/(Input!$AA$15/2))^2+1)))</f>
        <v/>
      </c>
      <c r="BF38" s="68">
        <f>MAX(0,AJ38-MAX(AI38,$AA$22))/AK38*IF(BC38&gt;=Input!$AA$21*AQ38,1,0)</f>
        <v/>
      </c>
      <c r="BG38" s="68">
        <f>4*Input!$AA$14*(Input!$AA$15/2)*(1-AY38^2)/AX38*((BD38-BD37)+(1-2*AY38)/(1-AY38)*(BE38-BE37))*1000*BF38</f>
        <v/>
      </c>
      <c r="BH38" s="68">
        <f>IF(AM38="Sand",0,0.009*(AR38-10))</f>
        <v/>
      </c>
      <c r="BI38" s="68">
        <f>BH38*Input!$AA$36</f>
        <v/>
      </c>
      <c r="BJ38" s="68">
        <f>IF(AM38="Sand",0,MAX(AV38/Input!$AA$37,AQ38))</f>
        <v/>
      </c>
      <c r="BK38" s="68">
        <f>IF(AM38="Sand",0,1000*AK38/(1+AU38)*IF(AQ38+BC38&lt;=BJ38,BI38*LOG10((AQ38+BC38)/AQ38),BI38*LOG10(BJ38/AQ38)+BH38*LOG10((AQ38+BC38)/BJ38)))*BF38</f>
        <v/>
      </c>
      <c r="BL38" s="68">
        <f>IF(AM38="Sand",0,10^(INDEX(Input!$Q$48:$Q$54,MIN(MATCH(MIN(MAX(AR38,30),120),Input!$C$48:$C$54,1),6))+(MIN(MAX(AR38,30),120)-INDEX(Input!$C$48:$C$54,MIN(MATCH(MIN(MAX(AR38,30),120),Input!$C$48:$C$54,1),6)))/(INDEX(Input!$C$48:$C$54,MIN(MATCH(MIN(MAX(AR38,30),120),Input!$C$48:$C$54,1),6)+1)-INDEX(Input!$C$48:$C$54,MIN(MATCH(MIN(MAX(AR38,30),120),Input!$C$48:$C$54,1),6)))*(INDEX(Input!$Q$48:$Q$54,MIN(MATCH(MIN(MAX(AR38,30),120),Input!$C$48:$C$54,1),6)+1)-INDEX(Input!$Q$48:$Q$54,MIN(MATCH(MIN(MAX(AR38,30),120),Input!$C$48:$C$54,1),6)))))</f>
        <v/>
      </c>
      <c r="BM38" s="68">
        <f>IF(OR(AM38="Sand",BF38=0),0,Input!$AA$38*(AK38/2)^2/(BL38*1E-4*31536000))</f>
        <v/>
      </c>
      <c r="BN38" s="68">
        <f>MAX(0,MIN(AJ38,Input!$AA$20)-AI38)</f>
        <v/>
      </c>
      <c r="BO38" s="68">
        <f>MAX(0,MIN(AJ38,Input!$AA$20)-MAX(AI38,$AA$22))</f>
        <v/>
      </c>
      <c r="BP38" s="68">
        <f>MAX(0,MIN(AJ38,$AA$225)-AI38)</f>
        <v/>
      </c>
      <c r="BQ38" s="68" t="inlineStr"/>
    </row>
    <row r="39">
      <c r="B39" s="9" t="n"/>
      <c r="C39" s="57" t="n">
        <v>12</v>
      </c>
      <c r="D39" s="41" t="n"/>
      <c r="E39" s="55">
        <f>AI39</f>
        <v/>
      </c>
      <c r="F39" s="41" t="n"/>
      <c r="G39" s="41" t="n"/>
      <c r="H39" s="55">
        <f>AJ39</f>
        <v/>
      </c>
      <c r="I39" s="41" t="n"/>
      <c r="J39" s="41" t="n"/>
      <c r="K39" s="52">
        <f>AM39</f>
        <v/>
      </c>
      <c r="L39" s="41" t="n"/>
      <c r="M39" s="41" t="n"/>
      <c r="N39" s="57">
        <f>AN39</f>
        <v/>
      </c>
      <c r="O39" s="41" t="n"/>
      <c r="P39" s="41" t="n"/>
      <c r="Q39" s="53">
        <f>AO39</f>
        <v/>
      </c>
      <c r="R39" s="41" t="n"/>
      <c r="S39" s="41" t="n"/>
      <c r="T39" s="57">
        <f>IF(AR39="","-",AR39)</f>
        <v/>
      </c>
      <c r="U39" s="41" t="n"/>
      <c r="V39" s="57">
        <f>IF(AT39="","-",AT39)</f>
        <v/>
      </c>
      <c r="W39" s="41" t="n"/>
      <c r="X39" s="55">
        <f>AU39</f>
        <v/>
      </c>
      <c r="Y39" s="41" t="n"/>
      <c r="Z39" s="66">
        <f>AV39</f>
        <v/>
      </c>
      <c r="AA39" s="41" t="n"/>
      <c r="AB39" s="41" t="n"/>
      <c r="AC39" s="53">
        <f>AW39</f>
        <v/>
      </c>
      <c r="AD39" s="41" t="n"/>
      <c r="AE39" s="41" t="n"/>
      <c r="AF39" s="15" t="n"/>
      <c r="AI39" s="67" t="n">
        <v>16.5</v>
      </c>
      <c r="AJ39" s="67" t="n">
        <v>18</v>
      </c>
      <c r="AK39" s="68">
        <f>AJ39-AI39</f>
        <v/>
      </c>
      <c r="AL39" s="68">
        <f>(AI39+AJ39)/2</f>
        <v/>
      </c>
      <c r="AM39" s="67" t="inlineStr">
        <is>
          <t>Sand</t>
        </is>
      </c>
      <c r="AN39" s="67" t="n">
        <v>30</v>
      </c>
      <c r="AO39" s="68">
        <f>IF(AL39&gt;$AA$19,$AA$21,$AA$20)</f>
        <v/>
      </c>
      <c r="AP39" s="68">
        <f>AP38+AO39*AK39</f>
        <v/>
      </c>
      <c r="AQ39" s="68">
        <f>AP39-AO39*AK39/2-10*MAX(AL39-$AA$19,0)</f>
        <v/>
      </c>
      <c r="AR39" s="67" t="n"/>
      <c r="AS39" s="67" t="n"/>
      <c r="AT39" s="68">
        <f>IF(AR39="","",AR39-AS39)</f>
        <v/>
      </c>
      <c r="AU39" s="67" t="n">
        <v>0.757</v>
      </c>
      <c r="AV39" s="68">
        <f>IF(AM39="Sand",0,Input!$AA$31*AN39)</f>
        <v/>
      </c>
      <c r="AW39" s="68">
        <f>IF(AM39="Sand",27.1+0.3*MIN(Input!$AA$32*AN39,60)-0.00054*MIN(Input!$AA$32*AN39,60)^2,MIN(MAX(DEGREES(ASIN(0.8-0.094*LN(MAX(IF(AT39="",10,AT39),5)))),20),30))</f>
        <v/>
      </c>
      <c r="AX39" s="68">
        <f>IF(AM39="Sand",Input!$AA$33*Input!$AA$32*AN39,Input!$AA$34*AV39)</f>
        <v/>
      </c>
      <c r="AY39" s="68">
        <f>IF(AM39="Sand",Input!$AA$35,0.5)</f>
        <v/>
      </c>
      <c r="AZ39" s="68">
        <f>Input!$AA$15/2/AL39</f>
        <v/>
      </c>
      <c r="BA39" s="68">
        <f>Input!$AA$16/2/AL39</f>
        <v/>
      </c>
      <c r="BB39" s="68">
        <f>1/(4*PI())*(2*AZ39*BA39*SQRT(AZ39^2+BA39^2+1)/(AZ39^2+BA39^2+1+AZ39^2*BA39^2)*(AZ39^2+BA39^2+2)/(AZ39^2+BA39^2+1)+ATAN2(AZ39^2+BA39^2+1-AZ39^2*BA39^2,2*AZ39*BA39*SQRT(AZ39^2+BA39^2+1)))</f>
        <v/>
      </c>
      <c r="BC39" s="68">
        <f>4*Input!$AA$14*BB39</f>
        <v/>
      </c>
      <c r="BD39" s="68">
        <f>((Input!$AA$16/Input!$AA$15)*LN((1+SQRT((Input!$AA$16/Input!$AA$15)^2+1))*SQRT((Input!$AA$16/Input!$AA$15)^2+(AJ39/(Input!$AA$15/2))^2)/((Input!$AA$16/Input!$AA$15)*(1+SQRT((Input!$AA$16/Input!$AA$15)^2+(AJ39/(Input!$AA$15/2))^2+1))))+LN(((Input!$AA$16/Input!$AA$15)+SQRT((Input!$AA$16/Input!$AA$15)^2+1))*SQRT(1+(AJ39/(Input!$AA$15/2))^2)/((Input!$AA$16/Input!$AA$15)+SQRT((Input!$AA$16/Input!$AA$15)^2+(AJ39/(Input!$AA$15/2))^2+1))))/PI()</f>
        <v/>
      </c>
      <c r="BE39" s="68">
        <f>(AJ39/(Input!$AA$15/2))/(2*PI())*ATAN((Input!$AA$16/Input!$AA$15)/((AJ39/(Input!$AA$15/2))*SQRT((Input!$AA$16/Input!$AA$15)^2+(AJ39/(Input!$AA$15/2))^2+1)))</f>
        <v/>
      </c>
      <c r="BF39" s="68">
        <f>MAX(0,AJ39-MAX(AI39,$AA$22))/AK39*IF(BC39&gt;=Input!$AA$21*AQ39,1,0)</f>
        <v/>
      </c>
      <c r="BG39" s="68">
        <f>4*Input!$AA$14*(Input!$AA$15/2)*(1-AY39^2)/AX39*((BD39-BD38)+(1-2*AY39)/(1-AY39)*(BE39-BE38))*1000*BF39</f>
        <v/>
      </c>
      <c r="BH39" s="68">
        <f>IF(AM39="Sand",0,0.009*(AR39-10))</f>
        <v/>
      </c>
      <c r="BI39" s="68">
        <f>BH39*Input!$AA$36</f>
        <v/>
      </c>
      <c r="BJ39" s="68">
        <f>IF(AM39="Sand",0,MAX(AV39/Input!$AA$37,AQ39))</f>
        <v/>
      </c>
      <c r="BK39" s="68">
        <f>IF(AM39="Sand",0,1000*AK39/(1+AU39)*IF(AQ39+BC39&lt;=BJ39,BI39*LOG10((AQ39+BC39)/AQ39),BI39*LOG10(BJ39/AQ39)+BH39*LOG10((AQ39+BC39)/BJ39)))*BF39</f>
        <v/>
      </c>
      <c r="BL39" s="68">
        <f>IF(AM39="Sand",0,10^(INDEX(Input!$Q$48:$Q$54,MIN(MATCH(MIN(MAX(AR39,30),120),Input!$C$48:$C$54,1),6))+(MIN(MAX(AR39,30),120)-INDEX(Input!$C$48:$C$54,MIN(MATCH(MIN(MAX(AR39,30),120),Input!$C$48:$C$54,1),6)))/(INDEX(Input!$C$48:$C$54,MIN(MATCH(MIN(MAX(AR39,30),120),Input!$C$48:$C$54,1),6)+1)-INDEX(Input!$C$48:$C$54,MIN(MATCH(MIN(MAX(AR39,30),120),Input!$C$48:$C$54,1),6)))*(INDEX(Input!$Q$48:$Q$54,MIN(MATCH(MIN(MAX(AR39,30),120),Input!$C$48:$C$54,1),6)+1)-INDEX(Input!$Q$48:$Q$54,MIN(MATCH(MIN(MAX(AR39,30),120),Input!$C$48:$C$54,1),6)))))</f>
        <v/>
      </c>
      <c r="BM39" s="68">
        <f>IF(OR(AM39="Sand",BF39=0),0,Input!$AA$38*(AK39/2)^2/(BL39*1E-4*31536000))</f>
        <v/>
      </c>
      <c r="BN39" s="68">
        <f>MAX(0,MIN(AJ39,Input!$AA$20)-AI39)</f>
        <v/>
      </c>
      <c r="BO39" s="68">
        <f>MAX(0,MIN(AJ39,Input!$AA$20)-MAX(AI39,$AA$22))</f>
        <v/>
      </c>
      <c r="BP39" s="68">
        <f>MAX(0,MIN(AJ39,$AA$225)-AI39)</f>
        <v/>
      </c>
      <c r="BQ39" s="68" t="inlineStr"/>
    </row>
    <row r="40">
      <c r="B40" s="9" t="n"/>
      <c r="C40" s="57" t="n">
        <v>13</v>
      </c>
      <c r="D40" s="41" t="n"/>
      <c r="E40" s="55">
        <f>AI40</f>
        <v/>
      </c>
      <c r="F40" s="41" t="n"/>
      <c r="G40" s="41" t="n"/>
      <c r="H40" s="55">
        <f>AJ40</f>
        <v/>
      </c>
      <c r="I40" s="41" t="n"/>
      <c r="J40" s="41" t="n"/>
      <c r="K40" s="52">
        <f>AM40</f>
        <v/>
      </c>
      <c r="L40" s="41" t="n"/>
      <c r="M40" s="41" t="n"/>
      <c r="N40" s="57">
        <f>AN40</f>
        <v/>
      </c>
      <c r="O40" s="41" t="n"/>
      <c r="P40" s="41" t="n"/>
      <c r="Q40" s="53">
        <f>AO40</f>
        <v/>
      </c>
      <c r="R40" s="41" t="n"/>
      <c r="S40" s="41" t="n"/>
      <c r="T40" s="57">
        <f>IF(AR40="","-",AR40)</f>
        <v/>
      </c>
      <c r="U40" s="41" t="n"/>
      <c r="V40" s="57">
        <f>IF(AT40="","-",AT40)</f>
        <v/>
      </c>
      <c r="W40" s="41" t="n"/>
      <c r="X40" s="55">
        <f>AU40</f>
        <v/>
      </c>
      <c r="Y40" s="41" t="n"/>
      <c r="Z40" s="66">
        <f>AV40</f>
        <v/>
      </c>
      <c r="AA40" s="41" t="n"/>
      <c r="AB40" s="41" t="n"/>
      <c r="AC40" s="53">
        <f>AW40</f>
        <v/>
      </c>
      <c r="AD40" s="41" t="n"/>
      <c r="AE40" s="41" t="n"/>
      <c r="AF40" s="15" t="n"/>
      <c r="AI40" s="67" t="n">
        <v>18</v>
      </c>
      <c r="AJ40" s="67" t="n">
        <v>19.5</v>
      </c>
      <c r="AK40" s="68">
        <f>AJ40-AI40</f>
        <v/>
      </c>
      <c r="AL40" s="68">
        <f>(AI40+AJ40)/2</f>
        <v/>
      </c>
      <c r="AM40" s="67" t="inlineStr">
        <is>
          <t>Sand</t>
        </is>
      </c>
      <c r="AN40" s="67" t="n">
        <v>26</v>
      </c>
      <c r="AO40" s="68">
        <f>IF(AL40&gt;$AA$19,$AA$21,$AA$20)</f>
        <v/>
      </c>
      <c r="AP40" s="68">
        <f>AP39+AO40*AK40</f>
        <v/>
      </c>
      <c r="AQ40" s="68">
        <f>AP40-AO40*AK40/2-10*MAX(AL40-$AA$19,0)</f>
        <v/>
      </c>
      <c r="AR40" s="67" t="n"/>
      <c r="AS40" s="67" t="n"/>
      <c r="AT40" s="68">
        <f>IF(AR40="","",AR40-AS40)</f>
        <v/>
      </c>
      <c r="AU40" s="67" t="n">
        <v>0.801</v>
      </c>
      <c r="AV40" s="68">
        <f>IF(AM40="Sand",0,Input!$AA$31*AN40)</f>
        <v/>
      </c>
      <c r="AW40" s="68">
        <f>IF(AM40="Sand",27.1+0.3*MIN(Input!$AA$32*AN40,60)-0.00054*MIN(Input!$AA$32*AN40,60)^2,MIN(MAX(DEGREES(ASIN(0.8-0.094*LN(MAX(IF(AT40="",10,AT40),5)))),20),30))</f>
        <v/>
      </c>
      <c r="AX40" s="68">
        <f>IF(AM40="Sand",Input!$AA$33*Input!$AA$32*AN40,Input!$AA$34*AV40)</f>
        <v/>
      </c>
      <c r="AY40" s="68">
        <f>IF(AM40="Sand",Input!$AA$35,0.5)</f>
        <v/>
      </c>
      <c r="AZ40" s="68">
        <f>Input!$AA$15/2/AL40</f>
        <v/>
      </c>
      <c r="BA40" s="68">
        <f>Input!$AA$16/2/AL40</f>
        <v/>
      </c>
      <c r="BB40" s="68">
        <f>1/(4*PI())*(2*AZ40*BA40*SQRT(AZ40^2+BA40^2+1)/(AZ40^2+BA40^2+1+AZ40^2*BA40^2)*(AZ40^2+BA40^2+2)/(AZ40^2+BA40^2+1)+ATAN2(AZ40^2+BA40^2+1-AZ40^2*BA40^2,2*AZ40*BA40*SQRT(AZ40^2+BA40^2+1)))</f>
        <v/>
      </c>
      <c r="BC40" s="68">
        <f>4*Input!$AA$14*BB40</f>
        <v/>
      </c>
      <c r="BD40" s="68">
        <f>((Input!$AA$16/Input!$AA$15)*LN((1+SQRT((Input!$AA$16/Input!$AA$15)^2+1))*SQRT((Input!$AA$16/Input!$AA$15)^2+(AJ40/(Input!$AA$15/2))^2)/((Input!$AA$16/Input!$AA$15)*(1+SQRT((Input!$AA$16/Input!$AA$15)^2+(AJ40/(Input!$AA$15/2))^2+1))))+LN(((Input!$AA$16/Input!$AA$15)+SQRT((Input!$AA$16/Input!$AA$15)^2+1))*SQRT(1+(AJ40/(Input!$AA$15/2))^2)/((Input!$AA$16/Input!$AA$15)+SQRT((Input!$AA$16/Input!$AA$15)^2+(AJ40/(Input!$AA$15/2))^2+1))))/PI()</f>
        <v/>
      </c>
      <c r="BE40" s="68">
        <f>(AJ40/(Input!$AA$15/2))/(2*PI())*ATAN((Input!$AA$16/Input!$AA$15)/((AJ40/(Input!$AA$15/2))*SQRT((Input!$AA$16/Input!$AA$15)^2+(AJ40/(Input!$AA$15/2))^2+1)))</f>
        <v/>
      </c>
      <c r="BF40" s="68">
        <f>MAX(0,AJ40-MAX(AI40,$AA$22))/AK40*IF(BC40&gt;=Input!$AA$21*AQ40,1,0)</f>
        <v/>
      </c>
      <c r="BG40" s="68">
        <f>4*Input!$AA$14*(Input!$AA$15/2)*(1-AY40^2)/AX40*((BD40-BD39)+(1-2*AY40)/(1-AY40)*(BE40-BE39))*1000*BF40</f>
        <v/>
      </c>
      <c r="BH40" s="68">
        <f>IF(AM40="Sand",0,0.009*(AR40-10))</f>
        <v/>
      </c>
      <c r="BI40" s="68">
        <f>BH40*Input!$AA$36</f>
        <v/>
      </c>
      <c r="BJ40" s="68">
        <f>IF(AM40="Sand",0,MAX(AV40/Input!$AA$37,AQ40))</f>
        <v/>
      </c>
      <c r="BK40" s="68">
        <f>IF(AM40="Sand",0,1000*AK40/(1+AU40)*IF(AQ40+BC40&lt;=BJ40,BI40*LOG10((AQ40+BC40)/AQ40),BI40*LOG10(BJ40/AQ40)+BH40*LOG10((AQ40+BC40)/BJ40)))*BF40</f>
        <v/>
      </c>
      <c r="BL40" s="68">
        <f>IF(AM40="Sand",0,10^(INDEX(Input!$Q$48:$Q$54,MIN(MATCH(MIN(MAX(AR40,30),120),Input!$C$48:$C$54,1),6))+(MIN(MAX(AR40,30),120)-INDEX(Input!$C$48:$C$54,MIN(MATCH(MIN(MAX(AR40,30),120),Input!$C$48:$C$54,1),6)))/(INDEX(Input!$C$48:$C$54,MIN(MATCH(MIN(MAX(AR40,30),120),Input!$C$48:$C$54,1),6)+1)-INDEX(Input!$C$48:$C$54,MIN(MATCH(MIN(MAX(AR40,30),120),Input!$C$48:$C$54,1),6)))*(INDEX(Input!$Q$48:$Q$54,MIN(MATCH(MIN(MAX(AR40,30),120),Input!$C$48:$C$54,1),6)+1)-INDEX(Input!$Q$48:$Q$54,MIN(MATCH(MIN(MAX(AR40,30),120),Input!$C$48:$C$54,1),6)))))</f>
        <v/>
      </c>
      <c r="BM40" s="68">
        <f>IF(OR(AM40="Sand",BF40=0),0,Input!$AA$38*(AK40/2)^2/(BL40*1E-4*31536000))</f>
        <v/>
      </c>
      <c r="BN40" s="68">
        <f>MAX(0,MIN(AJ40,Input!$AA$20)-AI40)</f>
        <v/>
      </c>
      <c r="BO40" s="68">
        <f>MAX(0,MIN(AJ40,Input!$AA$20)-MAX(AI40,$AA$22))</f>
        <v/>
      </c>
      <c r="BP40" s="68">
        <f>MAX(0,MIN(AJ40,$AA$225)-AI40)</f>
        <v/>
      </c>
      <c r="BQ40" s="68" t="inlineStr"/>
    </row>
    <row r="41">
      <c r="B41" s="9" t="n"/>
      <c r="C41" s="57" t="n">
        <v>14</v>
      </c>
      <c r="D41" s="41" t="n"/>
      <c r="E41" s="55">
        <f>AI41</f>
        <v/>
      </c>
      <c r="F41" s="41" t="n"/>
      <c r="G41" s="41" t="n"/>
      <c r="H41" s="55">
        <f>AJ41</f>
        <v/>
      </c>
      <c r="I41" s="41" t="n"/>
      <c r="J41" s="41" t="n"/>
      <c r="K41" s="52">
        <f>AM41</f>
        <v/>
      </c>
      <c r="L41" s="41" t="n"/>
      <c r="M41" s="41" t="n"/>
      <c r="N41" s="57">
        <f>AN41</f>
        <v/>
      </c>
      <c r="O41" s="41" t="n"/>
      <c r="P41" s="41" t="n"/>
      <c r="Q41" s="53">
        <f>AO41</f>
        <v/>
      </c>
      <c r="R41" s="41" t="n"/>
      <c r="S41" s="41" t="n"/>
      <c r="T41" s="57">
        <f>IF(AR41="","-",AR41)</f>
        <v/>
      </c>
      <c r="U41" s="41" t="n"/>
      <c r="V41" s="57">
        <f>IF(AT41="","-",AT41)</f>
        <v/>
      </c>
      <c r="W41" s="41" t="n"/>
      <c r="X41" s="55">
        <f>AU41</f>
        <v/>
      </c>
      <c r="Y41" s="41" t="n"/>
      <c r="Z41" s="66">
        <f>AV41</f>
        <v/>
      </c>
      <c r="AA41" s="41" t="n"/>
      <c r="AB41" s="41" t="n"/>
      <c r="AC41" s="53">
        <f>AW41</f>
        <v/>
      </c>
      <c r="AD41" s="41" t="n"/>
      <c r="AE41" s="41" t="n"/>
      <c r="AF41" s="15" t="n"/>
      <c r="AI41" s="67" t="n">
        <v>19.5</v>
      </c>
      <c r="AJ41" s="67" t="n">
        <v>21</v>
      </c>
      <c r="AK41" s="68">
        <f>AJ41-AI41</f>
        <v/>
      </c>
      <c r="AL41" s="68">
        <f>(AI41+AJ41)/2</f>
        <v/>
      </c>
      <c r="AM41" s="67" t="inlineStr">
        <is>
          <t>Sand</t>
        </is>
      </c>
      <c r="AN41" s="67" t="n">
        <v>41</v>
      </c>
      <c r="AO41" s="68">
        <f>IF(AL41&gt;$AA$19,$AA$21,$AA$20)</f>
        <v/>
      </c>
      <c r="AP41" s="68">
        <f>AP40+AO41*AK41</f>
        <v/>
      </c>
      <c r="AQ41" s="68">
        <f>AP41-AO41*AK41/2-10*MAX(AL41-$AA$19,0)</f>
        <v/>
      </c>
      <c r="AR41" s="67" t="n"/>
      <c r="AS41" s="67" t="n"/>
      <c r="AT41" s="68">
        <f>IF(AR41="","",AR41-AS41)</f>
        <v/>
      </c>
      <c r="AU41" s="67" t="n">
        <v>0.673</v>
      </c>
      <c r="AV41" s="68">
        <f>IF(AM41="Sand",0,Input!$AA$31*AN41)</f>
        <v/>
      </c>
      <c r="AW41" s="68">
        <f>IF(AM41="Sand",27.1+0.3*MIN(Input!$AA$32*AN41,60)-0.00054*MIN(Input!$AA$32*AN41,60)^2,MIN(MAX(DEGREES(ASIN(0.8-0.094*LN(MAX(IF(AT41="",10,AT41),5)))),20),30))</f>
        <v/>
      </c>
      <c r="AX41" s="68">
        <f>IF(AM41="Sand",Input!$AA$33*Input!$AA$32*AN41,Input!$AA$34*AV41)</f>
        <v/>
      </c>
      <c r="AY41" s="68">
        <f>IF(AM41="Sand",Input!$AA$35,0.5)</f>
        <v/>
      </c>
      <c r="AZ41" s="68">
        <f>Input!$AA$15/2/AL41</f>
        <v/>
      </c>
      <c r="BA41" s="68">
        <f>Input!$AA$16/2/AL41</f>
        <v/>
      </c>
      <c r="BB41" s="68">
        <f>1/(4*PI())*(2*AZ41*BA41*SQRT(AZ41^2+BA41^2+1)/(AZ41^2+BA41^2+1+AZ41^2*BA41^2)*(AZ41^2+BA41^2+2)/(AZ41^2+BA41^2+1)+ATAN2(AZ41^2+BA41^2+1-AZ41^2*BA41^2,2*AZ41*BA41*SQRT(AZ41^2+BA41^2+1)))</f>
        <v/>
      </c>
      <c r="BC41" s="68">
        <f>4*Input!$AA$14*BB41</f>
        <v/>
      </c>
      <c r="BD41" s="68">
        <f>((Input!$AA$16/Input!$AA$15)*LN((1+SQRT((Input!$AA$16/Input!$AA$15)^2+1))*SQRT((Input!$AA$16/Input!$AA$15)^2+(AJ41/(Input!$AA$15/2))^2)/((Input!$AA$16/Input!$AA$15)*(1+SQRT((Input!$AA$16/Input!$AA$15)^2+(AJ41/(Input!$AA$15/2))^2+1))))+LN(((Input!$AA$16/Input!$AA$15)+SQRT((Input!$AA$16/Input!$AA$15)^2+1))*SQRT(1+(AJ41/(Input!$AA$15/2))^2)/((Input!$AA$16/Input!$AA$15)+SQRT((Input!$AA$16/Input!$AA$15)^2+(AJ41/(Input!$AA$15/2))^2+1))))/PI()</f>
        <v/>
      </c>
      <c r="BE41" s="68">
        <f>(AJ41/(Input!$AA$15/2))/(2*PI())*ATAN((Input!$AA$16/Input!$AA$15)/((AJ41/(Input!$AA$15/2))*SQRT((Input!$AA$16/Input!$AA$15)^2+(AJ41/(Input!$AA$15/2))^2+1)))</f>
        <v/>
      </c>
      <c r="BF41" s="68">
        <f>MAX(0,AJ41-MAX(AI41,$AA$22))/AK41*IF(BC41&gt;=Input!$AA$21*AQ41,1,0)</f>
        <v/>
      </c>
      <c r="BG41" s="68">
        <f>4*Input!$AA$14*(Input!$AA$15/2)*(1-AY41^2)/AX41*((BD41-BD40)+(1-2*AY41)/(1-AY41)*(BE41-BE40))*1000*BF41</f>
        <v/>
      </c>
      <c r="BH41" s="68">
        <f>IF(AM41="Sand",0,0.009*(AR41-10))</f>
        <v/>
      </c>
      <c r="BI41" s="68">
        <f>BH41*Input!$AA$36</f>
        <v/>
      </c>
      <c r="BJ41" s="68">
        <f>IF(AM41="Sand",0,MAX(AV41/Input!$AA$37,AQ41))</f>
        <v/>
      </c>
      <c r="BK41" s="68">
        <f>IF(AM41="Sand",0,1000*AK41/(1+AU41)*IF(AQ41+BC41&lt;=BJ41,BI41*LOG10((AQ41+BC41)/AQ41),BI41*LOG10(BJ41/AQ41)+BH41*LOG10((AQ41+BC41)/BJ41)))*BF41</f>
        <v/>
      </c>
      <c r="BL41" s="68">
        <f>IF(AM41="Sand",0,10^(INDEX(Input!$Q$48:$Q$54,MIN(MATCH(MIN(MAX(AR41,30),120),Input!$C$48:$C$54,1),6))+(MIN(MAX(AR41,30),120)-INDEX(Input!$C$48:$C$54,MIN(MATCH(MIN(MAX(AR41,30),120),Input!$C$48:$C$54,1),6)))/(INDEX(Input!$C$48:$C$54,MIN(MATCH(MIN(MAX(AR41,30),120),Input!$C$48:$C$54,1),6)+1)-INDEX(Input!$C$48:$C$54,MIN(MATCH(MIN(MAX(AR41,30),120),Input!$C$48:$C$54,1),6)))*(INDEX(Input!$Q$48:$Q$54,MIN(MATCH(MIN(MAX(AR41,30),120),Input!$C$48:$C$54,1),6)+1)-INDEX(Input!$Q$48:$Q$54,MIN(MATCH(MIN(MAX(AR41,30),120),Input!$C$48:$C$54,1),6)))))</f>
        <v/>
      </c>
      <c r="BM41" s="68">
        <f>IF(OR(AM41="Sand",BF41=0),0,Input!$AA$38*(AK41/2)^2/(BL41*1E-4*31536000))</f>
        <v/>
      </c>
      <c r="BN41" s="68">
        <f>MAX(0,MIN(AJ41,Input!$AA$20)-AI41)</f>
        <v/>
      </c>
      <c r="BO41" s="68">
        <f>MAX(0,MIN(AJ41,Input!$AA$20)-MAX(AI41,$AA$22))</f>
        <v/>
      </c>
      <c r="BP41" s="68">
        <f>MAX(0,MIN(AJ41,$AA$225)-AI41)</f>
        <v/>
      </c>
      <c r="BQ41" s="68" t="inlineStr"/>
    </row>
    <row r="42">
      <c r="B42" s="9" t="n"/>
      <c r="C42" s="57" t="n">
        <v>15</v>
      </c>
      <c r="D42" s="41" t="n"/>
      <c r="E42" s="55">
        <f>AI42</f>
        <v/>
      </c>
      <c r="F42" s="41" t="n"/>
      <c r="G42" s="41" t="n"/>
      <c r="H42" s="55">
        <f>AJ42</f>
        <v/>
      </c>
      <c r="I42" s="41" t="n"/>
      <c r="J42" s="41" t="n"/>
      <c r="K42" s="52">
        <f>AM42</f>
        <v/>
      </c>
      <c r="L42" s="41" t="n"/>
      <c r="M42" s="41" t="n"/>
      <c r="N42" s="57">
        <f>AN42</f>
        <v/>
      </c>
      <c r="O42" s="41" t="n"/>
      <c r="P42" s="41" t="n"/>
      <c r="Q42" s="53">
        <f>AO42</f>
        <v/>
      </c>
      <c r="R42" s="41" t="n"/>
      <c r="S42" s="41" t="n"/>
      <c r="T42" s="57">
        <f>IF(AR42="","-",AR42)</f>
        <v/>
      </c>
      <c r="U42" s="41" t="n"/>
      <c r="V42" s="57">
        <f>IF(AT42="","-",AT42)</f>
        <v/>
      </c>
      <c r="W42" s="41" t="n"/>
      <c r="X42" s="55">
        <f>AU42</f>
        <v/>
      </c>
      <c r="Y42" s="41" t="n"/>
      <c r="Z42" s="66">
        <f>AV42</f>
        <v/>
      </c>
      <c r="AA42" s="41" t="n"/>
      <c r="AB42" s="41" t="n"/>
      <c r="AC42" s="53">
        <f>AW42</f>
        <v/>
      </c>
      <c r="AD42" s="41" t="n"/>
      <c r="AE42" s="41" t="n"/>
      <c r="AF42" s="15" t="n"/>
      <c r="AI42" s="67" t="n">
        <v>21</v>
      </c>
      <c r="AJ42" s="67" t="n">
        <v>22.5</v>
      </c>
      <c r="AK42" s="68">
        <f>AJ42-AI42</f>
        <v/>
      </c>
      <c r="AL42" s="68">
        <f>(AI42+AJ42)/2</f>
        <v/>
      </c>
      <c r="AM42" s="67" t="inlineStr">
        <is>
          <t>Sand</t>
        </is>
      </c>
      <c r="AN42" s="67" t="n">
        <v>40</v>
      </c>
      <c r="AO42" s="68">
        <f>IF(AL42&gt;$AA$19,$AA$21,$AA$20)</f>
        <v/>
      </c>
      <c r="AP42" s="68">
        <f>AP41+AO42*AK42</f>
        <v/>
      </c>
      <c r="AQ42" s="68">
        <f>AP42-AO42*AK42/2-10*MAX(AL42-$AA$19,0)</f>
        <v/>
      </c>
      <c r="AR42" s="67" t="n"/>
      <c r="AS42" s="67" t="n"/>
      <c r="AT42" s="68">
        <f>IF(AR42="","",AR42-AS42)</f>
        <v/>
      </c>
      <c r="AU42" s="67" t="n">
        <v>0.65</v>
      </c>
      <c r="AV42" s="68">
        <f>IF(AM42="Sand",0,Input!$AA$31*AN42)</f>
        <v/>
      </c>
      <c r="AW42" s="68">
        <f>IF(AM42="Sand",27.1+0.3*MIN(Input!$AA$32*AN42,60)-0.00054*MIN(Input!$AA$32*AN42,60)^2,MIN(MAX(DEGREES(ASIN(0.8-0.094*LN(MAX(IF(AT42="",10,AT42),5)))),20),30))</f>
        <v/>
      </c>
      <c r="AX42" s="68">
        <f>IF(AM42="Sand",Input!$AA$33*Input!$AA$32*AN42,Input!$AA$34*AV42)</f>
        <v/>
      </c>
      <c r="AY42" s="68">
        <f>IF(AM42="Sand",Input!$AA$35,0.5)</f>
        <v/>
      </c>
      <c r="AZ42" s="68">
        <f>Input!$AA$15/2/AL42</f>
        <v/>
      </c>
      <c r="BA42" s="68">
        <f>Input!$AA$16/2/AL42</f>
        <v/>
      </c>
      <c r="BB42" s="68">
        <f>1/(4*PI())*(2*AZ42*BA42*SQRT(AZ42^2+BA42^2+1)/(AZ42^2+BA42^2+1+AZ42^2*BA42^2)*(AZ42^2+BA42^2+2)/(AZ42^2+BA42^2+1)+ATAN2(AZ42^2+BA42^2+1-AZ42^2*BA42^2,2*AZ42*BA42*SQRT(AZ42^2+BA42^2+1)))</f>
        <v/>
      </c>
      <c r="BC42" s="68">
        <f>4*Input!$AA$14*BB42</f>
        <v/>
      </c>
      <c r="BD42" s="68">
        <f>((Input!$AA$16/Input!$AA$15)*LN((1+SQRT((Input!$AA$16/Input!$AA$15)^2+1))*SQRT((Input!$AA$16/Input!$AA$15)^2+(AJ42/(Input!$AA$15/2))^2)/((Input!$AA$16/Input!$AA$15)*(1+SQRT((Input!$AA$16/Input!$AA$15)^2+(AJ42/(Input!$AA$15/2))^2+1))))+LN(((Input!$AA$16/Input!$AA$15)+SQRT((Input!$AA$16/Input!$AA$15)^2+1))*SQRT(1+(AJ42/(Input!$AA$15/2))^2)/((Input!$AA$16/Input!$AA$15)+SQRT((Input!$AA$16/Input!$AA$15)^2+(AJ42/(Input!$AA$15/2))^2+1))))/PI()</f>
        <v/>
      </c>
      <c r="BE42" s="68">
        <f>(AJ42/(Input!$AA$15/2))/(2*PI())*ATAN((Input!$AA$16/Input!$AA$15)/((AJ42/(Input!$AA$15/2))*SQRT((Input!$AA$16/Input!$AA$15)^2+(AJ42/(Input!$AA$15/2))^2+1)))</f>
        <v/>
      </c>
      <c r="BF42" s="68">
        <f>MAX(0,AJ42-MAX(AI42,$AA$22))/AK42*IF(BC42&gt;=Input!$AA$21*AQ42,1,0)</f>
        <v/>
      </c>
      <c r="BG42" s="68">
        <f>4*Input!$AA$14*(Input!$AA$15/2)*(1-AY42^2)/AX42*((BD42-BD41)+(1-2*AY42)/(1-AY42)*(BE42-BE41))*1000*BF42</f>
        <v/>
      </c>
      <c r="BH42" s="68">
        <f>IF(AM42="Sand",0,0.009*(AR42-10))</f>
        <v/>
      </c>
      <c r="BI42" s="68">
        <f>BH42*Input!$AA$36</f>
        <v/>
      </c>
      <c r="BJ42" s="68">
        <f>IF(AM42="Sand",0,MAX(AV42/Input!$AA$37,AQ42))</f>
        <v/>
      </c>
      <c r="BK42" s="68">
        <f>IF(AM42="Sand",0,1000*AK42/(1+AU42)*IF(AQ42+BC42&lt;=BJ42,BI42*LOG10((AQ42+BC42)/AQ42),BI42*LOG10(BJ42/AQ42)+BH42*LOG10((AQ42+BC42)/BJ42)))*BF42</f>
        <v/>
      </c>
      <c r="BL42" s="68">
        <f>IF(AM42="Sand",0,10^(INDEX(Input!$Q$48:$Q$54,MIN(MATCH(MIN(MAX(AR42,30),120),Input!$C$48:$C$54,1),6))+(MIN(MAX(AR42,30),120)-INDEX(Input!$C$48:$C$54,MIN(MATCH(MIN(MAX(AR42,30),120),Input!$C$48:$C$54,1),6)))/(INDEX(Input!$C$48:$C$54,MIN(MATCH(MIN(MAX(AR42,30),120),Input!$C$48:$C$54,1),6)+1)-INDEX(Input!$C$48:$C$54,MIN(MATCH(MIN(MAX(AR42,30),120),Input!$C$48:$C$54,1),6)))*(INDEX(Input!$Q$48:$Q$54,MIN(MATCH(MIN(MAX(AR42,30),120),Input!$C$48:$C$54,1),6)+1)-INDEX(Input!$Q$48:$Q$54,MIN(MATCH(MIN(MAX(AR42,30),120),Input!$C$48:$C$54,1),6)))))</f>
        <v/>
      </c>
      <c r="BM42" s="68">
        <f>IF(OR(AM42="Sand",BF42=0),0,Input!$AA$38*(AK42/2)^2/(BL42*1E-4*31536000))</f>
        <v/>
      </c>
      <c r="BN42" s="68">
        <f>MAX(0,MIN(AJ42,Input!$AA$20)-AI42)</f>
        <v/>
      </c>
      <c r="BO42" s="68">
        <f>MAX(0,MIN(AJ42,Input!$AA$20)-MAX(AI42,$AA$22))</f>
        <v/>
      </c>
      <c r="BP42" s="68">
        <f>MAX(0,MIN(AJ42,$AA$225)-AI42)</f>
        <v/>
      </c>
      <c r="BQ42" s="68" t="inlineStr"/>
    </row>
    <row r="43">
      <c r="B43" s="9" t="n"/>
      <c r="C43" s="57" t="n">
        <v>16</v>
      </c>
      <c r="D43" s="41" t="n"/>
      <c r="E43" s="55">
        <f>AI43</f>
        <v/>
      </c>
      <c r="F43" s="41" t="n"/>
      <c r="G43" s="41" t="n"/>
      <c r="H43" s="55">
        <f>AJ43</f>
        <v/>
      </c>
      <c r="I43" s="41" t="n"/>
      <c r="J43" s="41" t="n"/>
      <c r="K43" s="52">
        <f>AM43</f>
        <v/>
      </c>
      <c r="L43" s="41" t="n"/>
      <c r="M43" s="41" t="n"/>
      <c r="N43" s="57">
        <f>AN43</f>
        <v/>
      </c>
      <c r="O43" s="41" t="n"/>
      <c r="P43" s="41" t="n"/>
      <c r="Q43" s="53">
        <f>AO43</f>
        <v/>
      </c>
      <c r="R43" s="41" t="n"/>
      <c r="S43" s="41" t="n"/>
      <c r="T43" s="57">
        <f>IF(AR43="","-",AR43)</f>
        <v/>
      </c>
      <c r="U43" s="41" t="n"/>
      <c r="V43" s="57">
        <f>IF(AT43="","-",AT43)</f>
        <v/>
      </c>
      <c r="W43" s="41" t="n"/>
      <c r="X43" s="55">
        <f>AU43</f>
        <v/>
      </c>
      <c r="Y43" s="41" t="n"/>
      <c r="Z43" s="66">
        <f>AV43</f>
        <v/>
      </c>
      <c r="AA43" s="41" t="n"/>
      <c r="AB43" s="41" t="n"/>
      <c r="AC43" s="53">
        <f>AW43</f>
        <v/>
      </c>
      <c r="AD43" s="41" t="n"/>
      <c r="AE43" s="41" t="n"/>
      <c r="AF43" s="15" t="n"/>
      <c r="AI43" s="67" t="n">
        <v>22.5</v>
      </c>
      <c r="AJ43" s="67" t="n">
        <v>24</v>
      </c>
      <c r="AK43" s="68">
        <f>AJ43-AI43</f>
        <v/>
      </c>
      <c r="AL43" s="68">
        <f>(AI43+AJ43)/2</f>
        <v/>
      </c>
      <c r="AM43" s="67" t="inlineStr">
        <is>
          <t>Sand</t>
        </is>
      </c>
      <c r="AN43" s="67" t="n">
        <v>50</v>
      </c>
      <c r="AO43" s="68">
        <f>IF(AL43&gt;$AA$19,$AA$21,$AA$20)</f>
        <v/>
      </c>
      <c r="AP43" s="68">
        <f>AP42+AO43*AK43</f>
        <v/>
      </c>
      <c r="AQ43" s="68">
        <f>AP43-AO43*AK43/2-10*MAX(AL43-$AA$19,0)</f>
        <v/>
      </c>
      <c r="AR43" s="67" t="n"/>
      <c r="AS43" s="67" t="n"/>
      <c r="AT43" s="68">
        <f>IF(AR43="","",AR43-AS43)</f>
        <v/>
      </c>
      <c r="AU43" s="67" t="n">
        <v>0.65</v>
      </c>
      <c r="AV43" s="68">
        <f>IF(AM43="Sand",0,Input!$AA$31*AN43)</f>
        <v/>
      </c>
      <c r="AW43" s="68">
        <f>IF(AM43="Sand",27.1+0.3*MIN(Input!$AA$32*AN43,60)-0.00054*MIN(Input!$AA$32*AN43,60)^2,MIN(MAX(DEGREES(ASIN(0.8-0.094*LN(MAX(IF(AT43="",10,AT43),5)))),20),30))</f>
        <v/>
      </c>
      <c r="AX43" s="68">
        <f>IF(AM43="Sand",Input!$AA$33*Input!$AA$32*AN43,Input!$AA$34*AV43)</f>
        <v/>
      </c>
      <c r="AY43" s="68">
        <f>IF(AM43="Sand",Input!$AA$35,0.5)</f>
        <v/>
      </c>
      <c r="AZ43" s="68">
        <f>Input!$AA$15/2/AL43</f>
        <v/>
      </c>
      <c r="BA43" s="68">
        <f>Input!$AA$16/2/AL43</f>
        <v/>
      </c>
      <c r="BB43" s="68">
        <f>1/(4*PI())*(2*AZ43*BA43*SQRT(AZ43^2+BA43^2+1)/(AZ43^2+BA43^2+1+AZ43^2*BA43^2)*(AZ43^2+BA43^2+2)/(AZ43^2+BA43^2+1)+ATAN2(AZ43^2+BA43^2+1-AZ43^2*BA43^2,2*AZ43*BA43*SQRT(AZ43^2+BA43^2+1)))</f>
        <v/>
      </c>
      <c r="BC43" s="68">
        <f>4*Input!$AA$14*BB43</f>
        <v/>
      </c>
      <c r="BD43" s="68">
        <f>((Input!$AA$16/Input!$AA$15)*LN((1+SQRT((Input!$AA$16/Input!$AA$15)^2+1))*SQRT((Input!$AA$16/Input!$AA$15)^2+(AJ43/(Input!$AA$15/2))^2)/((Input!$AA$16/Input!$AA$15)*(1+SQRT((Input!$AA$16/Input!$AA$15)^2+(AJ43/(Input!$AA$15/2))^2+1))))+LN(((Input!$AA$16/Input!$AA$15)+SQRT((Input!$AA$16/Input!$AA$15)^2+1))*SQRT(1+(AJ43/(Input!$AA$15/2))^2)/((Input!$AA$16/Input!$AA$15)+SQRT((Input!$AA$16/Input!$AA$15)^2+(AJ43/(Input!$AA$15/2))^2+1))))/PI()</f>
        <v/>
      </c>
      <c r="BE43" s="68">
        <f>(AJ43/(Input!$AA$15/2))/(2*PI())*ATAN((Input!$AA$16/Input!$AA$15)/((AJ43/(Input!$AA$15/2))*SQRT((Input!$AA$16/Input!$AA$15)^2+(AJ43/(Input!$AA$15/2))^2+1)))</f>
        <v/>
      </c>
      <c r="BF43" s="68">
        <f>MAX(0,AJ43-MAX(AI43,$AA$22))/AK43*IF(BC43&gt;=Input!$AA$21*AQ43,1,0)</f>
        <v/>
      </c>
      <c r="BG43" s="68">
        <f>4*Input!$AA$14*(Input!$AA$15/2)*(1-AY43^2)/AX43*((BD43-BD42)+(1-2*AY43)/(1-AY43)*(BE43-BE42))*1000*BF43</f>
        <v/>
      </c>
      <c r="BH43" s="68">
        <f>IF(AM43="Sand",0,0.009*(AR43-10))</f>
        <v/>
      </c>
      <c r="BI43" s="68">
        <f>BH43*Input!$AA$36</f>
        <v/>
      </c>
      <c r="BJ43" s="68">
        <f>IF(AM43="Sand",0,MAX(AV43/Input!$AA$37,AQ43))</f>
        <v/>
      </c>
      <c r="BK43" s="68">
        <f>IF(AM43="Sand",0,1000*AK43/(1+AU43)*IF(AQ43+BC43&lt;=BJ43,BI43*LOG10((AQ43+BC43)/AQ43),BI43*LOG10(BJ43/AQ43)+BH43*LOG10((AQ43+BC43)/BJ43)))*BF43</f>
        <v/>
      </c>
      <c r="BL43" s="68">
        <f>IF(AM43="Sand",0,10^(INDEX(Input!$Q$48:$Q$54,MIN(MATCH(MIN(MAX(AR43,30),120),Input!$C$48:$C$54,1),6))+(MIN(MAX(AR43,30),120)-INDEX(Input!$C$48:$C$54,MIN(MATCH(MIN(MAX(AR43,30),120),Input!$C$48:$C$54,1),6)))/(INDEX(Input!$C$48:$C$54,MIN(MATCH(MIN(MAX(AR43,30),120),Input!$C$48:$C$54,1),6)+1)-INDEX(Input!$C$48:$C$54,MIN(MATCH(MIN(MAX(AR43,30),120),Input!$C$48:$C$54,1),6)))*(INDEX(Input!$Q$48:$Q$54,MIN(MATCH(MIN(MAX(AR43,30),120),Input!$C$48:$C$54,1),6)+1)-INDEX(Input!$Q$48:$Q$54,MIN(MATCH(MIN(MAX(AR43,30),120),Input!$C$48:$C$54,1),6)))))</f>
        <v/>
      </c>
      <c r="BM43" s="68">
        <f>IF(OR(AM43="Sand",BF43=0),0,Input!$AA$38*(AK43/2)^2/(BL43*1E-4*31536000))</f>
        <v/>
      </c>
      <c r="BN43" s="68">
        <f>MAX(0,MIN(AJ43,Input!$AA$20)-AI43)</f>
        <v/>
      </c>
      <c r="BO43" s="68">
        <f>MAX(0,MIN(AJ43,Input!$AA$20)-MAX(AI43,$AA$22))</f>
        <v/>
      </c>
      <c r="BP43" s="68">
        <f>MAX(0,MIN(AJ43,$AA$225)-AI43)</f>
        <v/>
      </c>
      <c r="BQ43" s="68" t="inlineStr"/>
    </row>
    <row r="44">
      <c r="B44" s="9" t="n"/>
      <c r="C44" s="57" t="n">
        <v>17</v>
      </c>
      <c r="D44" s="41" t="n"/>
      <c r="E44" s="55">
        <f>AI44</f>
        <v/>
      </c>
      <c r="F44" s="41" t="n"/>
      <c r="G44" s="41" t="n"/>
      <c r="H44" s="55">
        <f>AJ44</f>
        <v/>
      </c>
      <c r="I44" s="41" t="n"/>
      <c r="J44" s="41" t="n"/>
      <c r="K44" s="52">
        <f>AM44</f>
        <v/>
      </c>
      <c r="L44" s="41" t="n"/>
      <c r="M44" s="41" t="n"/>
      <c r="N44" s="57">
        <f>AN44</f>
        <v/>
      </c>
      <c r="O44" s="41" t="n"/>
      <c r="P44" s="41" t="n"/>
      <c r="Q44" s="53">
        <f>AO44</f>
        <v/>
      </c>
      <c r="R44" s="41" t="n"/>
      <c r="S44" s="41" t="n"/>
      <c r="T44" s="57">
        <f>IF(AR44="","-",AR44)</f>
        <v/>
      </c>
      <c r="U44" s="41" t="n"/>
      <c r="V44" s="57">
        <f>IF(AT44="","-",AT44)</f>
        <v/>
      </c>
      <c r="W44" s="41" t="n"/>
      <c r="X44" s="55">
        <f>AU44</f>
        <v/>
      </c>
      <c r="Y44" s="41" t="n"/>
      <c r="Z44" s="66">
        <f>AV44</f>
        <v/>
      </c>
      <c r="AA44" s="41" t="n"/>
      <c r="AB44" s="41" t="n"/>
      <c r="AC44" s="53">
        <f>AW44</f>
        <v/>
      </c>
      <c r="AD44" s="41" t="n"/>
      <c r="AE44" s="41" t="n"/>
      <c r="AF44" s="15" t="n"/>
      <c r="AI44" s="67" t="n">
        <v>24</v>
      </c>
      <c r="AJ44" s="67" t="n">
        <v>25.5</v>
      </c>
      <c r="AK44" s="68">
        <f>AJ44-AI44</f>
        <v/>
      </c>
      <c r="AL44" s="68">
        <f>(AI44+AJ44)/2</f>
        <v/>
      </c>
      <c r="AM44" s="67" t="inlineStr">
        <is>
          <t>Sand</t>
        </is>
      </c>
      <c r="AN44" s="67" t="n">
        <v>40</v>
      </c>
      <c r="AO44" s="68">
        <f>IF(AL44&gt;$AA$19,$AA$21,$AA$20)</f>
        <v/>
      </c>
      <c r="AP44" s="68">
        <f>AP43+AO44*AK44</f>
        <v/>
      </c>
      <c r="AQ44" s="68">
        <f>AP44-AO44*AK44/2-10*MAX(AL44-$AA$19,0)</f>
        <v/>
      </c>
      <c r="AR44" s="67" t="n"/>
      <c r="AS44" s="67" t="n"/>
      <c r="AT44" s="68">
        <f>IF(AR44="","",AR44-AS44)</f>
        <v/>
      </c>
      <c r="AU44" s="67" t="n">
        <v>0.65</v>
      </c>
      <c r="AV44" s="68">
        <f>IF(AM44="Sand",0,Input!$AA$31*AN44)</f>
        <v/>
      </c>
      <c r="AW44" s="68">
        <f>IF(AM44="Sand",27.1+0.3*MIN(Input!$AA$32*AN44,60)-0.00054*MIN(Input!$AA$32*AN44,60)^2,MIN(MAX(DEGREES(ASIN(0.8-0.094*LN(MAX(IF(AT44="",10,AT44),5)))),20),30))</f>
        <v/>
      </c>
      <c r="AX44" s="68">
        <f>IF(AM44="Sand",Input!$AA$33*Input!$AA$32*AN44,Input!$AA$34*AV44)</f>
        <v/>
      </c>
      <c r="AY44" s="68">
        <f>IF(AM44="Sand",Input!$AA$35,0.5)</f>
        <v/>
      </c>
      <c r="AZ44" s="68">
        <f>Input!$AA$15/2/AL44</f>
        <v/>
      </c>
      <c r="BA44" s="68">
        <f>Input!$AA$16/2/AL44</f>
        <v/>
      </c>
      <c r="BB44" s="68">
        <f>1/(4*PI())*(2*AZ44*BA44*SQRT(AZ44^2+BA44^2+1)/(AZ44^2+BA44^2+1+AZ44^2*BA44^2)*(AZ44^2+BA44^2+2)/(AZ44^2+BA44^2+1)+ATAN2(AZ44^2+BA44^2+1-AZ44^2*BA44^2,2*AZ44*BA44*SQRT(AZ44^2+BA44^2+1)))</f>
        <v/>
      </c>
      <c r="BC44" s="68">
        <f>4*Input!$AA$14*BB44</f>
        <v/>
      </c>
      <c r="BD44" s="68">
        <f>((Input!$AA$16/Input!$AA$15)*LN((1+SQRT((Input!$AA$16/Input!$AA$15)^2+1))*SQRT((Input!$AA$16/Input!$AA$15)^2+(AJ44/(Input!$AA$15/2))^2)/((Input!$AA$16/Input!$AA$15)*(1+SQRT((Input!$AA$16/Input!$AA$15)^2+(AJ44/(Input!$AA$15/2))^2+1))))+LN(((Input!$AA$16/Input!$AA$15)+SQRT((Input!$AA$16/Input!$AA$15)^2+1))*SQRT(1+(AJ44/(Input!$AA$15/2))^2)/((Input!$AA$16/Input!$AA$15)+SQRT((Input!$AA$16/Input!$AA$15)^2+(AJ44/(Input!$AA$15/2))^2+1))))/PI()</f>
        <v/>
      </c>
      <c r="BE44" s="68">
        <f>(AJ44/(Input!$AA$15/2))/(2*PI())*ATAN((Input!$AA$16/Input!$AA$15)/((AJ44/(Input!$AA$15/2))*SQRT((Input!$AA$16/Input!$AA$15)^2+(AJ44/(Input!$AA$15/2))^2+1)))</f>
        <v/>
      </c>
      <c r="BF44" s="68">
        <f>MAX(0,AJ44-MAX(AI44,$AA$22))/AK44*IF(BC44&gt;=Input!$AA$21*AQ44,1,0)</f>
        <v/>
      </c>
      <c r="BG44" s="68">
        <f>4*Input!$AA$14*(Input!$AA$15/2)*(1-AY44^2)/AX44*((BD44-BD43)+(1-2*AY44)/(1-AY44)*(BE44-BE43))*1000*BF44</f>
        <v/>
      </c>
      <c r="BH44" s="68">
        <f>IF(AM44="Sand",0,0.009*(AR44-10))</f>
        <v/>
      </c>
      <c r="BI44" s="68">
        <f>BH44*Input!$AA$36</f>
        <v/>
      </c>
      <c r="BJ44" s="68">
        <f>IF(AM44="Sand",0,MAX(AV44/Input!$AA$37,AQ44))</f>
        <v/>
      </c>
      <c r="BK44" s="68">
        <f>IF(AM44="Sand",0,1000*AK44/(1+AU44)*IF(AQ44+BC44&lt;=BJ44,BI44*LOG10((AQ44+BC44)/AQ44),BI44*LOG10(BJ44/AQ44)+BH44*LOG10((AQ44+BC44)/BJ44)))*BF44</f>
        <v/>
      </c>
      <c r="BL44" s="68">
        <f>IF(AM44="Sand",0,10^(INDEX(Input!$Q$48:$Q$54,MIN(MATCH(MIN(MAX(AR44,30),120),Input!$C$48:$C$54,1),6))+(MIN(MAX(AR44,30),120)-INDEX(Input!$C$48:$C$54,MIN(MATCH(MIN(MAX(AR44,30),120),Input!$C$48:$C$54,1),6)))/(INDEX(Input!$C$48:$C$54,MIN(MATCH(MIN(MAX(AR44,30),120),Input!$C$48:$C$54,1),6)+1)-INDEX(Input!$C$48:$C$54,MIN(MATCH(MIN(MAX(AR44,30),120),Input!$C$48:$C$54,1),6)))*(INDEX(Input!$Q$48:$Q$54,MIN(MATCH(MIN(MAX(AR44,30),120),Input!$C$48:$C$54,1),6)+1)-INDEX(Input!$Q$48:$Q$54,MIN(MATCH(MIN(MAX(AR44,30),120),Input!$C$48:$C$54,1),6)))))</f>
        <v/>
      </c>
      <c r="BM44" s="68">
        <f>IF(OR(AM44="Sand",BF44=0),0,Input!$AA$38*(AK44/2)^2/(BL44*1E-4*31536000))</f>
        <v/>
      </c>
      <c r="BN44" s="68">
        <f>MAX(0,MIN(AJ44,Input!$AA$20)-AI44)</f>
        <v/>
      </c>
      <c r="BO44" s="68">
        <f>MAX(0,MIN(AJ44,Input!$AA$20)-MAX(AI44,$AA$22))</f>
        <v/>
      </c>
      <c r="BP44" s="68">
        <f>MAX(0,MIN(AJ44,$AA$225)-AI44)</f>
        <v/>
      </c>
      <c r="BQ44" s="68" t="inlineStr"/>
    </row>
    <row r="45">
      <c r="B45" s="9" t="n"/>
      <c r="C45" s="57" t="n">
        <v>18</v>
      </c>
      <c r="D45" s="41" t="n"/>
      <c r="E45" s="55">
        <f>AI45</f>
        <v/>
      </c>
      <c r="F45" s="41" t="n"/>
      <c r="G45" s="41" t="n"/>
      <c r="H45" s="55">
        <f>AJ45</f>
        <v/>
      </c>
      <c r="I45" s="41" t="n"/>
      <c r="J45" s="41" t="n"/>
      <c r="K45" s="52">
        <f>AM45</f>
        <v/>
      </c>
      <c r="L45" s="41" t="n"/>
      <c r="M45" s="41" t="n"/>
      <c r="N45" s="57">
        <f>AN45</f>
        <v/>
      </c>
      <c r="O45" s="41" t="n"/>
      <c r="P45" s="41" t="n"/>
      <c r="Q45" s="53">
        <f>AO45</f>
        <v/>
      </c>
      <c r="R45" s="41" t="n"/>
      <c r="S45" s="41" t="n"/>
      <c r="T45" s="57">
        <f>IF(AR45="","-",AR45)</f>
        <v/>
      </c>
      <c r="U45" s="41" t="n"/>
      <c r="V45" s="57">
        <f>IF(AT45="","-",AT45)</f>
        <v/>
      </c>
      <c r="W45" s="41" t="n"/>
      <c r="X45" s="55">
        <f>AU45</f>
        <v/>
      </c>
      <c r="Y45" s="41" t="n"/>
      <c r="Z45" s="66">
        <f>AV45</f>
        <v/>
      </c>
      <c r="AA45" s="41" t="n"/>
      <c r="AB45" s="41" t="n"/>
      <c r="AC45" s="53">
        <f>AW45</f>
        <v/>
      </c>
      <c r="AD45" s="41" t="n"/>
      <c r="AE45" s="41" t="n"/>
      <c r="AF45" s="15" t="n"/>
      <c r="AI45" s="67" t="n">
        <v>25.5</v>
      </c>
      <c r="AJ45" s="67" t="n">
        <v>27</v>
      </c>
      <c r="AK45" s="68">
        <f>AJ45-AI45</f>
        <v/>
      </c>
      <c r="AL45" s="68">
        <f>(AI45+AJ45)/2</f>
        <v/>
      </c>
      <c r="AM45" s="67" t="inlineStr">
        <is>
          <t>Sand</t>
        </is>
      </c>
      <c r="AN45" s="67" t="n">
        <v>21</v>
      </c>
      <c r="AO45" s="68">
        <f>IF(AL45&gt;$AA$19,$AA$21,$AA$20)</f>
        <v/>
      </c>
      <c r="AP45" s="68">
        <f>AP44+AO45*AK45</f>
        <v/>
      </c>
      <c r="AQ45" s="68">
        <f>AP45-AO45*AK45/2-10*MAX(AL45-$AA$19,0)</f>
        <v/>
      </c>
      <c r="AR45" s="67" t="n"/>
      <c r="AS45" s="67" t="n"/>
      <c r="AT45" s="68">
        <f>IF(AR45="","",AR45-AS45)</f>
        <v/>
      </c>
      <c r="AU45" s="67" t="n">
        <v>0.73</v>
      </c>
      <c r="AV45" s="68">
        <f>IF(AM45="Sand",0,Input!$AA$31*AN45)</f>
        <v/>
      </c>
      <c r="AW45" s="68">
        <f>IF(AM45="Sand",27.1+0.3*MIN(Input!$AA$32*AN45,60)-0.00054*MIN(Input!$AA$32*AN45,60)^2,MIN(MAX(DEGREES(ASIN(0.8-0.094*LN(MAX(IF(AT45="",10,AT45),5)))),20),30))</f>
        <v/>
      </c>
      <c r="AX45" s="68">
        <f>IF(AM45="Sand",Input!$AA$33*Input!$AA$32*AN45,Input!$AA$34*AV45)</f>
        <v/>
      </c>
      <c r="AY45" s="68">
        <f>IF(AM45="Sand",Input!$AA$35,0.5)</f>
        <v/>
      </c>
      <c r="AZ45" s="68">
        <f>Input!$AA$15/2/AL45</f>
        <v/>
      </c>
      <c r="BA45" s="68">
        <f>Input!$AA$16/2/AL45</f>
        <v/>
      </c>
      <c r="BB45" s="68">
        <f>1/(4*PI())*(2*AZ45*BA45*SQRT(AZ45^2+BA45^2+1)/(AZ45^2+BA45^2+1+AZ45^2*BA45^2)*(AZ45^2+BA45^2+2)/(AZ45^2+BA45^2+1)+ATAN2(AZ45^2+BA45^2+1-AZ45^2*BA45^2,2*AZ45*BA45*SQRT(AZ45^2+BA45^2+1)))</f>
        <v/>
      </c>
      <c r="BC45" s="68">
        <f>4*Input!$AA$14*BB45</f>
        <v/>
      </c>
      <c r="BD45" s="68">
        <f>((Input!$AA$16/Input!$AA$15)*LN((1+SQRT((Input!$AA$16/Input!$AA$15)^2+1))*SQRT((Input!$AA$16/Input!$AA$15)^2+(AJ45/(Input!$AA$15/2))^2)/((Input!$AA$16/Input!$AA$15)*(1+SQRT((Input!$AA$16/Input!$AA$15)^2+(AJ45/(Input!$AA$15/2))^2+1))))+LN(((Input!$AA$16/Input!$AA$15)+SQRT((Input!$AA$16/Input!$AA$15)^2+1))*SQRT(1+(AJ45/(Input!$AA$15/2))^2)/((Input!$AA$16/Input!$AA$15)+SQRT((Input!$AA$16/Input!$AA$15)^2+(AJ45/(Input!$AA$15/2))^2+1))))/PI()</f>
        <v/>
      </c>
      <c r="BE45" s="68">
        <f>(AJ45/(Input!$AA$15/2))/(2*PI())*ATAN((Input!$AA$16/Input!$AA$15)/((AJ45/(Input!$AA$15/2))*SQRT((Input!$AA$16/Input!$AA$15)^2+(AJ45/(Input!$AA$15/2))^2+1)))</f>
        <v/>
      </c>
      <c r="BF45" s="68">
        <f>MAX(0,AJ45-MAX(AI45,$AA$22))/AK45*IF(BC45&gt;=Input!$AA$21*AQ45,1,0)</f>
        <v/>
      </c>
      <c r="BG45" s="68">
        <f>4*Input!$AA$14*(Input!$AA$15/2)*(1-AY45^2)/AX45*((BD45-BD44)+(1-2*AY45)/(1-AY45)*(BE45-BE44))*1000*BF45</f>
        <v/>
      </c>
      <c r="BH45" s="68">
        <f>IF(AM45="Sand",0,0.009*(AR45-10))</f>
        <v/>
      </c>
      <c r="BI45" s="68">
        <f>BH45*Input!$AA$36</f>
        <v/>
      </c>
      <c r="BJ45" s="68">
        <f>IF(AM45="Sand",0,MAX(AV45/Input!$AA$37,AQ45))</f>
        <v/>
      </c>
      <c r="BK45" s="68">
        <f>IF(AM45="Sand",0,1000*AK45/(1+AU45)*IF(AQ45+BC45&lt;=BJ45,BI45*LOG10((AQ45+BC45)/AQ45),BI45*LOG10(BJ45/AQ45)+BH45*LOG10((AQ45+BC45)/BJ45)))*BF45</f>
        <v/>
      </c>
      <c r="BL45" s="68">
        <f>IF(AM45="Sand",0,10^(INDEX(Input!$Q$48:$Q$54,MIN(MATCH(MIN(MAX(AR45,30),120),Input!$C$48:$C$54,1),6))+(MIN(MAX(AR45,30),120)-INDEX(Input!$C$48:$C$54,MIN(MATCH(MIN(MAX(AR45,30),120),Input!$C$48:$C$54,1),6)))/(INDEX(Input!$C$48:$C$54,MIN(MATCH(MIN(MAX(AR45,30),120),Input!$C$48:$C$54,1),6)+1)-INDEX(Input!$C$48:$C$54,MIN(MATCH(MIN(MAX(AR45,30),120),Input!$C$48:$C$54,1),6)))*(INDEX(Input!$Q$48:$Q$54,MIN(MATCH(MIN(MAX(AR45,30),120),Input!$C$48:$C$54,1),6)+1)-INDEX(Input!$Q$48:$Q$54,MIN(MATCH(MIN(MAX(AR45,30),120),Input!$C$48:$C$54,1),6)))))</f>
        <v/>
      </c>
      <c r="BM45" s="68">
        <f>IF(OR(AM45="Sand",BF45=0),0,Input!$AA$38*(AK45/2)^2/(BL45*1E-4*31536000))</f>
        <v/>
      </c>
      <c r="BN45" s="68">
        <f>MAX(0,MIN(AJ45,Input!$AA$20)-AI45)</f>
        <v/>
      </c>
      <c r="BO45" s="68">
        <f>MAX(0,MIN(AJ45,Input!$AA$20)-MAX(AI45,$AA$22))</f>
        <v/>
      </c>
      <c r="BP45" s="68">
        <f>MAX(0,MIN(AJ45,$AA$225)-AI45)</f>
        <v/>
      </c>
      <c r="BQ45" s="68" t="inlineStr">
        <is>
          <t>data copied from BH-02</t>
        </is>
      </c>
    </row>
    <row r="46">
      <c r="B46" s="9" t="n"/>
      <c r="C46" s="57" t="n">
        <v>19</v>
      </c>
      <c r="D46" s="41" t="n"/>
      <c r="E46" s="55">
        <f>AI46</f>
        <v/>
      </c>
      <c r="F46" s="41" t="n"/>
      <c r="G46" s="41" t="n"/>
      <c r="H46" s="55">
        <f>AJ46</f>
        <v/>
      </c>
      <c r="I46" s="41" t="n"/>
      <c r="J46" s="41" t="n"/>
      <c r="K46" s="52">
        <f>AM46</f>
        <v/>
      </c>
      <c r="L46" s="41" t="n"/>
      <c r="M46" s="41" t="n"/>
      <c r="N46" s="57">
        <f>AN46</f>
        <v/>
      </c>
      <c r="O46" s="41" t="n"/>
      <c r="P46" s="41" t="n"/>
      <c r="Q46" s="53">
        <f>AO46</f>
        <v/>
      </c>
      <c r="R46" s="41" t="n"/>
      <c r="S46" s="41" t="n"/>
      <c r="T46" s="57">
        <f>IF(AR46="","-",AR46)</f>
        <v/>
      </c>
      <c r="U46" s="41" t="n"/>
      <c r="V46" s="57">
        <f>IF(AT46="","-",AT46)</f>
        <v/>
      </c>
      <c r="W46" s="41" t="n"/>
      <c r="X46" s="55">
        <f>AU46</f>
        <v/>
      </c>
      <c r="Y46" s="41" t="n"/>
      <c r="Z46" s="66">
        <f>AV46</f>
        <v/>
      </c>
      <c r="AA46" s="41" t="n"/>
      <c r="AB46" s="41" t="n"/>
      <c r="AC46" s="53">
        <f>AW46</f>
        <v/>
      </c>
      <c r="AD46" s="41" t="n"/>
      <c r="AE46" s="41" t="n"/>
      <c r="AF46" s="15" t="n"/>
      <c r="AI46" s="67" t="n">
        <v>27</v>
      </c>
      <c r="AJ46" s="67" t="n">
        <v>28.5</v>
      </c>
      <c r="AK46" s="68">
        <f>AJ46-AI46</f>
        <v/>
      </c>
      <c r="AL46" s="68">
        <f>(AI46+AJ46)/2</f>
        <v/>
      </c>
      <c r="AM46" s="67" t="inlineStr">
        <is>
          <t>Sand</t>
        </is>
      </c>
      <c r="AN46" s="67" t="n">
        <v>31</v>
      </c>
      <c r="AO46" s="68">
        <f>IF(AL46&gt;$AA$19,$AA$21,$AA$20)</f>
        <v/>
      </c>
      <c r="AP46" s="68">
        <f>AP45+AO46*AK46</f>
        <v/>
      </c>
      <c r="AQ46" s="68">
        <f>AP46-AO46*AK46/2-10*MAX(AL46-$AA$19,0)</f>
        <v/>
      </c>
      <c r="AR46" s="67" t="n"/>
      <c r="AS46" s="67" t="n"/>
      <c r="AT46" s="68">
        <f>IF(AR46="","",AR46-AS46)</f>
        <v/>
      </c>
      <c r="AU46" s="67" t="n">
        <v>0.65</v>
      </c>
      <c r="AV46" s="68">
        <f>IF(AM46="Sand",0,Input!$AA$31*AN46)</f>
        <v/>
      </c>
      <c r="AW46" s="68">
        <f>IF(AM46="Sand",27.1+0.3*MIN(Input!$AA$32*AN46,60)-0.00054*MIN(Input!$AA$32*AN46,60)^2,MIN(MAX(DEGREES(ASIN(0.8-0.094*LN(MAX(IF(AT46="",10,AT46),5)))),20),30))</f>
        <v/>
      </c>
      <c r="AX46" s="68">
        <f>IF(AM46="Sand",Input!$AA$33*Input!$AA$32*AN46,Input!$AA$34*AV46)</f>
        <v/>
      </c>
      <c r="AY46" s="68">
        <f>IF(AM46="Sand",Input!$AA$35,0.5)</f>
        <v/>
      </c>
      <c r="AZ46" s="68">
        <f>Input!$AA$15/2/AL46</f>
        <v/>
      </c>
      <c r="BA46" s="68">
        <f>Input!$AA$16/2/AL46</f>
        <v/>
      </c>
      <c r="BB46" s="68">
        <f>1/(4*PI())*(2*AZ46*BA46*SQRT(AZ46^2+BA46^2+1)/(AZ46^2+BA46^2+1+AZ46^2*BA46^2)*(AZ46^2+BA46^2+2)/(AZ46^2+BA46^2+1)+ATAN2(AZ46^2+BA46^2+1-AZ46^2*BA46^2,2*AZ46*BA46*SQRT(AZ46^2+BA46^2+1)))</f>
        <v/>
      </c>
      <c r="BC46" s="68">
        <f>4*Input!$AA$14*BB46</f>
        <v/>
      </c>
      <c r="BD46" s="68">
        <f>((Input!$AA$16/Input!$AA$15)*LN((1+SQRT((Input!$AA$16/Input!$AA$15)^2+1))*SQRT((Input!$AA$16/Input!$AA$15)^2+(AJ46/(Input!$AA$15/2))^2)/((Input!$AA$16/Input!$AA$15)*(1+SQRT((Input!$AA$16/Input!$AA$15)^2+(AJ46/(Input!$AA$15/2))^2+1))))+LN(((Input!$AA$16/Input!$AA$15)+SQRT((Input!$AA$16/Input!$AA$15)^2+1))*SQRT(1+(AJ46/(Input!$AA$15/2))^2)/((Input!$AA$16/Input!$AA$15)+SQRT((Input!$AA$16/Input!$AA$15)^2+(AJ46/(Input!$AA$15/2))^2+1))))/PI()</f>
        <v/>
      </c>
      <c r="BE46" s="68">
        <f>(AJ46/(Input!$AA$15/2))/(2*PI())*ATAN((Input!$AA$16/Input!$AA$15)/((AJ46/(Input!$AA$15/2))*SQRT((Input!$AA$16/Input!$AA$15)^2+(AJ46/(Input!$AA$15/2))^2+1)))</f>
        <v/>
      </c>
      <c r="BF46" s="68">
        <f>MAX(0,AJ46-MAX(AI46,$AA$22))/AK46*IF(BC46&gt;=Input!$AA$21*AQ46,1,0)</f>
        <v/>
      </c>
      <c r="BG46" s="68">
        <f>4*Input!$AA$14*(Input!$AA$15/2)*(1-AY46^2)/AX46*((BD46-BD45)+(1-2*AY46)/(1-AY46)*(BE46-BE45))*1000*BF46</f>
        <v/>
      </c>
      <c r="BH46" s="68">
        <f>IF(AM46="Sand",0,0.009*(AR46-10))</f>
        <v/>
      </c>
      <c r="BI46" s="68">
        <f>BH46*Input!$AA$36</f>
        <v/>
      </c>
      <c r="BJ46" s="68">
        <f>IF(AM46="Sand",0,MAX(AV46/Input!$AA$37,AQ46))</f>
        <v/>
      </c>
      <c r="BK46" s="68">
        <f>IF(AM46="Sand",0,1000*AK46/(1+AU46)*IF(AQ46+BC46&lt;=BJ46,BI46*LOG10((AQ46+BC46)/AQ46),BI46*LOG10(BJ46/AQ46)+BH46*LOG10((AQ46+BC46)/BJ46)))*BF46</f>
        <v/>
      </c>
      <c r="BL46" s="68">
        <f>IF(AM46="Sand",0,10^(INDEX(Input!$Q$48:$Q$54,MIN(MATCH(MIN(MAX(AR46,30),120),Input!$C$48:$C$54,1),6))+(MIN(MAX(AR46,30),120)-INDEX(Input!$C$48:$C$54,MIN(MATCH(MIN(MAX(AR46,30),120),Input!$C$48:$C$54,1),6)))/(INDEX(Input!$C$48:$C$54,MIN(MATCH(MIN(MAX(AR46,30),120),Input!$C$48:$C$54,1),6)+1)-INDEX(Input!$C$48:$C$54,MIN(MATCH(MIN(MAX(AR46,30),120),Input!$C$48:$C$54,1),6)))*(INDEX(Input!$Q$48:$Q$54,MIN(MATCH(MIN(MAX(AR46,30),120),Input!$C$48:$C$54,1),6)+1)-INDEX(Input!$Q$48:$Q$54,MIN(MATCH(MIN(MAX(AR46,30),120),Input!$C$48:$C$54,1),6)))))</f>
        <v/>
      </c>
      <c r="BM46" s="68">
        <f>IF(OR(AM46="Sand",BF46=0),0,Input!$AA$38*(AK46/2)^2/(BL46*1E-4*31536000))</f>
        <v/>
      </c>
      <c r="BN46" s="68">
        <f>MAX(0,MIN(AJ46,Input!$AA$20)-AI46)</f>
        <v/>
      </c>
      <c r="BO46" s="68">
        <f>MAX(0,MIN(AJ46,Input!$AA$20)-MAX(AI46,$AA$22))</f>
        <v/>
      </c>
      <c r="BP46" s="68">
        <f>MAX(0,MIN(AJ46,$AA$225)-AI46)</f>
        <v/>
      </c>
      <c r="BQ46" s="68" t="inlineStr">
        <is>
          <t>data copied from BH-02</t>
        </is>
      </c>
    </row>
    <row r="47">
      <c r="B47" s="9" t="n"/>
      <c r="C47" s="57" t="n">
        <v>20</v>
      </c>
      <c r="D47" s="41" t="n"/>
      <c r="E47" s="55">
        <f>AI47</f>
        <v/>
      </c>
      <c r="F47" s="41" t="n"/>
      <c r="G47" s="41" t="n"/>
      <c r="H47" s="55">
        <f>AJ47</f>
        <v/>
      </c>
      <c r="I47" s="41" t="n"/>
      <c r="J47" s="41" t="n"/>
      <c r="K47" s="52">
        <f>AM47</f>
        <v/>
      </c>
      <c r="L47" s="41" t="n"/>
      <c r="M47" s="41" t="n"/>
      <c r="N47" s="57">
        <f>AN47</f>
        <v/>
      </c>
      <c r="O47" s="41" t="n"/>
      <c r="P47" s="41" t="n"/>
      <c r="Q47" s="53">
        <f>AO47</f>
        <v/>
      </c>
      <c r="R47" s="41" t="n"/>
      <c r="S47" s="41" t="n"/>
      <c r="T47" s="57">
        <f>IF(AR47="","-",AR47)</f>
        <v/>
      </c>
      <c r="U47" s="41" t="n"/>
      <c r="V47" s="57">
        <f>IF(AT47="","-",AT47)</f>
        <v/>
      </c>
      <c r="W47" s="41" t="n"/>
      <c r="X47" s="55">
        <f>AU47</f>
        <v/>
      </c>
      <c r="Y47" s="41" t="n"/>
      <c r="Z47" s="66">
        <f>AV47</f>
        <v/>
      </c>
      <c r="AA47" s="41" t="n"/>
      <c r="AB47" s="41" t="n"/>
      <c r="AC47" s="53">
        <f>AW47</f>
        <v/>
      </c>
      <c r="AD47" s="41" t="n"/>
      <c r="AE47" s="41" t="n"/>
      <c r="AF47" s="15" t="n"/>
      <c r="AI47" s="67" t="n">
        <v>28.5</v>
      </c>
      <c r="AJ47" s="67" t="n">
        <v>30</v>
      </c>
      <c r="AK47" s="68">
        <f>AJ47-AI47</f>
        <v/>
      </c>
      <c r="AL47" s="68">
        <f>(AI47+AJ47)/2</f>
        <v/>
      </c>
      <c r="AM47" s="67" t="inlineStr">
        <is>
          <t>Sand</t>
        </is>
      </c>
      <c r="AN47" s="67" t="n">
        <v>50</v>
      </c>
      <c r="AO47" s="68">
        <f>IF(AL47&gt;$AA$19,$AA$21,$AA$20)</f>
        <v/>
      </c>
      <c r="AP47" s="68">
        <f>AP46+AO47*AK47</f>
        <v/>
      </c>
      <c r="AQ47" s="68">
        <f>AP47-AO47*AK47/2-10*MAX(AL47-$AA$19,0)</f>
        <v/>
      </c>
      <c r="AR47" s="67" t="n"/>
      <c r="AS47" s="67" t="n"/>
      <c r="AT47" s="68">
        <f>IF(AR47="","",AR47-AS47)</f>
        <v/>
      </c>
      <c r="AU47" s="67" t="n">
        <v>0.65</v>
      </c>
      <c r="AV47" s="68">
        <f>IF(AM47="Sand",0,Input!$AA$31*AN47)</f>
        <v/>
      </c>
      <c r="AW47" s="68">
        <f>IF(AM47="Sand",27.1+0.3*MIN(Input!$AA$32*AN47,60)-0.00054*MIN(Input!$AA$32*AN47,60)^2,MIN(MAX(DEGREES(ASIN(0.8-0.094*LN(MAX(IF(AT47="",10,AT47),5)))),20),30))</f>
        <v/>
      </c>
      <c r="AX47" s="68">
        <f>IF(AM47="Sand",Input!$AA$33*Input!$AA$32*AN47,Input!$AA$34*AV47)</f>
        <v/>
      </c>
      <c r="AY47" s="68">
        <f>IF(AM47="Sand",Input!$AA$35,0.5)</f>
        <v/>
      </c>
      <c r="AZ47" s="68">
        <f>Input!$AA$15/2/AL47</f>
        <v/>
      </c>
      <c r="BA47" s="68">
        <f>Input!$AA$16/2/AL47</f>
        <v/>
      </c>
      <c r="BB47" s="68">
        <f>1/(4*PI())*(2*AZ47*BA47*SQRT(AZ47^2+BA47^2+1)/(AZ47^2+BA47^2+1+AZ47^2*BA47^2)*(AZ47^2+BA47^2+2)/(AZ47^2+BA47^2+1)+ATAN2(AZ47^2+BA47^2+1-AZ47^2*BA47^2,2*AZ47*BA47*SQRT(AZ47^2+BA47^2+1)))</f>
        <v/>
      </c>
      <c r="BC47" s="68">
        <f>4*Input!$AA$14*BB47</f>
        <v/>
      </c>
      <c r="BD47" s="68">
        <f>((Input!$AA$16/Input!$AA$15)*LN((1+SQRT((Input!$AA$16/Input!$AA$15)^2+1))*SQRT((Input!$AA$16/Input!$AA$15)^2+(AJ47/(Input!$AA$15/2))^2)/((Input!$AA$16/Input!$AA$15)*(1+SQRT((Input!$AA$16/Input!$AA$15)^2+(AJ47/(Input!$AA$15/2))^2+1))))+LN(((Input!$AA$16/Input!$AA$15)+SQRT((Input!$AA$16/Input!$AA$15)^2+1))*SQRT(1+(AJ47/(Input!$AA$15/2))^2)/((Input!$AA$16/Input!$AA$15)+SQRT((Input!$AA$16/Input!$AA$15)^2+(AJ47/(Input!$AA$15/2))^2+1))))/PI()</f>
        <v/>
      </c>
      <c r="BE47" s="68">
        <f>(AJ47/(Input!$AA$15/2))/(2*PI())*ATAN((Input!$AA$16/Input!$AA$15)/((AJ47/(Input!$AA$15/2))*SQRT((Input!$AA$16/Input!$AA$15)^2+(AJ47/(Input!$AA$15/2))^2+1)))</f>
        <v/>
      </c>
      <c r="BF47" s="68">
        <f>MAX(0,AJ47-MAX(AI47,$AA$22))/AK47*IF(BC47&gt;=Input!$AA$21*AQ47,1,0)</f>
        <v/>
      </c>
      <c r="BG47" s="68">
        <f>4*Input!$AA$14*(Input!$AA$15/2)*(1-AY47^2)/AX47*((BD47-BD46)+(1-2*AY47)/(1-AY47)*(BE47-BE46))*1000*BF47</f>
        <v/>
      </c>
      <c r="BH47" s="68">
        <f>IF(AM47="Sand",0,0.009*(AR47-10))</f>
        <v/>
      </c>
      <c r="BI47" s="68">
        <f>BH47*Input!$AA$36</f>
        <v/>
      </c>
      <c r="BJ47" s="68">
        <f>IF(AM47="Sand",0,MAX(AV47/Input!$AA$37,AQ47))</f>
        <v/>
      </c>
      <c r="BK47" s="68">
        <f>IF(AM47="Sand",0,1000*AK47/(1+AU47)*IF(AQ47+BC47&lt;=BJ47,BI47*LOG10((AQ47+BC47)/AQ47),BI47*LOG10(BJ47/AQ47)+BH47*LOG10((AQ47+BC47)/BJ47)))*BF47</f>
        <v/>
      </c>
      <c r="BL47" s="68">
        <f>IF(AM47="Sand",0,10^(INDEX(Input!$Q$48:$Q$54,MIN(MATCH(MIN(MAX(AR47,30),120),Input!$C$48:$C$54,1),6))+(MIN(MAX(AR47,30),120)-INDEX(Input!$C$48:$C$54,MIN(MATCH(MIN(MAX(AR47,30),120),Input!$C$48:$C$54,1),6)))/(INDEX(Input!$C$48:$C$54,MIN(MATCH(MIN(MAX(AR47,30),120),Input!$C$48:$C$54,1),6)+1)-INDEX(Input!$C$48:$C$54,MIN(MATCH(MIN(MAX(AR47,30),120),Input!$C$48:$C$54,1),6)))*(INDEX(Input!$Q$48:$Q$54,MIN(MATCH(MIN(MAX(AR47,30),120),Input!$C$48:$C$54,1),6)+1)-INDEX(Input!$Q$48:$Q$54,MIN(MATCH(MIN(MAX(AR47,30),120),Input!$C$48:$C$54,1),6)))))</f>
        <v/>
      </c>
      <c r="BM47" s="68">
        <f>IF(OR(AM47="Sand",BF47=0),0,Input!$AA$38*(AK47/2)^2/(BL47*1E-4*31536000))</f>
        <v/>
      </c>
      <c r="BN47" s="68">
        <f>MAX(0,MIN(AJ47,Input!$AA$20)-AI47)</f>
        <v/>
      </c>
      <c r="BO47" s="68">
        <f>MAX(0,MIN(AJ47,Input!$AA$20)-MAX(AI47,$AA$22))</f>
        <v/>
      </c>
      <c r="BP47" s="68">
        <f>MAX(0,MIN(AJ47,$AA$225)-AI47)</f>
        <v/>
      </c>
      <c r="BQ47" s="68" t="inlineStr">
        <is>
          <t>data copied from BH-02</t>
        </is>
      </c>
    </row>
    <row r="48">
      <c r="B48" s="9" t="n"/>
      <c r="C48" s="57" t="n">
        <v>21</v>
      </c>
      <c r="D48" s="41" t="n"/>
      <c r="E48" s="55">
        <f>AI48</f>
        <v/>
      </c>
      <c r="F48" s="41" t="n"/>
      <c r="G48" s="41" t="n"/>
      <c r="H48" s="55">
        <f>AJ48</f>
        <v/>
      </c>
      <c r="I48" s="41" t="n"/>
      <c r="J48" s="41" t="n"/>
      <c r="K48" s="52">
        <f>AM48</f>
        <v/>
      </c>
      <c r="L48" s="41" t="n"/>
      <c r="M48" s="41" t="n"/>
      <c r="N48" s="57">
        <f>AN48</f>
        <v/>
      </c>
      <c r="O48" s="41" t="n"/>
      <c r="P48" s="41" t="n"/>
      <c r="Q48" s="53">
        <f>AO48</f>
        <v/>
      </c>
      <c r="R48" s="41" t="n"/>
      <c r="S48" s="41" t="n"/>
      <c r="T48" s="57">
        <f>IF(AR48="","-",AR48)</f>
        <v/>
      </c>
      <c r="U48" s="41" t="n"/>
      <c r="V48" s="57">
        <f>IF(AT48="","-",AT48)</f>
        <v/>
      </c>
      <c r="W48" s="41" t="n"/>
      <c r="X48" s="55">
        <f>AU48</f>
        <v/>
      </c>
      <c r="Y48" s="41" t="n"/>
      <c r="Z48" s="66">
        <f>AV48</f>
        <v/>
      </c>
      <c r="AA48" s="41" t="n"/>
      <c r="AB48" s="41" t="n"/>
      <c r="AC48" s="53">
        <f>AW48</f>
        <v/>
      </c>
      <c r="AD48" s="41" t="n"/>
      <c r="AE48" s="41" t="n"/>
      <c r="AF48" s="15" t="n"/>
      <c r="AI48" s="67" t="n">
        <v>30</v>
      </c>
      <c r="AJ48" s="67" t="n">
        <v>31.5</v>
      </c>
      <c r="AK48" s="68">
        <f>AJ48-AI48</f>
        <v/>
      </c>
      <c r="AL48" s="68">
        <f>(AI48+AJ48)/2</f>
        <v/>
      </c>
      <c r="AM48" s="67" t="inlineStr">
        <is>
          <t>Sand</t>
        </is>
      </c>
      <c r="AN48" s="67" t="n">
        <v>40</v>
      </c>
      <c r="AO48" s="68">
        <f>IF(AL48&gt;$AA$19,$AA$21,$AA$20)</f>
        <v/>
      </c>
      <c r="AP48" s="68">
        <f>AP47+AO48*AK48</f>
        <v/>
      </c>
      <c r="AQ48" s="68">
        <f>AP48-AO48*AK48/2-10*MAX(AL48-$AA$19,0)</f>
        <v/>
      </c>
      <c r="AR48" s="67" t="n"/>
      <c r="AS48" s="67" t="n"/>
      <c r="AT48" s="68">
        <f>IF(AR48="","",AR48-AS48)</f>
        <v/>
      </c>
      <c r="AU48" s="67" t="n">
        <v>0.65</v>
      </c>
      <c r="AV48" s="68">
        <f>IF(AM48="Sand",0,Input!$AA$31*AN48)</f>
        <v/>
      </c>
      <c r="AW48" s="68">
        <f>IF(AM48="Sand",27.1+0.3*MIN(Input!$AA$32*AN48,60)-0.00054*MIN(Input!$AA$32*AN48,60)^2,MIN(MAX(DEGREES(ASIN(0.8-0.094*LN(MAX(IF(AT48="",10,AT48),5)))),20),30))</f>
        <v/>
      </c>
      <c r="AX48" s="68">
        <f>IF(AM48="Sand",Input!$AA$33*Input!$AA$32*AN48,Input!$AA$34*AV48)</f>
        <v/>
      </c>
      <c r="AY48" s="68">
        <f>IF(AM48="Sand",Input!$AA$35,0.5)</f>
        <v/>
      </c>
      <c r="AZ48" s="68">
        <f>Input!$AA$15/2/AL48</f>
        <v/>
      </c>
      <c r="BA48" s="68">
        <f>Input!$AA$16/2/AL48</f>
        <v/>
      </c>
      <c r="BB48" s="68">
        <f>1/(4*PI())*(2*AZ48*BA48*SQRT(AZ48^2+BA48^2+1)/(AZ48^2+BA48^2+1+AZ48^2*BA48^2)*(AZ48^2+BA48^2+2)/(AZ48^2+BA48^2+1)+ATAN2(AZ48^2+BA48^2+1-AZ48^2*BA48^2,2*AZ48*BA48*SQRT(AZ48^2+BA48^2+1)))</f>
        <v/>
      </c>
      <c r="BC48" s="68">
        <f>4*Input!$AA$14*BB48</f>
        <v/>
      </c>
      <c r="BD48" s="68">
        <f>((Input!$AA$16/Input!$AA$15)*LN((1+SQRT((Input!$AA$16/Input!$AA$15)^2+1))*SQRT((Input!$AA$16/Input!$AA$15)^2+(AJ48/(Input!$AA$15/2))^2)/((Input!$AA$16/Input!$AA$15)*(1+SQRT((Input!$AA$16/Input!$AA$15)^2+(AJ48/(Input!$AA$15/2))^2+1))))+LN(((Input!$AA$16/Input!$AA$15)+SQRT((Input!$AA$16/Input!$AA$15)^2+1))*SQRT(1+(AJ48/(Input!$AA$15/2))^2)/((Input!$AA$16/Input!$AA$15)+SQRT((Input!$AA$16/Input!$AA$15)^2+(AJ48/(Input!$AA$15/2))^2+1))))/PI()</f>
        <v/>
      </c>
      <c r="BE48" s="68">
        <f>(AJ48/(Input!$AA$15/2))/(2*PI())*ATAN((Input!$AA$16/Input!$AA$15)/((AJ48/(Input!$AA$15/2))*SQRT((Input!$AA$16/Input!$AA$15)^2+(AJ48/(Input!$AA$15/2))^2+1)))</f>
        <v/>
      </c>
      <c r="BF48" s="68">
        <f>MAX(0,AJ48-MAX(AI48,$AA$22))/AK48*IF(BC48&gt;=Input!$AA$21*AQ48,1,0)</f>
        <v/>
      </c>
      <c r="BG48" s="68">
        <f>4*Input!$AA$14*(Input!$AA$15/2)*(1-AY48^2)/AX48*((BD48-BD47)+(1-2*AY48)/(1-AY48)*(BE48-BE47))*1000*BF48</f>
        <v/>
      </c>
      <c r="BH48" s="68">
        <f>IF(AM48="Sand",0,0.009*(AR48-10))</f>
        <v/>
      </c>
      <c r="BI48" s="68">
        <f>BH48*Input!$AA$36</f>
        <v/>
      </c>
      <c r="BJ48" s="68">
        <f>IF(AM48="Sand",0,MAX(AV48/Input!$AA$37,AQ48))</f>
        <v/>
      </c>
      <c r="BK48" s="68">
        <f>IF(AM48="Sand",0,1000*AK48/(1+AU48)*IF(AQ48+BC48&lt;=BJ48,BI48*LOG10((AQ48+BC48)/AQ48),BI48*LOG10(BJ48/AQ48)+BH48*LOG10((AQ48+BC48)/BJ48)))*BF48</f>
        <v/>
      </c>
      <c r="BL48" s="68">
        <f>IF(AM48="Sand",0,10^(INDEX(Input!$Q$48:$Q$54,MIN(MATCH(MIN(MAX(AR48,30),120),Input!$C$48:$C$54,1),6))+(MIN(MAX(AR48,30),120)-INDEX(Input!$C$48:$C$54,MIN(MATCH(MIN(MAX(AR48,30),120),Input!$C$48:$C$54,1),6)))/(INDEX(Input!$C$48:$C$54,MIN(MATCH(MIN(MAX(AR48,30),120),Input!$C$48:$C$54,1),6)+1)-INDEX(Input!$C$48:$C$54,MIN(MATCH(MIN(MAX(AR48,30),120),Input!$C$48:$C$54,1),6)))*(INDEX(Input!$Q$48:$Q$54,MIN(MATCH(MIN(MAX(AR48,30),120),Input!$C$48:$C$54,1),6)+1)-INDEX(Input!$Q$48:$Q$54,MIN(MATCH(MIN(MAX(AR48,30),120),Input!$C$48:$C$54,1),6)))))</f>
        <v/>
      </c>
      <c r="BM48" s="68">
        <f>IF(OR(AM48="Sand",BF48=0),0,Input!$AA$38*(AK48/2)^2/(BL48*1E-4*31536000))</f>
        <v/>
      </c>
      <c r="BN48" s="68">
        <f>MAX(0,MIN(AJ48,Input!$AA$20)-AI48)</f>
        <v/>
      </c>
      <c r="BO48" s="68">
        <f>MAX(0,MIN(AJ48,Input!$AA$20)-MAX(AI48,$AA$22))</f>
        <v/>
      </c>
      <c r="BP48" s="68">
        <f>MAX(0,MIN(AJ48,$AA$225)-AI48)</f>
        <v/>
      </c>
      <c r="BQ48" s="68" t="inlineStr">
        <is>
          <t>data copied from BH-02</t>
        </is>
      </c>
    </row>
    <row r="49">
      <c r="B49" s="9" t="n"/>
      <c r="C49" s="57" t="n">
        <v>22</v>
      </c>
      <c r="D49" s="41" t="n"/>
      <c r="E49" s="55">
        <f>AI49</f>
        <v/>
      </c>
      <c r="F49" s="41" t="n"/>
      <c r="G49" s="41" t="n"/>
      <c r="H49" s="55">
        <f>AJ49</f>
        <v/>
      </c>
      <c r="I49" s="41" t="n"/>
      <c r="J49" s="41" t="n"/>
      <c r="K49" s="52">
        <f>AM49</f>
        <v/>
      </c>
      <c r="L49" s="41" t="n"/>
      <c r="M49" s="41" t="n"/>
      <c r="N49" s="57">
        <f>AN49</f>
        <v/>
      </c>
      <c r="O49" s="41" t="n"/>
      <c r="P49" s="41" t="n"/>
      <c r="Q49" s="53">
        <f>AO49</f>
        <v/>
      </c>
      <c r="R49" s="41" t="n"/>
      <c r="S49" s="41" t="n"/>
      <c r="T49" s="57">
        <f>IF(AR49="","-",AR49)</f>
        <v/>
      </c>
      <c r="U49" s="41" t="n"/>
      <c r="V49" s="57">
        <f>IF(AT49="","-",AT49)</f>
        <v/>
      </c>
      <c r="W49" s="41" t="n"/>
      <c r="X49" s="55">
        <f>AU49</f>
        <v/>
      </c>
      <c r="Y49" s="41" t="n"/>
      <c r="Z49" s="66">
        <f>AV49</f>
        <v/>
      </c>
      <c r="AA49" s="41" t="n"/>
      <c r="AB49" s="41" t="n"/>
      <c r="AC49" s="53">
        <f>AW49</f>
        <v/>
      </c>
      <c r="AD49" s="41" t="n"/>
      <c r="AE49" s="41" t="n"/>
      <c r="AF49" s="15" t="n"/>
      <c r="AI49" s="67" t="n">
        <v>31.5</v>
      </c>
      <c r="AJ49" s="67" t="n">
        <v>33</v>
      </c>
      <c r="AK49" s="68">
        <f>AJ49-AI49</f>
        <v/>
      </c>
      <c r="AL49" s="68">
        <f>(AI49+AJ49)/2</f>
        <v/>
      </c>
      <c r="AM49" s="67" t="inlineStr">
        <is>
          <t>Sand</t>
        </is>
      </c>
      <c r="AN49" s="67" t="n">
        <v>43</v>
      </c>
      <c r="AO49" s="68">
        <f>IF(AL49&gt;$AA$19,$AA$21,$AA$20)</f>
        <v/>
      </c>
      <c r="AP49" s="68">
        <f>AP48+AO49*AK49</f>
        <v/>
      </c>
      <c r="AQ49" s="68">
        <f>AP49-AO49*AK49/2-10*MAX(AL49-$AA$19,0)</f>
        <v/>
      </c>
      <c r="AR49" s="67" t="n"/>
      <c r="AS49" s="67" t="n"/>
      <c r="AT49" s="68">
        <f>IF(AR49="","",AR49-AS49)</f>
        <v/>
      </c>
      <c r="AU49" s="67" t="n">
        <v>0.65</v>
      </c>
      <c r="AV49" s="68">
        <f>IF(AM49="Sand",0,Input!$AA$31*AN49)</f>
        <v/>
      </c>
      <c r="AW49" s="68">
        <f>IF(AM49="Sand",27.1+0.3*MIN(Input!$AA$32*AN49,60)-0.00054*MIN(Input!$AA$32*AN49,60)^2,MIN(MAX(DEGREES(ASIN(0.8-0.094*LN(MAX(IF(AT49="",10,AT49),5)))),20),30))</f>
        <v/>
      </c>
      <c r="AX49" s="68">
        <f>IF(AM49="Sand",Input!$AA$33*Input!$AA$32*AN49,Input!$AA$34*AV49)</f>
        <v/>
      </c>
      <c r="AY49" s="68">
        <f>IF(AM49="Sand",Input!$AA$35,0.5)</f>
        <v/>
      </c>
      <c r="AZ49" s="68">
        <f>Input!$AA$15/2/AL49</f>
        <v/>
      </c>
      <c r="BA49" s="68">
        <f>Input!$AA$16/2/AL49</f>
        <v/>
      </c>
      <c r="BB49" s="68">
        <f>1/(4*PI())*(2*AZ49*BA49*SQRT(AZ49^2+BA49^2+1)/(AZ49^2+BA49^2+1+AZ49^2*BA49^2)*(AZ49^2+BA49^2+2)/(AZ49^2+BA49^2+1)+ATAN2(AZ49^2+BA49^2+1-AZ49^2*BA49^2,2*AZ49*BA49*SQRT(AZ49^2+BA49^2+1)))</f>
        <v/>
      </c>
      <c r="BC49" s="68">
        <f>4*Input!$AA$14*BB49</f>
        <v/>
      </c>
      <c r="BD49" s="68">
        <f>((Input!$AA$16/Input!$AA$15)*LN((1+SQRT((Input!$AA$16/Input!$AA$15)^2+1))*SQRT((Input!$AA$16/Input!$AA$15)^2+(AJ49/(Input!$AA$15/2))^2)/((Input!$AA$16/Input!$AA$15)*(1+SQRT((Input!$AA$16/Input!$AA$15)^2+(AJ49/(Input!$AA$15/2))^2+1))))+LN(((Input!$AA$16/Input!$AA$15)+SQRT((Input!$AA$16/Input!$AA$15)^2+1))*SQRT(1+(AJ49/(Input!$AA$15/2))^2)/((Input!$AA$16/Input!$AA$15)+SQRT((Input!$AA$16/Input!$AA$15)^2+(AJ49/(Input!$AA$15/2))^2+1))))/PI()</f>
        <v/>
      </c>
      <c r="BE49" s="68">
        <f>(AJ49/(Input!$AA$15/2))/(2*PI())*ATAN((Input!$AA$16/Input!$AA$15)/((AJ49/(Input!$AA$15/2))*SQRT((Input!$AA$16/Input!$AA$15)^2+(AJ49/(Input!$AA$15/2))^2+1)))</f>
        <v/>
      </c>
      <c r="BF49" s="68">
        <f>MAX(0,AJ49-MAX(AI49,$AA$22))/AK49*IF(BC49&gt;=Input!$AA$21*AQ49,1,0)</f>
        <v/>
      </c>
      <c r="BG49" s="68">
        <f>4*Input!$AA$14*(Input!$AA$15/2)*(1-AY49^2)/AX49*((BD49-BD48)+(1-2*AY49)/(1-AY49)*(BE49-BE48))*1000*BF49</f>
        <v/>
      </c>
      <c r="BH49" s="68">
        <f>IF(AM49="Sand",0,0.009*(AR49-10))</f>
        <v/>
      </c>
      <c r="BI49" s="68">
        <f>BH49*Input!$AA$36</f>
        <v/>
      </c>
      <c r="BJ49" s="68">
        <f>IF(AM49="Sand",0,MAX(AV49/Input!$AA$37,AQ49))</f>
        <v/>
      </c>
      <c r="BK49" s="68">
        <f>IF(AM49="Sand",0,1000*AK49/(1+AU49)*IF(AQ49+BC49&lt;=BJ49,BI49*LOG10((AQ49+BC49)/AQ49),BI49*LOG10(BJ49/AQ49)+BH49*LOG10((AQ49+BC49)/BJ49)))*BF49</f>
        <v/>
      </c>
      <c r="BL49" s="68">
        <f>IF(AM49="Sand",0,10^(INDEX(Input!$Q$48:$Q$54,MIN(MATCH(MIN(MAX(AR49,30),120),Input!$C$48:$C$54,1),6))+(MIN(MAX(AR49,30),120)-INDEX(Input!$C$48:$C$54,MIN(MATCH(MIN(MAX(AR49,30),120),Input!$C$48:$C$54,1),6)))/(INDEX(Input!$C$48:$C$54,MIN(MATCH(MIN(MAX(AR49,30),120),Input!$C$48:$C$54,1),6)+1)-INDEX(Input!$C$48:$C$54,MIN(MATCH(MIN(MAX(AR49,30),120),Input!$C$48:$C$54,1),6)))*(INDEX(Input!$Q$48:$Q$54,MIN(MATCH(MIN(MAX(AR49,30),120),Input!$C$48:$C$54,1),6)+1)-INDEX(Input!$Q$48:$Q$54,MIN(MATCH(MIN(MAX(AR49,30),120),Input!$C$48:$C$54,1),6)))))</f>
        <v/>
      </c>
      <c r="BM49" s="68">
        <f>IF(OR(AM49="Sand",BF49=0),0,Input!$AA$38*(AK49/2)^2/(BL49*1E-4*31536000))</f>
        <v/>
      </c>
      <c r="BN49" s="68">
        <f>MAX(0,MIN(AJ49,Input!$AA$20)-AI49)</f>
        <v/>
      </c>
      <c r="BO49" s="68">
        <f>MAX(0,MIN(AJ49,Input!$AA$20)-MAX(AI49,$AA$22))</f>
        <v/>
      </c>
      <c r="BP49" s="68">
        <f>MAX(0,MIN(AJ49,$AA$225)-AI49)</f>
        <v/>
      </c>
      <c r="BQ49" s="68" t="inlineStr">
        <is>
          <t>data copied from BH-02</t>
        </is>
      </c>
    </row>
    <row r="50">
      <c r="B50" s="9" t="n"/>
      <c r="C50" s="57" t="n">
        <v>23</v>
      </c>
      <c r="D50" s="41" t="n"/>
      <c r="E50" s="55">
        <f>AI50</f>
        <v/>
      </c>
      <c r="F50" s="41" t="n"/>
      <c r="G50" s="41" t="n"/>
      <c r="H50" s="55">
        <f>AJ50</f>
        <v/>
      </c>
      <c r="I50" s="41" t="n"/>
      <c r="J50" s="41" t="n"/>
      <c r="K50" s="52">
        <f>AM50</f>
        <v/>
      </c>
      <c r="L50" s="41" t="n"/>
      <c r="M50" s="41" t="n"/>
      <c r="N50" s="57">
        <f>AN50</f>
        <v/>
      </c>
      <c r="O50" s="41" t="n"/>
      <c r="P50" s="41" t="n"/>
      <c r="Q50" s="53">
        <f>AO50</f>
        <v/>
      </c>
      <c r="R50" s="41" t="n"/>
      <c r="S50" s="41" t="n"/>
      <c r="T50" s="57">
        <f>IF(AR50="","-",AR50)</f>
        <v/>
      </c>
      <c r="U50" s="41" t="n"/>
      <c r="V50" s="57">
        <f>IF(AT50="","-",AT50)</f>
        <v/>
      </c>
      <c r="W50" s="41" t="n"/>
      <c r="X50" s="55">
        <f>AU50</f>
        <v/>
      </c>
      <c r="Y50" s="41" t="n"/>
      <c r="Z50" s="66">
        <f>AV50</f>
        <v/>
      </c>
      <c r="AA50" s="41" t="n"/>
      <c r="AB50" s="41" t="n"/>
      <c r="AC50" s="53">
        <f>AW50</f>
        <v/>
      </c>
      <c r="AD50" s="41" t="n"/>
      <c r="AE50" s="41" t="n"/>
      <c r="AF50" s="15" t="n"/>
      <c r="AI50" s="67" t="n">
        <v>33</v>
      </c>
      <c r="AJ50" s="67" t="n">
        <v>34.5</v>
      </c>
      <c r="AK50" s="68">
        <f>AJ50-AI50</f>
        <v/>
      </c>
      <c r="AL50" s="68">
        <f>(AI50+AJ50)/2</f>
        <v/>
      </c>
      <c r="AM50" s="67" t="inlineStr">
        <is>
          <t>Sand</t>
        </is>
      </c>
      <c r="AN50" s="67" t="n">
        <v>26</v>
      </c>
      <c r="AO50" s="68">
        <f>IF(AL50&gt;$AA$19,$AA$21,$AA$20)</f>
        <v/>
      </c>
      <c r="AP50" s="68">
        <f>AP49+AO50*AK50</f>
        <v/>
      </c>
      <c r="AQ50" s="68">
        <f>AP50-AO50*AK50/2-10*MAX(AL50-$AA$19,0)</f>
        <v/>
      </c>
      <c r="AR50" s="67" t="n"/>
      <c r="AS50" s="67" t="n"/>
      <c r="AT50" s="68">
        <f>IF(AR50="","",AR50-AS50)</f>
        <v/>
      </c>
      <c r="AU50" s="67" t="n">
        <v>0.65</v>
      </c>
      <c r="AV50" s="68">
        <f>IF(AM50="Sand",0,Input!$AA$31*AN50)</f>
        <v/>
      </c>
      <c r="AW50" s="68">
        <f>IF(AM50="Sand",27.1+0.3*MIN(Input!$AA$32*AN50,60)-0.00054*MIN(Input!$AA$32*AN50,60)^2,MIN(MAX(DEGREES(ASIN(0.8-0.094*LN(MAX(IF(AT50="",10,AT50),5)))),20),30))</f>
        <v/>
      </c>
      <c r="AX50" s="68">
        <f>IF(AM50="Sand",Input!$AA$33*Input!$AA$32*AN50,Input!$AA$34*AV50)</f>
        <v/>
      </c>
      <c r="AY50" s="68">
        <f>IF(AM50="Sand",Input!$AA$35,0.5)</f>
        <v/>
      </c>
      <c r="AZ50" s="68">
        <f>Input!$AA$15/2/AL50</f>
        <v/>
      </c>
      <c r="BA50" s="68">
        <f>Input!$AA$16/2/AL50</f>
        <v/>
      </c>
      <c r="BB50" s="68">
        <f>1/(4*PI())*(2*AZ50*BA50*SQRT(AZ50^2+BA50^2+1)/(AZ50^2+BA50^2+1+AZ50^2*BA50^2)*(AZ50^2+BA50^2+2)/(AZ50^2+BA50^2+1)+ATAN2(AZ50^2+BA50^2+1-AZ50^2*BA50^2,2*AZ50*BA50*SQRT(AZ50^2+BA50^2+1)))</f>
        <v/>
      </c>
      <c r="BC50" s="68">
        <f>4*Input!$AA$14*BB50</f>
        <v/>
      </c>
      <c r="BD50" s="68">
        <f>((Input!$AA$16/Input!$AA$15)*LN((1+SQRT((Input!$AA$16/Input!$AA$15)^2+1))*SQRT((Input!$AA$16/Input!$AA$15)^2+(AJ50/(Input!$AA$15/2))^2)/((Input!$AA$16/Input!$AA$15)*(1+SQRT((Input!$AA$16/Input!$AA$15)^2+(AJ50/(Input!$AA$15/2))^2+1))))+LN(((Input!$AA$16/Input!$AA$15)+SQRT((Input!$AA$16/Input!$AA$15)^2+1))*SQRT(1+(AJ50/(Input!$AA$15/2))^2)/((Input!$AA$16/Input!$AA$15)+SQRT((Input!$AA$16/Input!$AA$15)^2+(AJ50/(Input!$AA$15/2))^2+1))))/PI()</f>
        <v/>
      </c>
      <c r="BE50" s="68">
        <f>(AJ50/(Input!$AA$15/2))/(2*PI())*ATAN((Input!$AA$16/Input!$AA$15)/((AJ50/(Input!$AA$15/2))*SQRT((Input!$AA$16/Input!$AA$15)^2+(AJ50/(Input!$AA$15/2))^2+1)))</f>
        <v/>
      </c>
      <c r="BF50" s="68">
        <f>MAX(0,AJ50-MAX(AI50,$AA$22))/AK50*IF(BC50&gt;=Input!$AA$21*AQ50,1,0)</f>
        <v/>
      </c>
      <c r="BG50" s="68">
        <f>4*Input!$AA$14*(Input!$AA$15/2)*(1-AY50^2)/AX50*((BD50-BD49)+(1-2*AY50)/(1-AY50)*(BE50-BE49))*1000*BF50</f>
        <v/>
      </c>
      <c r="BH50" s="68">
        <f>IF(AM50="Sand",0,0.009*(AR50-10))</f>
        <v/>
      </c>
      <c r="BI50" s="68">
        <f>BH50*Input!$AA$36</f>
        <v/>
      </c>
      <c r="BJ50" s="68">
        <f>IF(AM50="Sand",0,MAX(AV50/Input!$AA$37,AQ50))</f>
        <v/>
      </c>
      <c r="BK50" s="68">
        <f>IF(AM50="Sand",0,1000*AK50/(1+AU50)*IF(AQ50+BC50&lt;=BJ50,BI50*LOG10((AQ50+BC50)/AQ50),BI50*LOG10(BJ50/AQ50)+BH50*LOG10((AQ50+BC50)/BJ50)))*BF50</f>
        <v/>
      </c>
      <c r="BL50" s="68">
        <f>IF(AM50="Sand",0,10^(INDEX(Input!$Q$48:$Q$54,MIN(MATCH(MIN(MAX(AR50,30),120),Input!$C$48:$C$54,1),6))+(MIN(MAX(AR50,30),120)-INDEX(Input!$C$48:$C$54,MIN(MATCH(MIN(MAX(AR50,30),120),Input!$C$48:$C$54,1),6)))/(INDEX(Input!$C$48:$C$54,MIN(MATCH(MIN(MAX(AR50,30),120),Input!$C$48:$C$54,1),6)+1)-INDEX(Input!$C$48:$C$54,MIN(MATCH(MIN(MAX(AR50,30),120),Input!$C$48:$C$54,1),6)))*(INDEX(Input!$Q$48:$Q$54,MIN(MATCH(MIN(MAX(AR50,30),120),Input!$C$48:$C$54,1),6)+1)-INDEX(Input!$Q$48:$Q$54,MIN(MATCH(MIN(MAX(AR50,30),120),Input!$C$48:$C$54,1),6)))))</f>
        <v/>
      </c>
      <c r="BM50" s="68">
        <f>IF(OR(AM50="Sand",BF50=0),0,Input!$AA$38*(AK50/2)^2/(BL50*1E-4*31536000))</f>
        <v/>
      </c>
      <c r="BN50" s="68">
        <f>MAX(0,MIN(AJ50,Input!$AA$20)-AI50)</f>
        <v/>
      </c>
      <c r="BO50" s="68">
        <f>MAX(0,MIN(AJ50,Input!$AA$20)-MAX(AI50,$AA$22))</f>
        <v/>
      </c>
      <c r="BP50" s="68">
        <f>MAX(0,MIN(AJ50,$AA$225)-AI50)</f>
        <v/>
      </c>
      <c r="BQ50" s="68" t="inlineStr">
        <is>
          <t>data copied from BH-02</t>
        </is>
      </c>
    </row>
    <row r="51">
      <c r="B51" s="9" t="n"/>
      <c r="C51" s="57" t="n">
        <v>24</v>
      </c>
      <c r="D51" s="41" t="n"/>
      <c r="E51" s="55">
        <f>AI51</f>
        <v/>
      </c>
      <c r="F51" s="41" t="n"/>
      <c r="G51" s="41" t="n"/>
      <c r="H51" s="55">
        <f>AJ51</f>
        <v/>
      </c>
      <c r="I51" s="41" t="n"/>
      <c r="J51" s="41" t="n"/>
      <c r="K51" s="52">
        <f>AM51</f>
        <v/>
      </c>
      <c r="L51" s="41" t="n"/>
      <c r="M51" s="41" t="n"/>
      <c r="N51" s="57">
        <f>AN51</f>
        <v/>
      </c>
      <c r="O51" s="41" t="n"/>
      <c r="P51" s="41" t="n"/>
      <c r="Q51" s="53">
        <f>AO51</f>
        <v/>
      </c>
      <c r="R51" s="41" t="n"/>
      <c r="S51" s="41" t="n"/>
      <c r="T51" s="57">
        <f>IF(AR51="","-",AR51)</f>
        <v/>
      </c>
      <c r="U51" s="41" t="n"/>
      <c r="V51" s="57">
        <f>IF(AT51="","-",AT51)</f>
        <v/>
      </c>
      <c r="W51" s="41" t="n"/>
      <c r="X51" s="55">
        <f>AU51</f>
        <v/>
      </c>
      <c r="Y51" s="41" t="n"/>
      <c r="Z51" s="66">
        <f>AV51</f>
        <v/>
      </c>
      <c r="AA51" s="41" t="n"/>
      <c r="AB51" s="41" t="n"/>
      <c r="AC51" s="53">
        <f>AW51</f>
        <v/>
      </c>
      <c r="AD51" s="41" t="n"/>
      <c r="AE51" s="41" t="n"/>
      <c r="AF51" s="15" t="n"/>
      <c r="AI51" s="67" t="n">
        <v>34.5</v>
      </c>
      <c r="AJ51" s="67" t="n">
        <v>36</v>
      </c>
      <c r="AK51" s="68">
        <f>AJ51-AI51</f>
        <v/>
      </c>
      <c r="AL51" s="68">
        <f>(AI51+AJ51)/2</f>
        <v/>
      </c>
      <c r="AM51" s="67" t="inlineStr">
        <is>
          <t>Sand</t>
        </is>
      </c>
      <c r="AN51" s="67" t="n">
        <v>53</v>
      </c>
      <c r="AO51" s="68">
        <f>IF(AL51&gt;$AA$19,$AA$21,$AA$20)</f>
        <v/>
      </c>
      <c r="AP51" s="68">
        <f>AP50+AO51*AK51</f>
        <v/>
      </c>
      <c r="AQ51" s="68">
        <f>AP51-AO51*AK51/2-10*MAX(AL51-$AA$19,0)</f>
        <v/>
      </c>
      <c r="AR51" s="67" t="n"/>
      <c r="AS51" s="67" t="n"/>
      <c r="AT51" s="68">
        <f>IF(AR51="","",AR51-AS51)</f>
        <v/>
      </c>
      <c r="AU51" s="67" t="n">
        <v>0.65</v>
      </c>
      <c r="AV51" s="68">
        <f>IF(AM51="Sand",0,Input!$AA$31*AN51)</f>
        <v/>
      </c>
      <c r="AW51" s="68">
        <f>IF(AM51="Sand",27.1+0.3*MIN(Input!$AA$32*AN51,60)-0.00054*MIN(Input!$AA$32*AN51,60)^2,MIN(MAX(DEGREES(ASIN(0.8-0.094*LN(MAX(IF(AT51="",10,AT51),5)))),20),30))</f>
        <v/>
      </c>
      <c r="AX51" s="68">
        <f>IF(AM51="Sand",Input!$AA$33*Input!$AA$32*AN51,Input!$AA$34*AV51)</f>
        <v/>
      </c>
      <c r="AY51" s="68">
        <f>IF(AM51="Sand",Input!$AA$35,0.5)</f>
        <v/>
      </c>
      <c r="AZ51" s="68">
        <f>Input!$AA$15/2/AL51</f>
        <v/>
      </c>
      <c r="BA51" s="68">
        <f>Input!$AA$16/2/AL51</f>
        <v/>
      </c>
      <c r="BB51" s="68">
        <f>1/(4*PI())*(2*AZ51*BA51*SQRT(AZ51^2+BA51^2+1)/(AZ51^2+BA51^2+1+AZ51^2*BA51^2)*(AZ51^2+BA51^2+2)/(AZ51^2+BA51^2+1)+ATAN2(AZ51^2+BA51^2+1-AZ51^2*BA51^2,2*AZ51*BA51*SQRT(AZ51^2+BA51^2+1)))</f>
        <v/>
      </c>
      <c r="BC51" s="68">
        <f>4*Input!$AA$14*BB51</f>
        <v/>
      </c>
      <c r="BD51" s="68">
        <f>((Input!$AA$16/Input!$AA$15)*LN((1+SQRT((Input!$AA$16/Input!$AA$15)^2+1))*SQRT((Input!$AA$16/Input!$AA$15)^2+(AJ51/(Input!$AA$15/2))^2)/((Input!$AA$16/Input!$AA$15)*(1+SQRT((Input!$AA$16/Input!$AA$15)^2+(AJ51/(Input!$AA$15/2))^2+1))))+LN(((Input!$AA$16/Input!$AA$15)+SQRT((Input!$AA$16/Input!$AA$15)^2+1))*SQRT(1+(AJ51/(Input!$AA$15/2))^2)/((Input!$AA$16/Input!$AA$15)+SQRT((Input!$AA$16/Input!$AA$15)^2+(AJ51/(Input!$AA$15/2))^2+1))))/PI()</f>
        <v/>
      </c>
      <c r="BE51" s="68">
        <f>(AJ51/(Input!$AA$15/2))/(2*PI())*ATAN((Input!$AA$16/Input!$AA$15)/((AJ51/(Input!$AA$15/2))*SQRT((Input!$AA$16/Input!$AA$15)^2+(AJ51/(Input!$AA$15/2))^2+1)))</f>
        <v/>
      </c>
      <c r="BF51" s="68">
        <f>MAX(0,AJ51-MAX(AI51,$AA$22))/AK51*IF(BC51&gt;=Input!$AA$21*AQ51,1,0)</f>
        <v/>
      </c>
      <c r="BG51" s="68">
        <f>4*Input!$AA$14*(Input!$AA$15/2)*(1-AY51^2)/AX51*((BD51-BD50)+(1-2*AY51)/(1-AY51)*(BE51-BE50))*1000*BF51</f>
        <v/>
      </c>
      <c r="BH51" s="68">
        <f>IF(AM51="Sand",0,0.009*(AR51-10))</f>
        <v/>
      </c>
      <c r="BI51" s="68">
        <f>BH51*Input!$AA$36</f>
        <v/>
      </c>
      <c r="BJ51" s="68">
        <f>IF(AM51="Sand",0,MAX(AV51/Input!$AA$37,AQ51))</f>
        <v/>
      </c>
      <c r="BK51" s="68">
        <f>IF(AM51="Sand",0,1000*AK51/(1+AU51)*IF(AQ51+BC51&lt;=BJ51,BI51*LOG10((AQ51+BC51)/AQ51),BI51*LOG10(BJ51/AQ51)+BH51*LOG10((AQ51+BC51)/BJ51)))*BF51</f>
        <v/>
      </c>
      <c r="BL51" s="68">
        <f>IF(AM51="Sand",0,10^(INDEX(Input!$Q$48:$Q$54,MIN(MATCH(MIN(MAX(AR51,30),120),Input!$C$48:$C$54,1),6))+(MIN(MAX(AR51,30),120)-INDEX(Input!$C$48:$C$54,MIN(MATCH(MIN(MAX(AR51,30),120),Input!$C$48:$C$54,1),6)))/(INDEX(Input!$C$48:$C$54,MIN(MATCH(MIN(MAX(AR51,30),120),Input!$C$48:$C$54,1),6)+1)-INDEX(Input!$C$48:$C$54,MIN(MATCH(MIN(MAX(AR51,30),120),Input!$C$48:$C$54,1),6)))*(INDEX(Input!$Q$48:$Q$54,MIN(MATCH(MIN(MAX(AR51,30),120),Input!$C$48:$C$54,1),6)+1)-INDEX(Input!$Q$48:$Q$54,MIN(MATCH(MIN(MAX(AR51,30),120),Input!$C$48:$C$54,1),6)))))</f>
        <v/>
      </c>
      <c r="BM51" s="68">
        <f>IF(OR(AM51="Sand",BF51=0),0,Input!$AA$38*(AK51/2)^2/(BL51*1E-4*31536000))</f>
        <v/>
      </c>
      <c r="BN51" s="68">
        <f>MAX(0,MIN(AJ51,Input!$AA$20)-AI51)</f>
        <v/>
      </c>
      <c r="BO51" s="68">
        <f>MAX(0,MIN(AJ51,Input!$AA$20)-MAX(AI51,$AA$22))</f>
        <v/>
      </c>
      <c r="BP51" s="68">
        <f>MAX(0,MIN(AJ51,$AA$225)-AI51)</f>
        <v/>
      </c>
      <c r="BQ51" s="68" t="inlineStr">
        <is>
          <t>data copied from BH-02</t>
        </is>
      </c>
    </row>
    <row r="52">
      <c r="B52" s="9" t="n"/>
      <c r="C52" s="57" t="n">
        <v>25</v>
      </c>
      <c r="D52" s="41" t="n"/>
      <c r="E52" s="55">
        <f>AI52</f>
        <v/>
      </c>
      <c r="F52" s="41" t="n"/>
      <c r="G52" s="41" t="n"/>
      <c r="H52" s="55">
        <f>AJ52</f>
        <v/>
      </c>
      <c r="I52" s="41" t="n"/>
      <c r="J52" s="41" t="n"/>
      <c r="K52" s="52">
        <f>AM52</f>
        <v/>
      </c>
      <c r="L52" s="41" t="n"/>
      <c r="M52" s="41" t="n"/>
      <c r="N52" s="57">
        <f>AN52</f>
        <v/>
      </c>
      <c r="O52" s="41" t="n"/>
      <c r="P52" s="41" t="n"/>
      <c r="Q52" s="53">
        <f>AO52</f>
        <v/>
      </c>
      <c r="R52" s="41" t="n"/>
      <c r="S52" s="41" t="n"/>
      <c r="T52" s="57">
        <f>IF(AR52="","-",AR52)</f>
        <v/>
      </c>
      <c r="U52" s="41" t="n"/>
      <c r="V52" s="57">
        <f>IF(AT52="","-",AT52)</f>
        <v/>
      </c>
      <c r="W52" s="41" t="n"/>
      <c r="X52" s="55">
        <f>AU52</f>
        <v/>
      </c>
      <c r="Y52" s="41" t="n"/>
      <c r="Z52" s="66">
        <f>AV52</f>
        <v/>
      </c>
      <c r="AA52" s="41" t="n"/>
      <c r="AB52" s="41" t="n"/>
      <c r="AC52" s="53">
        <f>AW52</f>
        <v/>
      </c>
      <c r="AD52" s="41" t="n"/>
      <c r="AE52" s="41" t="n"/>
      <c r="AF52" s="15" t="n"/>
      <c r="AI52" s="67" t="n">
        <v>36</v>
      </c>
      <c r="AJ52" s="67" t="n">
        <v>37.5</v>
      </c>
      <c r="AK52" s="68">
        <f>AJ52-AI52</f>
        <v/>
      </c>
      <c r="AL52" s="68">
        <f>(AI52+AJ52)/2</f>
        <v/>
      </c>
      <c r="AM52" s="67" t="inlineStr">
        <is>
          <t>Sand</t>
        </is>
      </c>
      <c r="AN52" s="67" t="n">
        <v>54</v>
      </c>
      <c r="AO52" s="68">
        <f>IF(AL52&gt;$AA$19,$AA$21,$AA$20)</f>
        <v/>
      </c>
      <c r="AP52" s="68">
        <f>AP51+AO52*AK52</f>
        <v/>
      </c>
      <c r="AQ52" s="68">
        <f>AP52-AO52*AK52/2-10*MAX(AL52-$AA$19,0)</f>
        <v/>
      </c>
      <c r="AR52" s="67" t="n"/>
      <c r="AS52" s="67" t="n"/>
      <c r="AT52" s="68">
        <f>IF(AR52="","",AR52-AS52)</f>
        <v/>
      </c>
      <c r="AU52" s="67" t="n">
        <v>0.65</v>
      </c>
      <c r="AV52" s="68">
        <f>IF(AM52="Sand",0,Input!$AA$31*AN52)</f>
        <v/>
      </c>
      <c r="AW52" s="68">
        <f>IF(AM52="Sand",27.1+0.3*MIN(Input!$AA$32*AN52,60)-0.00054*MIN(Input!$AA$32*AN52,60)^2,MIN(MAX(DEGREES(ASIN(0.8-0.094*LN(MAX(IF(AT52="",10,AT52),5)))),20),30))</f>
        <v/>
      </c>
      <c r="AX52" s="68">
        <f>IF(AM52="Sand",Input!$AA$33*Input!$AA$32*AN52,Input!$AA$34*AV52)</f>
        <v/>
      </c>
      <c r="AY52" s="68">
        <f>IF(AM52="Sand",Input!$AA$35,0.5)</f>
        <v/>
      </c>
      <c r="AZ52" s="68">
        <f>Input!$AA$15/2/AL52</f>
        <v/>
      </c>
      <c r="BA52" s="68">
        <f>Input!$AA$16/2/AL52</f>
        <v/>
      </c>
      <c r="BB52" s="68">
        <f>1/(4*PI())*(2*AZ52*BA52*SQRT(AZ52^2+BA52^2+1)/(AZ52^2+BA52^2+1+AZ52^2*BA52^2)*(AZ52^2+BA52^2+2)/(AZ52^2+BA52^2+1)+ATAN2(AZ52^2+BA52^2+1-AZ52^2*BA52^2,2*AZ52*BA52*SQRT(AZ52^2+BA52^2+1)))</f>
        <v/>
      </c>
      <c r="BC52" s="68">
        <f>4*Input!$AA$14*BB52</f>
        <v/>
      </c>
      <c r="BD52" s="68">
        <f>((Input!$AA$16/Input!$AA$15)*LN((1+SQRT((Input!$AA$16/Input!$AA$15)^2+1))*SQRT((Input!$AA$16/Input!$AA$15)^2+(AJ52/(Input!$AA$15/2))^2)/((Input!$AA$16/Input!$AA$15)*(1+SQRT((Input!$AA$16/Input!$AA$15)^2+(AJ52/(Input!$AA$15/2))^2+1))))+LN(((Input!$AA$16/Input!$AA$15)+SQRT((Input!$AA$16/Input!$AA$15)^2+1))*SQRT(1+(AJ52/(Input!$AA$15/2))^2)/((Input!$AA$16/Input!$AA$15)+SQRT((Input!$AA$16/Input!$AA$15)^2+(AJ52/(Input!$AA$15/2))^2+1))))/PI()</f>
        <v/>
      </c>
      <c r="BE52" s="68">
        <f>(AJ52/(Input!$AA$15/2))/(2*PI())*ATAN((Input!$AA$16/Input!$AA$15)/((AJ52/(Input!$AA$15/2))*SQRT((Input!$AA$16/Input!$AA$15)^2+(AJ52/(Input!$AA$15/2))^2+1)))</f>
        <v/>
      </c>
      <c r="BF52" s="68">
        <f>MAX(0,AJ52-MAX(AI52,$AA$22))/AK52*IF(BC52&gt;=Input!$AA$21*AQ52,1,0)</f>
        <v/>
      </c>
      <c r="BG52" s="68">
        <f>4*Input!$AA$14*(Input!$AA$15/2)*(1-AY52^2)/AX52*((BD52-BD51)+(1-2*AY52)/(1-AY52)*(BE52-BE51))*1000*BF52</f>
        <v/>
      </c>
      <c r="BH52" s="68">
        <f>IF(AM52="Sand",0,0.009*(AR52-10))</f>
        <v/>
      </c>
      <c r="BI52" s="68">
        <f>BH52*Input!$AA$36</f>
        <v/>
      </c>
      <c r="BJ52" s="68">
        <f>IF(AM52="Sand",0,MAX(AV52/Input!$AA$37,AQ52))</f>
        <v/>
      </c>
      <c r="BK52" s="68">
        <f>IF(AM52="Sand",0,1000*AK52/(1+AU52)*IF(AQ52+BC52&lt;=BJ52,BI52*LOG10((AQ52+BC52)/AQ52),BI52*LOG10(BJ52/AQ52)+BH52*LOG10((AQ52+BC52)/BJ52)))*BF52</f>
        <v/>
      </c>
      <c r="BL52" s="68">
        <f>IF(AM52="Sand",0,10^(INDEX(Input!$Q$48:$Q$54,MIN(MATCH(MIN(MAX(AR52,30),120),Input!$C$48:$C$54,1),6))+(MIN(MAX(AR52,30),120)-INDEX(Input!$C$48:$C$54,MIN(MATCH(MIN(MAX(AR52,30),120),Input!$C$48:$C$54,1),6)))/(INDEX(Input!$C$48:$C$54,MIN(MATCH(MIN(MAX(AR52,30),120),Input!$C$48:$C$54,1),6)+1)-INDEX(Input!$C$48:$C$54,MIN(MATCH(MIN(MAX(AR52,30),120),Input!$C$48:$C$54,1),6)))*(INDEX(Input!$Q$48:$Q$54,MIN(MATCH(MIN(MAX(AR52,30),120),Input!$C$48:$C$54,1),6)+1)-INDEX(Input!$Q$48:$Q$54,MIN(MATCH(MIN(MAX(AR52,30),120),Input!$C$48:$C$54,1),6)))))</f>
        <v/>
      </c>
      <c r="BM52" s="68">
        <f>IF(OR(AM52="Sand",BF52=0),0,Input!$AA$38*(AK52/2)^2/(BL52*1E-4*31536000))</f>
        <v/>
      </c>
      <c r="BN52" s="68">
        <f>MAX(0,MIN(AJ52,Input!$AA$20)-AI52)</f>
        <v/>
      </c>
      <c r="BO52" s="68">
        <f>MAX(0,MIN(AJ52,Input!$AA$20)-MAX(AI52,$AA$22))</f>
        <v/>
      </c>
      <c r="BP52" s="68">
        <f>MAX(0,MIN(AJ52,$AA$225)-AI52)</f>
        <v/>
      </c>
      <c r="BQ52" s="68" t="inlineStr">
        <is>
          <t>data copied from BH-02</t>
        </is>
      </c>
    </row>
    <row r="53">
      <c r="B53" s="9" t="n"/>
      <c r="C53" s="57" t="n">
        <v>26</v>
      </c>
      <c r="D53" s="41" t="n"/>
      <c r="E53" s="55">
        <f>AI53</f>
        <v/>
      </c>
      <c r="F53" s="41" t="n"/>
      <c r="G53" s="41" t="n"/>
      <c r="H53" s="55">
        <f>AJ53</f>
        <v/>
      </c>
      <c r="I53" s="41" t="n"/>
      <c r="J53" s="41" t="n"/>
      <c r="K53" s="52">
        <f>AM53</f>
        <v/>
      </c>
      <c r="L53" s="41" t="n"/>
      <c r="M53" s="41" t="n"/>
      <c r="N53" s="57">
        <f>AN53</f>
        <v/>
      </c>
      <c r="O53" s="41" t="n"/>
      <c r="P53" s="41" t="n"/>
      <c r="Q53" s="53">
        <f>AO53</f>
        <v/>
      </c>
      <c r="R53" s="41" t="n"/>
      <c r="S53" s="41" t="n"/>
      <c r="T53" s="57">
        <f>IF(AR53="","-",AR53)</f>
        <v/>
      </c>
      <c r="U53" s="41" t="n"/>
      <c r="V53" s="57">
        <f>IF(AT53="","-",AT53)</f>
        <v/>
      </c>
      <c r="W53" s="41" t="n"/>
      <c r="X53" s="55">
        <f>AU53</f>
        <v/>
      </c>
      <c r="Y53" s="41" t="n"/>
      <c r="Z53" s="66">
        <f>AV53</f>
        <v/>
      </c>
      <c r="AA53" s="41" t="n"/>
      <c r="AB53" s="41" t="n"/>
      <c r="AC53" s="53">
        <f>AW53</f>
        <v/>
      </c>
      <c r="AD53" s="41" t="n"/>
      <c r="AE53" s="41" t="n"/>
      <c r="AF53" s="15" t="n"/>
      <c r="AI53" s="67" t="n">
        <v>37.5</v>
      </c>
      <c r="AJ53" s="67" t="n">
        <v>39</v>
      </c>
      <c r="AK53" s="68">
        <f>AJ53-AI53</f>
        <v/>
      </c>
      <c r="AL53" s="68">
        <f>(AI53+AJ53)/2</f>
        <v/>
      </c>
      <c r="AM53" s="67" t="inlineStr">
        <is>
          <t>Sand</t>
        </is>
      </c>
      <c r="AN53" s="67" t="n">
        <v>50</v>
      </c>
      <c r="AO53" s="68">
        <f>IF(AL53&gt;$AA$19,$AA$21,$AA$20)</f>
        <v/>
      </c>
      <c r="AP53" s="68">
        <f>AP52+AO53*AK53</f>
        <v/>
      </c>
      <c r="AQ53" s="68">
        <f>AP53-AO53*AK53/2-10*MAX(AL53-$AA$19,0)</f>
        <v/>
      </c>
      <c r="AR53" s="67" t="n"/>
      <c r="AS53" s="67" t="n"/>
      <c r="AT53" s="68">
        <f>IF(AR53="","",AR53-AS53)</f>
        <v/>
      </c>
      <c r="AU53" s="67" t="n">
        <v>0.65</v>
      </c>
      <c r="AV53" s="68">
        <f>IF(AM53="Sand",0,Input!$AA$31*AN53)</f>
        <v/>
      </c>
      <c r="AW53" s="68">
        <f>IF(AM53="Sand",27.1+0.3*MIN(Input!$AA$32*AN53,60)-0.00054*MIN(Input!$AA$32*AN53,60)^2,MIN(MAX(DEGREES(ASIN(0.8-0.094*LN(MAX(IF(AT53="",10,AT53),5)))),20),30))</f>
        <v/>
      </c>
      <c r="AX53" s="68">
        <f>IF(AM53="Sand",Input!$AA$33*Input!$AA$32*AN53,Input!$AA$34*AV53)</f>
        <v/>
      </c>
      <c r="AY53" s="68">
        <f>IF(AM53="Sand",Input!$AA$35,0.5)</f>
        <v/>
      </c>
      <c r="AZ53" s="68">
        <f>Input!$AA$15/2/AL53</f>
        <v/>
      </c>
      <c r="BA53" s="68">
        <f>Input!$AA$16/2/AL53</f>
        <v/>
      </c>
      <c r="BB53" s="68">
        <f>1/(4*PI())*(2*AZ53*BA53*SQRT(AZ53^2+BA53^2+1)/(AZ53^2+BA53^2+1+AZ53^2*BA53^2)*(AZ53^2+BA53^2+2)/(AZ53^2+BA53^2+1)+ATAN2(AZ53^2+BA53^2+1-AZ53^2*BA53^2,2*AZ53*BA53*SQRT(AZ53^2+BA53^2+1)))</f>
        <v/>
      </c>
      <c r="BC53" s="68">
        <f>4*Input!$AA$14*BB53</f>
        <v/>
      </c>
      <c r="BD53" s="68">
        <f>((Input!$AA$16/Input!$AA$15)*LN((1+SQRT((Input!$AA$16/Input!$AA$15)^2+1))*SQRT((Input!$AA$16/Input!$AA$15)^2+(AJ53/(Input!$AA$15/2))^2)/((Input!$AA$16/Input!$AA$15)*(1+SQRT((Input!$AA$16/Input!$AA$15)^2+(AJ53/(Input!$AA$15/2))^2+1))))+LN(((Input!$AA$16/Input!$AA$15)+SQRT((Input!$AA$16/Input!$AA$15)^2+1))*SQRT(1+(AJ53/(Input!$AA$15/2))^2)/((Input!$AA$16/Input!$AA$15)+SQRT((Input!$AA$16/Input!$AA$15)^2+(AJ53/(Input!$AA$15/2))^2+1))))/PI()</f>
        <v/>
      </c>
      <c r="BE53" s="68">
        <f>(AJ53/(Input!$AA$15/2))/(2*PI())*ATAN((Input!$AA$16/Input!$AA$15)/((AJ53/(Input!$AA$15/2))*SQRT((Input!$AA$16/Input!$AA$15)^2+(AJ53/(Input!$AA$15/2))^2+1)))</f>
        <v/>
      </c>
      <c r="BF53" s="68">
        <f>MAX(0,AJ53-MAX(AI53,$AA$22))/AK53*IF(BC53&gt;=Input!$AA$21*AQ53,1,0)</f>
        <v/>
      </c>
      <c r="BG53" s="68">
        <f>4*Input!$AA$14*(Input!$AA$15/2)*(1-AY53^2)/AX53*((BD53-BD52)+(1-2*AY53)/(1-AY53)*(BE53-BE52))*1000*BF53</f>
        <v/>
      </c>
      <c r="BH53" s="68">
        <f>IF(AM53="Sand",0,0.009*(AR53-10))</f>
        <v/>
      </c>
      <c r="BI53" s="68">
        <f>BH53*Input!$AA$36</f>
        <v/>
      </c>
      <c r="BJ53" s="68">
        <f>IF(AM53="Sand",0,MAX(AV53/Input!$AA$37,AQ53))</f>
        <v/>
      </c>
      <c r="BK53" s="68">
        <f>IF(AM53="Sand",0,1000*AK53/(1+AU53)*IF(AQ53+BC53&lt;=BJ53,BI53*LOG10((AQ53+BC53)/AQ53),BI53*LOG10(BJ53/AQ53)+BH53*LOG10((AQ53+BC53)/BJ53)))*BF53</f>
        <v/>
      </c>
      <c r="BL53" s="68">
        <f>IF(AM53="Sand",0,10^(INDEX(Input!$Q$48:$Q$54,MIN(MATCH(MIN(MAX(AR53,30),120),Input!$C$48:$C$54,1),6))+(MIN(MAX(AR53,30),120)-INDEX(Input!$C$48:$C$54,MIN(MATCH(MIN(MAX(AR53,30),120),Input!$C$48:$C$54,1),6)))/(INDEX(Input!$C$48:$C$54,MIN(MATCH(MIN(MAX(AR53,30),120),Input!$C$48:$C$54,1),6)+1)-INDEX(Input!$C$48:$C$54,MIN(MATCH(MIN(MAX(AR53,30),120),Input!$C$48:$C$54,1),6)))*(INDEX(Input!$Q$48:$Q$54,MIN(MATCH(MIN(MAX(AR53,30),120),Input!$C$48:$C$54,1),6)+1)-INDEX(Input!$Q$48:$Q$54,MIN(MATCH(MIN(MAX(AR53,30),120),Input!$C$48:$C$54,1),6)))))</f>
        <v/>
      </c>
      <c r="BM53" s="68">
        <f>IF(OR(AM53="Sand",BF53=0),0,Input!$AA$38*(AK53/2)^2/(BL53*1E-4*31536000))</f>
        <v/>
      </c>
      <c r="BN53" s="68">
        <f>MAX(0,MIN(AJ53,Input!$AA$20)-AI53)</f>
        <v/>
      </c>
      <c r="BO53" s="68">
        <f>MAX(0,MIN(AJ53,Input!$AA$20)-MAX(AI53,$AA$22))</f>
        <v/>
      </c>
      <c r="BP53" s="68">
        <f>MAX(0,MIN(AJ53,$AA$225)-AI53)</f>
        <v/>
      </c>
      <c r="BQ53" s="68" t="inlineStr">
        <is>
          <t>data copied from BH-02</t>
        </is>
      </c>
    </row>
    <row r="54">
      <c r="B54" s="9" t="n"/>
      <c r="C54" s="57" t="n">
        <v>27</v>
      </c>
      <c r="D54" s="41" t="n"/>
      <c r="E54" s="55">
        <f>AI54</f>
        <v/>
      </c>
      <c r="F54" s="41" t="n"/>
      <c r="G54" s="41" t="n"/>
      <c r="H54" s="55">
        <f>AJ54</f>
        <v/>
      </c>
      <c r="I54" s="41" t="n"/>
      <c r="J54" s="41" t="n"/>
      <c r="K54" s="52">
        <f>AM54</f>
        <v/>
      </c>
      <c r="L54" s="41" t="n"/>
      <c r="M54" s="41" t="n"/>
      <c r="N54" s="57">
        <f>AN54</f>
        <v/>
      </c>
      <c r="O54" s="41" t="n"/>
      <c r="P54" s="41" t="n"/>
      <c r="Q54" s="53">
        <f>AO54</f>
        <v/>
      </c>
      <c r="R54" s="41" t="n"/>
      <c r="S54" s="41" t="n"/>
      <c r="T54" s="57">
        <f>IF(AR54="","-",AR54)</f>
        <v/>
      </c>
      <c r="U54" s="41" t="n"/>
      <c r="V54" s="57">
        <f>IF(AT54="","-",AT54)</f>
        <v/>
      </c>
      <c r="W54" s="41" t="n"/>
      <c r="X54" s="55">
        <f>AU54</f>
        <v/>
      </c>
      <c r="Y54" s="41" t="n"/>
      <c r="Z54" s="66">
        <f>AV54</f>
        <v/>
      </c>
      <c r="AA54" s="41" t="n"/>
      <c r="AB54" s="41" t="n"/>
      <c r="AC54" s="53">
        <f>AW54</f>
        <v/>
      </c>
      <c r="AD54" s="41" t="n"/>
      <c r="AE54" s="41" t="n"/>
      <c r="AF54" s="15" t="n"/>
      <c r="AI54" s="67" t="n">
        <v>39</v>
      </c>
      <c r="AJ54" s="67" t="n">
        <v>40.5</v>
      </c>
      <c r="AK54" s="68">
        <f>AJ54-AI54</f>
        <v/>
      </c>
      <c r="AL54" s="68">
        <f>(AI54+AJ54)/2</f>
        <v/>
      </c>
      <c r="AM54" s="67" t="inlineStr">
        <is>
          <t>Sand</t>
        </is>
      </c>
      <c r="AN54" s="67" t="n">
        <v>50</v>
      </c>
      <c r="AO54" s="68">
        <f>IF(AL54&gt;$AA$19,$AA$21,$AA$20)</f>
        <v/>
      </c>
      <c r="AP54" s="68">
        <f>AP53+AO54*AK54</f>
        <v/>
      </c>
      <c r="AQ54" s="68">
        <f>AP54-AO54*AK54/2-10*MAX(AL54-$AA$19,0)</f>
        <v/>
      </c>
      <c r="AR54" s="67" t="n"/>
      <c r="AS54" s="67" t="n"/>
      <c r="AT54" s="68">
        <f>IF(AR54="","",AR54-AS54)</f>
        <v/>
      </c>
      <c r="AU54" s="67" t="n">
        <v>0.65</v>
      </c>
      <c r="AV54" s="68">
        <f>IF(AM54="Sand",0,Input!$AA$31*AN54)</f>
        <v/>
      </c>
      <c r="AW54" s="68">
        <f>IF(AM54="Sand",27.1+0.3*MIN(Input!$AA$32*AN54,60)-0.00054*MIN(Input!$AA$32*AN54,60)^2,MIN(MAX(DEGREES(ASIN(0.8-0.094*LN(MAX(IF(AT54="",10,AT54),5)))),20),30))</f>
        <v/>
      </c>
      <c r="AX54" s="68">
        <f>IF(AM54="Sand",Input!$AA$33*Input!$AA$32*AN54,Input!$AA$34*AV54)</f>
        <v/>
      </c>
      <c r="AY54" s="68">
        <f>IF(AM54="Sand",Input!$AA$35,0.5)</f>
        <v/>
      </c>
      <c r="AZ54" s="68">
        <f>Input!$AA$15/2/AL54</f>
        <v/>
      </c>
      <c r="BA54" s="68">
        <f>Input!$AA$16/2/AL54</f>
        <v/>
      </c>
      <c r="BB54" s="68">
        <f>1/(4*PI())*(2*AZ54*BA54*SQRT(AZ54^2+BA54^2+1)/(AZ54^2+BA54^2+1+AZ54^2*BA54^2)*(AZ54^2+BA54^2+2)/(AZ54^2+BA54^2+1)+ATAN2(AZ54^2+BA54^2+1-AZ54^2*BA54^2,2*AZ54*BA54*SQRT(AZ54^2+BA54^2+1)))</f>
        <v/>
      </c>
      <c r="BC54" s="68">
        <f>4*Input!$AA$14*BB54</f>
        <v/>
      </c>
      <c r="BD54" s="68">
        <f>((Input!$AA$16/Input!$AA$15)*LN((1+SQRT((Input!$AA$16/Input!$AA$15)^2+1))*SQRT((Input!$AA$16/Input!$AA$15)^2+(AJ54/(Input!$AA$15/2))^2)/((Input!$AA$16/Input!$AA$15)*(1+SQRT((Input!$AA$16/Input!$AA$15)^2+(AJ54/(Input!$AA$15/2))^2+1))))+LN(((Input!$AA$16/Input!$AA$15)+SQRT((Input!$AA$16/Input!$AA$15)^2+1))*SQRT(1+(AJ54/(Input!$AA$15/2))^2)/((Input!$AA$16/Input!$AA$15)+SQRT((Input!$AA$16/Input!$AA$15)^2+(AJ54/(Input!$AA$15/2))^2+1))))/PI()</f>
        <v/>
      </c>
      <c r="BE54" s="68">
        <f>(AJ54/(Input!$AA$15/2))/(2*PI())*ATAN((Input!$AA$16/Input!$AA$15)/((AJ54/(Input!$AA$15/2))*SQRT((Input!$AA$16/Input!$AA$15)^2+(AJ54/(Input!$AA$15/2))^2+1)))</f>
        <v/>
      </c>
      <c r="BF54" s="68">
        <f>MAX(0,AJ54-MAX(AI54,$AA$22))/AK54*IF(BC54&gt;=Input!$AA$21*AQ54,1,0)</f>
        <v/>
      </c>
      <c r="BG54" s="68">
        <f>4*Input!$AA$14*(Input!$AA$15/2)*(1-AY54^2)/AX54*((BD54-BD53)+(1-2*AY54)/(1-AY54)*(BE54-BE53))*1000*BF54</f>
        <v/>
      </c>
      <c r="BH54" s="68">
        <f>IF(AM54="Sand",0,0.009*(AR54-10))</f>
        <v/>
      </c>
      <c r="BI54" s="68">
        <f>BH54*Input!$AA$36</f>
        <v/>
      </c>
      <c r="BJ54" s="68">
        <f>IF(AM54="Sand",0,MAX(AV54/Input!$AA$37,AQ54))</f>
        <v/>
      </c>
      <c r="BK54" s="68">
        <f>IF(AM54="Sand",0,1000*AK54/(1+AU54)*IF(AQ54+BC54&lt;=BJ54,BI54*LOG10((AQ54+BC54)/AQ54),BI54*LOG10(BJ54/AQ54)+BH54*LOG10((AQ54+BC54)/BJ54)))*BF54</f>
        <v/>
      </c>
      <c r="BL54" s="68">
        <f>IF(AM54="Sand",0,10^(INDEX(Input!$Q$48:$Q$54,MIN(MATCH(MIN(MAX(AR54,30),120),Input!$C$48:$C$54,1),6))+(MIN(MAX(AR54,30),120)-INDEX(Input!$C$48:$C$54,MIN(MATCH(MIN(MAX(AR54,30),120),Input!$C$48:$C$54,1),6)))/(INDEX(Input!$C$48:$C$54,MIN(MATCH(MIN(MAX(AR54,30),120),Input!$C$48:$C$54,1),6)+1)-INDEX(Input!$C$48:$C$54,MIN(MATCH(MIN(MAX(AR54,30),120),Input!$C$48:$C$54,1),6)))*(INDEX(Input!$Q$48:$Q$54,MIN(MATCH(MIN(MAX(AR54,30),120),Input!$C$48:$C$54,1),6)+1)-INDEX(Input!$Q$48:$Q$54,MIN(MATCH(MIN(MAX(AR54,30),120),Input!$C$48:$C$54,1),6)))))</f>
        <v/>
      </c>
      <c r="BM54" s="68">
        <f>IF(OR(AM54="Sand",BF54=0),0,Input!$AA$38*(AK54/2)^2/(BL54*1E-4*31536000))</f>
        <v/>
      </c>
      <c r="BN54" s="68">
        <f>MAX(0,MIN(AJ54,Input!$AA$20)-AI54)</f>
        <v/>
      </c>
      <c r="BO54" s="68">
        <f>MAX(0,MIN(AJ54,Input!$AA$20)-MAX(AI54,$AA$22))</f>
        <v/>
      </c>
      <c r="BP54" s="68">
        <f>MAX(0,MIN(AJ54,$AA$225)-AI54)</f>
        <v/>
      </c>
      <c r="BQ54" s="68" t="inlineStr">
        <is>
          <t>data copied from BH-02</t>
        </is>
      </c>
    </row>
    <row r="55">
      <c r="B55" s="9" t="n"/>
      <c r="C55" s="57" t="n">
        <v>28</v>
      </c>
      <c r="D55" s="41" t="n"/>
      <c r="E55" s="55">
        <f>AI55</f>
        <v/>
      </c>
      <c r="F55" s="41" t="n"/>
      <c r="G55" s="41" t="n"/>
      <c r="H55" s="55">
        <f>AJ55</f>
        <v/>
      </c>
      <c r="I55" s="41" t="n"/>
      <c r="J55" s="41" t="n"/>
      <c r="K55" s="52">
        <f>AM55</f>
        <v/>
      </c>
      <c r="L55" s="41" t="n"/>
      <c r="M55" s="41" t="n"/>
      <c r="N55" s="57">
        <f>AN55</f>
        <v/>
      </c>
      <c r="O55" s="41" t="n"/>
      <c r="P55" s="41" t="n"/>
      <c r="Q55" s="53">
        <f>AO55</f>
        <v/>
      </c>
      <c r="R55" s="41" t="n"/>
      <c r="S55" s="41" t="n"/>
      <c r="T55" s="57">
        <f>IF(AR55="","-",AR55)</f>
        <v/>
      </c>
      <c r="U55" s="41" t="n"/>
      <c r="V55" s="57">
        <f>IF(AT55="","-",AT55)</f>
        <v/>
      </c>
      <c r="W55" s="41" t="n"/>
      <c r="X55" s="55">
        <f>AU55</f>
        <v/>
      </c>
      <c r="Y55" s="41" t="n"/>
      <c r="Z55" s="66">
        <f>AV55</f>
        <v/>
      </c>
      <c r="AA55" s="41" t="n"/>
      <c r="AB55" s="41" t="n"/>
      <c r="AC55" s="53">
        <f>AW55</f>
        <v/>
      </c>
      <c r="AD55" s="41" t="n"/>
      <c r="AE55" s="41" t="n"/>
      <c r="AF55" s="15" t="n"/>
      <c r="AI55" s="67" t="n">
        <v>40.5</v>
      </c>
      <c r="AJ55" s="67" t="n">
        <v>42</v>
      </c>
      <c r="AK55" s="68">
        <f>AJ55-AI55</f>
        <v/>
      </c>
      <c r="AL55" s="68">
        <f>(AI55+AJ55)/2</f>
        <v/>
      </c>
      <c r="AM55" s="67" t="inlineStr">
        <is>
          <t>Sand</t>
        </is>
      </c>
      <c r="AN55" s="67" t="n">
        <v>37</v>
      </c>
      <c r="AO55" s="68">
        <f>IF(AL55&gt;$AA$19,$AA$21,$AA$20)</f>
        <v/>
      </c>
      <c r="AP55" s="68">
        <f>AP54+AO55*AK55</f>
        <v/>
      </c>
      <c r="AQ55" s="68">
        <f>AP55-AO55*AK55/2-10*MAX(AL55-$AA$19,0)</f>
        <v/>
      </c>
      <c r="AR55" s="67" t="n"/>
      <c r="AS55" s="67" t="n"/>
      <c r="AT55" s="68">
        <f>IF(AR55="","",AR55-AS55)</f>
        <v/>
      </c>
      <c r="AU55" s="67" t="n">
        <v>0.65</v>
      </c>
      <c r="AV55" s="68">
        <f>IF(AM55="Sand",0,Input!$AA$31*AN55)</f>
        <v/>
      </c>
      <c r="AW55" s="68">
        <f>IF(AM55="Sand",27.1+0.3*MIN(Input!$AA$32*AN55,60)-0.00054*MIN(Input!$AA$32*AN55,60)^2,MIN(MAX(DEGREES(ASIN(0.8-0.094*LN(MAX(IF(AT55="",10,AT55),5)))),20),30))</f>
        <v/>
      </c>
      <c r="AX55" s="68">
        <f>IF(AM55="Sand",Input!$AA$33*Input!$AA$32*AN55,Input!$AA$34*AV55)</f>
        <v/>
      </c>
      <c r="AY55" s="68">
        <f>IF(AM55="Sand",Input!$AA$35,0.5)</f>
        <v/>
      </c>
      <c r="AZ55" s="68">
        <f>Input!$AA$15/2/AL55</f>
        <v/>
      </c>
      <c r="BA55" s="68">
        <f>Input!$AA$16/2/AL55</f>
        <v/>
      </c>
      <c r="BB55" s="68">
        <f>1/(4*PI())*(2*AZ55*BA55*SQRT(AZ55^2+BA55^2+1)/(AZ55^2+BA55^2+1+AZ55^2*BA55^2)*(AZ55^2+BA55^2+2)/(AZ55^2+BA55^2+1)+ATAN2(AZ55^2+BA55^2+1-AZ55^2*BA55^2,2*AZ55*BA55*SQRT(AZ55^2+BA55^2+1)))</f>
        <v/>
      </c>
      <c r="BC55" s="68">
        <f>4*Input!$AA$14*BB55</f>
        <v/>
      </c>
      <c r="BD55" s="68">
        <f>((Input!$AA$16/Input!$AA$15)*LN((1+SQRT((Input!$AA$16/Input!$AA$15)^2+1))*SQRT((Input!$AA$16/Input!$AA$15)^2+(AJ55/(Input!$AA$15/2))^2)/((Input!$AA$16/Input!$AA$15)*(1+SQRT((Input!$AA$16/Input!$AA$15)^2+(AJ55/(Input!$AA$15/2))^2+1))))+LN(((Input!$AA$16/Input!$AA$15)+SQRT((Input!$AA$16/Input!$AA$15)^2+1))*SQRT(1+(AJ55/(Input!$AA$15/2))^2)/((Input!$AA$16/Input!$AA$15)+SQRT((Input!$AA$16/Input!$AA$15)^2+(AJ55/(Input!$AA$15/2))^2+1))))/PI()</f>
        <v/>
      </c>
      <c r="BE55" s="68">
        <f>(AJ55/(Input!$AA$15/2))/(2*PI())*ATAN((Input!$AA$16/Input!$AA$15)/((AJ55/(Input!$AA$15/2))*SQRT((Input!$AA$16/Input!$AA$15)^2+(AJ55/(Input!$AA$15/2))^2+1)))</f>
        <v/>
      </c>
      <c r="BF55" s="68">
        <f>MAX(0,AJ55-MAX(AI55,$AA$22))/AK55*IF(BC55&gt;=Input!$AA$21*AQ55,1,0)</f>
        <v/>
      </c>
      <c r="BG55" s="68">
        <f>4*Input!$AA$14*(Input!$AA$15/2)*(1-AY55^2)/AX55*((BD55-BD54)+(1-2*AY55)/(1-AY55)*(BE55-BE54))*1000*BF55</f>
        <v/>
      </c>
      <c r="BH55" s="68">
        <f>IF(AM55="Sand",0,0.009*(AR55-10))</f>
        <v/>
      </c>
      <c r="BI55" s="68">
        <f>BH55*Input!$AA$36</f>
        <v/>
      </c>
      <c r="BJ55" s="68">
        <f>IF(AM55="Sand",0,MAX(AV55/Input!$AA$37,AQ55))</f>
        <v/>
      </c>
      <c r="BK55" s="68">
        <f>IF(AM55="Sand",0,1000*AK55/(1+AU55)*IF(AQ55+BC55&lt;=BJ55,BI55*LOG10((AQ55+BC55)/AQ55),BI55*LOG10(BJ55/AQ55)+BH55*LOG10((AQ55+BC55)/BJ55)))*BF55</f>
        <v/>
      </c>
      <c r="BL55" s="68">
        <f>IF(AM55="Sand",0,10^(INDEX(Input!$Q$48:$Q$54,MIN(MATCH(MIN(MAX(AR55,30),120),Input!$C$48:$C$54,1),6))+(MIN(MAX(AR55,30),120)-INDEX(Input!$C$48:$C$54,MIN(MATCH(MIN(MAX(AR55,30),120),Input!$C$48:$C$54,1),6)))/(INDEX(Input!$C$48:$C$54,MIN(MATCH(MIN(MAX(AR55,30),120),Input!$C$48:$C$54,1),6)+1)-INDEX(Input!$C$48:$C$54,MIN(MATCH(MIN(MAX(AR55,30),120),Input!$C$48:$C$54,1),6)))*(INDEX(Input!$Q$48:$Q$54,MIN(MATCH(MIN(MAX(AR55,30),120),Input!$C$48:$C$54,1),6)+1)-INDEX(Input!$Q$48:$Q$54,MIN(MATCH(MIN(MAX(AR55,30),120),Input!$C$48:$C$54,1),6)))))</f>
        <v/>
      </c>
      <c r="BM55" s="68">
        <f>IF(OR(AM55="Sand",BF55=0),0,Input!$AA$38*(AK55/2)^2/(BL55*1E-4*31536000))</f>
        <v/>
      </c>
      <c r="BN55" s="68">
        <f>MAX(0,MIN(AJ55,Input!$AA$20)-AI55)</f>
        <v/>
      </c>
      <c r="BO55" s="68">
        <f>MAX(0,MIN(AJ55,Input!$AA$20)-MAX(AI55,$AA$22))</f>
        <v/>
      </c>
      <c r="BP55" s="68">
        <f>MAX(0,MIN(AJ55,$AA$225)-AI55)</f>
        <v/>
      </c>
      <c r="BQ55" s="68" t="inlineStr">
        <is>
          <t>data copied from BH-02</t>
        </is>
      </c>
    </row>
    <row r="56">
      <c r="B56" s="9" t="n"/>
      <c r="C56" s="57" t="n">
        <v>29</v>
      </c>
      <c r="D56" s="41" t="n"/>
      <c r="E56" s="55">
        <f>AI56</f>
        <v/>
      </c>
      <c r="F56" s="41" t="n"/>
      <c r="G56" s="41" t="n"/>
      <c r="H56" s="55">
        <f>AJ56</f>
        <v/>
      </c>
      <c r="I56" s="41" t="n"/>
      <c r="J56" s="41" t="n"/>
      <c r="K56" s="52">
        <f>AM56</f>
        <v/>
      </c>
      <c r="L56" s="41" t="n"/>
      <c r="M56" s="41" t="n"/>
      <c r="N56" s="57">
        <f>AN56</f>
        <v/>
      </c>
      <c r="O56" s="41" t="n"/>
      <c r="P56" s="41" t="n"/>
      <c r="Q56" s="53">
        <f>AO56</f>
        <v/>
      </c>
      <c r="R56" s="41" t="n"/>
      <c r="S56" s="41" t="n"/>
      <c r="T56" s="57">
        <f>IF(AR56="","-",AR56)</f>
        <v/>
      </c>
      <c r="U56" s="41" t="n"/>
      <c r="V56" s="57">
        <f>IF(AT56="","-",AT56)</f>
        <v/>
      </c>
      <c r="W56" s="41" t="n"/>
      <c r="X56" s="55">
        <f>AU56</f>
        <v/>
      </c>
      <c r="Y56" s="41" t="n"/>
      <c r="Z56" s="66">
        <f>AV56</f>
        <v/>
      </c>
      <c r="AA56" s="41" t="n"/>
      <c r="AB56" s="41" t="n"/>
      <c r="AC56" s="53">
        <f>AW56</f>
        <v/>
      </c>
      <c r="AD56" s="41" t="n"/>
      <c r="AE56" s="41" t="n"/>
      <c r="AF56" s="15" t="n"/>
      <c r="AI56" s="67" t="n">
        <v>42</v>
      </c>
      <c r="AJ56" s="67" t="n">
        <v>43.5</v>
      </c>
      <c r="AK56" s="68">
        <f>AJ56-AI56</f>
        <v/>
      </c>
      <c r="AL56" s="68">
        <f>(AI56+AJ56)/2</f>
        <v/>
      </c>
      <c r="AM56" s="67" t="inlineStr">
        <is>
          <t>Sand</t>
        </is>
      </c>
      <c r="AN56" s="67" t="n">
        <v>50</v>
      </c>
      <c r="AO56" s="68">
        <f>IF(AL56&gt;$AA$19,$AA$21,$AA$20)</f>
        <v/>
      </c>
      <c r="AP56" s="68">
        <f>AP55+AO56*AK56</f>
        <v/>
      </c>
      <c r="AQ56" s="68">
        <f>AP56-AO56*AK56/2-10*MAX(AL56-$AA$19,0)</f>
        <v/>
      </c>
      <c r="AR56" s="67" t="n"/>
      <c r="AS56" s="67" t="n"/>
      <c r="AT56" s="68">
        <f>IF(AR56="","",AR56-AS56)</f>
        <v/>
      </c>
      <c r="AU56" s="67" t="n">
        <v>0.65</v>
      </c>
      <c r="AV56" s="68">
        <f>IF(AM56="Sand",0,Input!$AA$31*AN56)</f>
        <v/>
      </c>
      <c r="AW56" s="68">
        <f>IF(AM56="Sand",27.1+0.3*MIN(Input!$AA$32*AN56,60)-0.00054*MIN(Input!$AA$32*AN56,60)^2,MIN(MAX(DEGREES(ASIN(0.8-0.094*LN(MAX(IF(AT56="",10,AT56),5)))),20),30))</f>
        <v/>
      </c>
      <c r="AX56" s="68">
        <f>IF(AM56="Sand",Input!$AA$33*Input!$AA$32*AN56,Input!$AA$34*AV56)</f>
        <v/>
      </c>
      <c r="AY56" s="68">
        <f>IF(AM56="Sand",Input!$AA$35,0.5)</f>
        <v/>
      </c>
      <c r="AZ56" s="68">
        <f>Input!$AA$15/2/AL56</f>
        <v/>
      </c>
      <c r="BA56" s="68">
        <f>Input!$AA$16/2/AL56</f>
        <v/>
      </c>
      <c r="BB56" s="68">
        <f>1/(4*PI())*(2*AZ56*BA56*SQRT(AZ56^2+BA56^2+1)/(AZ56^2+BA56^2+1+AZ56^2*BA56^2)*(AZ56^2+BA56^2+2)/(AZ56^2+BA56^2+1)+ATAN2(AZ56^2+BA56^2+1-AZ56^2*BA56^2,2*AZ56*BA56*SQRT(AZ56^2+BA56^2+1)))</f>
        <v/>
      </c>
      <c r="BC56" s="68">
        <f>4*Input!$AA$14*BB56</f>
        <v/>
      </c>
      <c r="BD56" s="68">
        <f>((Input!$AA$16/Input!$AA$15)*LN((1+SQRT((Input!$AA$16/Input!$AA$15)^2+1))*SQRT((Input!$AA$16/Input!$AA$15)^2+(AJ56/(Input!$AA$15/2))^2)/((Input!$AA$16/Input!$AA$15)*(1+SQRT((Input!$AA$16/Input!$AA$15)^2+(AJ56/(Input!$AA$15/2))^2+1))))+LN(((Input!$AA$16/Input!$AA$15)+SQRT((Input!$AA$16/Input!$AA$15)^2+1))*SQRT(1+(AJ56/(Input!$AA$15/2))^2)/((Input!$AA$16/Input!$AA$15)+SQRT((Input!$AA$16/Input!$AA$15)^2+(AJ56/(Input!$AA$15/2))^2+1))))/PI()</f>
        <v/>
      </c>
      <c r="BE56" s="68">
        <f>(AJ56/(Input!$AA$15/2))/(2*PI())*ATAN((Input!$AA$16/Input!$AA$15)/((AJ56/(Input!$AA$15/2))*SQRT((Input!$AA$16/Input!$AA$15)^2+(AJ56/(Input!$AA$15/2))^2+1)))</f>
        <v/>
      </c>
      <c r="BF56" s="68">
        <f>MAX(0,AJ56-MAX(AI56,$AA$22))/AK56*IF(BC56&gt;=Input!$AA$21*AQ56,1,0)</f>
        <v/>
      </c>
      <c r="BG56" s="68">
        <f>4*Input!$AA$14*(Input!$AA$15/2)*(1-AY56^2)/AX56*((BD56-BD55)+(1-2*AY56)/(1-AY56)*(BE56-BE55))*1000*BF56</f>
        <v/>
      </c>
      <c r="BH56" s="68">
        <f>IF(AM56="Sand",0,0.009*(AR56-10))</f>
        <v/>
      </c>
      <c r="BI56" s="68">
        <f>BH56*Input!$AA$36</f>
        <v/>
      </c>
      <c r="BJ56" s="68">
        <f>IF(AM56="Sand",0,MAX(AV56/Input!$AA$37,AQ56))</f>
        <v/>
      </c>
      <c r="BK56" s="68">
        <f>IF(AM56="Sand",0,1000*AK56/(1+AU56)*IF(AQ56+BC56&lt;=BJ56,BI56*LOG10((AQ56+BC56)/AQ56),BI56*LOG10(BJ56/AQ56)+BH56*LOG10((AQ56+BC56)/BJ56)))*BF56</f>
        <v/>
      </c>
      <c r="BL56" s="68">
        <f>IF(AM56="Sand",0,10^(INDEX(Input!$Q$48:$Q$54,MIN(MATCH(MIN(MAX(AR56,30),120),Input!$C$48:$C$54,1),6))+(MIN(MAX(AR56,30),120)-INDEX(Input!$C$48:$C$54,MIN(MATCH(MIN(MAX(AR56,30),120),Input!$C$48:$C$54,1),6)))/(INDEX(Input!$C$48:$C$54,MIN(MATCH(MIN(MAX(AR56,30),120),Input!$C$48:$C$54,1),6)+1)-INDEX(Input!$C$48:$C$54,MIN(MATCH(MIN(MAX(AR56,30),120),Input!$C$48:$C$54,1),6)))*(INDEX(Input!$Q$48:$Q$54,MIN(MATCH(MIN(MAX(AR56,30),120),Input!$C$48:$C$54,1),6)+1)-INDEX(Input!$Q$48:$Q$54,MIN(MATCH(MIN(MAX(AR56,30),120),Input!$C$48:$C$54,1),6)))))</f>
        <v/>
      </c>
      <c r="BM56" s="68">
        <f>IF(OR(AM56="Sand",BF56=0),0,Input!$AA$38*(AK56/2)^2/(BL56*1E-4*31536000))</f>
        <v/>
      </c>
      <c r="BN56" s="68">
        <f>MAX(0,MIN(AJ56,Input!$AA$20)-AI56)</f>
        <v/>
      </c>
      <c r="BO56" s="68">
        <f>MAX(0,MIN(AJ56,Input!$AA$20)-MAX(AI56,$AA$22))</f>
        <v/>
      </c>
      <c r="BP56" s="68">
        <f>MAX(0,MIN(AJ56,$AA$225)-AI56)</f>
        <v/>
      </c>
      <c r="BQ56" s="68" t="inlineStr">
        <is>
          <t>data copied from BH-02</t>
        </is>
      </c>
    </row>
    <row r="57">
      <c r="B57" s="9" t="n"/>
      <c r="C57" s="57" t="n">
        <v>30</v>
      </c>
      <c r="D57" s="41" t="n"/>
      <c r="E57" s="55">
        <f>AI57</f>
        <v/>
      </c>
      <c r="F57" s="41" t="n"/>
      <c r="G57" s="41" t="n"/>
      <c r="H57" s="55">
        <f>AJ57</f>
        <v/>
      </c>
      <c r="I57" s="41" t="n"/>
      <c r="J57" s="41" t="n"/>
      <c r="K57" s="52">
        <f>AM57</f>
        <v/>
      </c>
      <c r="L57" s="41" t="n"/>
      <c r="M57" s="41" t="n"/>
      <c r="N57" s="57">
        <f>AN57</f>
        <v/>
      </c>
      <c r="O57" s="41" t="n"/>
      <c r="P57" s="41" t="n"/>
      <c r="Q57" s="53">
        <f>AO57</f>
        <v/>
      </c>
      <c r="R57" s="41" t="n"/>
      <c r="S57" s="41" t="n"/>
      <c r="T57" s="57">
        <f>IF(AR57="","-",AR57)</f>
        <v/>
      </c>
      <c r="U57" s="41" t="n"/>
      <c r="V57" s="57">
        <f>IF(AT57="","-",AT57)</f>
        <v/>
      </c>
      <c r="W57" s="41" t="n"/>
      <c r="X57" s="55">
        <f>AU57</f>
        <v/>
      </c>
      <c r="Y57" s="41" t="n"/>
      <c r="Z57" s="66">
        <f>AV57</f>
        <v/>
      </c>
      <c r="AA57" s="41" t="n"/>
      <c r="AB57" s="41" t="n"/>
      <c r="AC57" s="53">
        <f>AW57</f>
        <v/>
      </c>
      <c r="AD57" s="41" t="n"/>
      <c r="AE57" s="41" t="n"/>
      <c r="AF57" s="15" t="n"/>
      <c r="AI57" s="67" t="n">
        <v>43.5</v>
      </c>
      <c r="AJ57" s="67" t="n">
        <v>45</v>
      </c>
      <c r="AK57" s="68">
        <f>AJ57-AI57</f>
        <v/>
      </c>
      <c r="AL57" s="68">
        <f>(AI57+AJ57)/2</f>
        <v/>
      </c>
      <c r="AM57" s="67" t="inlineStr">
        <is>
          <t>Sand</t>
        </is>
      </c>
      <c r="AN57" s="67" t="n">
        <v>50</v>
      </c>
      <c r="AO57" s="68">
        <f>IF(AL57&gt;$AA$19,$AA$21,$AA$20)</f>
        <v/>
      </c>
      <c r="AP57" s="68">
        <f>AP56+AO57*AK57</f>
        <v/>
      </c>
      <c r="AQ57" s="68">
        <f>AP57-AO57*AK57/2-10*MAX(AL57-$AA$19,0)</f>
        <v/>
      </c>
      <c r="AR57" s="67" t="n"/>
      <c r="AS57" s="67" t="n"/>
      <c r="AT57" s="68">
        <f>IF(AR57="","",AR57-AS57)</f>
        <v/>
      </c>
      <c r="AU57" s="67" t="n">
        <v>0.65</v>
      </c>
      <c r="AV57" s="68">
        <f>IF(AM57="Sand",0,Input!$AA$31*AN57)</f>
        <v/>
      </c>
      <c r="AW57" s="68">
        <f>IF(AM57="Sand",27.1+0.3*MIN(Input!$AA$32*AN57,60)-0.00054*MIN(Input!$AA$32*AN57,60)^2,MIN(MAX(DEGREES(ASIN(0.8-0.094*LN(MAX(IF(AT57="",10,AT57),5)))),20),30))</f>
        <v/>
      </c>
      <c r="AX57" s="68">
        <f>IF(AM57="Sand",Input!$AA$33*Input!$AA$32*AN57,Input!$AA$34*AV57)</f>
        <v/>
      </c>
      <c r="AY57" s="68">
        <f>IF(AM57="Sand",Input!$AA$35,0.5)</f>
        <v/>
      </c>
      <c r="AZ57" s="68">
        <f>Input!$AA$15/2/AL57</f>
        <v/>
      </c>
      <c r="BA57" s="68">
        <f>Input!$AA$16/2/AL57</f>
        <v/>
      </c>
      <c r="BB57" s="68">
        <f>1/(4*PI())*(2*AZ57*BA57*SQRT(AZ57^2+BA57^2+1)/(AZ57^2+BA57^2+1+AZ57^2*BA57^2)*(AZ57^2+BA57^2+2)/(AZ57^2+BA57^2+1)+ATAN2(AZ57^2+BA57^2+1-AZ57^2*BA57^2,2*AZ57*BA57*SQRT(AZ57^2+BA57^2+1)))</f>
        <v/>
      </c>
      <c r="BC57" s="68">
        <f>4*Input!$AA$14*BB57</f>
        <v/>
      </c>
      <c r="BD57" s="68">
        <f>((Input!$AA$16/Input!$AA$15)*LN((1+SQRT((Input!$AA$16/Input!$AA$15)^2+1))*SQRT((Input!$AA$16/Input!$AA$15)^2+(AJ57/(Input!$AA$15/2))^2)/((Input!$AA$16/Input!$AA$15)*(1+SQRT((Input!$AA$16/Input!$AA$15)^2+(AJ57/(Input!$AA$15/2))^2+1))))+LN(((Input!$AA$16/Input!$AA$15)+SQRT((Input!$AA$16/Input!$AA$15)^2+1))*SQRT(1+(AJ57/(Input!$AA$15/2))^2)/((Input!$AA$16/Input!$AA$15)+SQRT((Input!$AA$16/Input!$AA$15)^2+(AJ57/(Input!$AA$15/2))^2+1))))/PI()</f>
        <v/>
      </c>
      <c r="BE57" s="68">
        <f>(AJ57/(Input!$AA$15/2))/(2*PI())*ATAN((Input!$AA$16/Input!$AA$15)/((AJ57/(Input!$AA$15/2))*SQRT((Input!$AA$16/Input!$AA$15)^2+(AJ57/(Input!$AA$15/2))^2+1)))</f>
        <v/>
      </c>
      <c r="BF57" s="68">
        <f>MAX(0,AJ57-MAX(AI57,$AA$22))/AK57*IF(BC57&gt;=Input!$AA$21*AQ57,1,0)</f>
        <v/>
      </c>
      <c r="BG57" s="68">
        <f>4*Input!$AA$14*(Input!$AA$15/2)*(1-AY57^2)/AX57*((BD57-BD56)+(1-2*AY57)/(1-AY57)*(BE57-BE56))*1000*BF57</f>
        <v/>
      </c>
      <c r="BH57" s="68">
        <f>IF(AM57="Sand",0,0.009*(AR57-10))</f>
        <v/>
      </c>
      <c r="BI57" s="68">
        <f>BH57*Input!$AA$36</f>
        <v/>
      </c>
      <c r="BJ57" s="68">
        <f>IF(AM57="Sand",0,MAX(AV57/Input!$AA$37,AQ57))</f>
        <v/>
      </c>
      <c r="BK57" s="68">
        <f>IF(AM57="Sand",0,1000*AK57/(1+AU57)*IF(AQ57+BC57&lt;=BJ57,BI57*LOG10((AQ57+BC57)/AQ57),BI57*LOG10(BJ57/AQ57)+BH57*LOG10((AQ57+BC57)/BJ57)))*BF57</f>
        <v/>
      </c>
      <c r="BL57" s="68">
        <f>IF(AM57="Sand",0,10^(INDEX(Input!$Q$48:$Q$54,MIN(MATCH(MIN(MAX(AR57,30),120),Input!$C$48:$C$54,1),6))+(MIN(MAX(AR57,30),120)-INDEX(Input!$C$48:$C$54,MIN(MATCH(MIN(MAX(AR57,30),120),Input!$C$48:$C$54,1),6)))/(INDEX(Input!$C$48:$C$54,MIN(MATCH(MIN(MAX(AR57,30),120),Input!$C$48:$C$54,1),6)+1)-INDEX(Input!$C$48:$C$54,MIN(MATCH(MIN(MAX(AR57,30),120),Input!$C$48:$C$54,1),6)))*(INDEX(Input!$Q$48:$Q$54,MIN(MATCH(MIN(MAX(AR57,30),120),Input!$C$48:$C$54,1),6)+1)-INDEX(Input!$Q$48:$Q$54,MIN(MATCH(MIN(MAX(AR57,30),120),Input!$C$48:$C$54,1),6)))))</f>
        <v/>
      </c>
      <c r="BM57" s="68">
        <f>IF(OR(AM57="Sand",BF57=0),0,Input!$AA$38*(AK57/2)^2/(BL57*1E-4*31536000))</f>
        <v/>
      </c>
      <c r="BN57" s="68">
        <f>MAX(0,MIN(AJ57,Input!$AA$20)-AI57)</f>
        <v/>
      </c>
      <c r="BO57" s="68">
        <f>MAX(0,MIN(AJ57,Input!$AA$20)-MAX(AI57,$AA$22))</f>
        <v/>
      </c>
      <c r="BP57" s="68">
        <f>MAX(0,MIN(AJ57,$AA$225)-AI57)</f>
        <v/>
      </c>
      <c r="BQ57" s="68" t="inlineStr">
        <is>
          <t>data copied from BH-02</t>
        </is>
      </c>
    </row>
    <row r="58">
      <c r="B58" s="9" t="n"/>
      <c r="C58" s="57" t="n">
        <v>31</v>
      </c>
      <c r="D58" s="41" t="n"/>
      <c r="E58" s="55">
        <f>AI58</f>
        <v/>
      </c>
      <c r="F58" s="41" t="n"/>
      <c r="G58" s="41" t="n"/>
      <c r="H58" s="55">
        <f>AJ58</f>
        <v/>
      </c>
      <c r="I58" s="41" t="n"/>
      <c r="J58" s="41" t="n"/>
      <c r="K58" s="52">
        <f>AM58</f>
        <v/>
      </c>
      <c r="L58" s="41" t="n"/>
      <c r="M58" s="41" t="n"/>
      <c r="N58" s="57">
        <f>AN58</f>
        <v/>
      </c>
      <c r="O58" s="41" t="n"/>
      <c r="P58" s="41" t="n"/>
      <c r="Q58" s="53">
        <f>AO58</f>
        <v/>
      </c>
      <c r="R58" s="41" t="n"/>
      <c r="S58" s="41" t="n"/>
      <c r="T58" s="57">
        <f>IF(AR58="","-",AR58)</f>
        <v/>
      </c>
      <c r="U58" s="41" t="n"/>
      <c r="V58" s="57">
        <f>IF(AT58="","-",AT58)</f>
        <v/>
      </c>
      <c r="W58" s="41" t="n"/>
      <c r="X58" s="55">
        <f>AU58</f>
        <v/>
      </c>
      <c r="Y58" s="41" t="n"/>
      <c r="Z58" s="66">
        <f>AV58</f>
        <v/>
      </c>
      <c r="AA58" s="41" t="n"/>
      <c r="AB58" s="41" t="n"/>
      <c r="AC58" s="53">
        <f>AW58</f>
        <v/>
      </c>
      <c r="AD58" s="41" t="n"/>
      <c r="AE58" s="41" t="n"/>
      <c r="AF58" s="15" t="n"/>
      <c r="AI58" s="67" t="n">
        <v>45</v>
      </c>
      <c r="AJ58" s="67" t="n">
        <v>46.5</v>
      </c>
      <c r="AK58" s="68">
        <f>AJ58-AI58</f>
        <v/>
      </c>
      <c r="AL58" s="68">
        <f>(AI58+AJ58)/2</f>
        <v/>
      </c>
      <c r="AM58" s="67" t="inlineStr">
        <is>
          <t>Sand</t>
        </is>
      </c>
      <c r="AN58" s="67" t="n">
        <v>50</v>
      </c>
      <c r="AO58" s="68">
        <f>IF(AL58&gt;$AA$19,$AA$21,$AA$20)</f>
        <v/>
      </c>
      <c r="AP58" s="68">
        <f>AP57+AO58*AK58</f>
        <v/>
      </c>
      <c r="AQ58" s="68">
        <f>AP58-AO58*AK58/2-10*MAX(AL58-$AA$19,0)</f>
        <v/>
      </c>
      <c r="AR58" s="67" t="n"/>
      <c r="AS58" s="67" t="n"/>
      <c r="AT58" s="68">
        <f>IF(AR58="","",AR58-AS58)</f>
        <v/>
      </c>
      <c r="AU58" s="67" t="n">
        <v>0.65</v>
      </c>
      <c r="AV58" s="68">
        <f>IF(AM58="Sand",0,Input!$AA$31*AN58)</f>
        <v/>
      </c>
      <c r="AW58" s="68">
        <f>IF(AM58="Sand",27.1+0.3*MIN(Input!$AA$32*AN58,60)-0.00054*MIN(Input!$AA$32*AN58,60)^2,MIN(MAX(DEGREES(ASIN(0.8-0.094*LN(MAX(IF(AT58="",10,AT58),5)))),20),30))</f>
        <v/>
      </c>
      <c r="AX58" s="68">
        <f>IF(AM58="Sand",Input!$AA$33*Input!$AA$32*AN58,Input!$AA$34*AV58)</f>
        <v/>
      </c>
      <c r="AY58" s="68">
        <f>IF(AM58="Sand",Input!$AA$35,0.5)</f>
        <v/>
      </c>
      <c r="AZ58" s="68">
        <f>Input!$AA$15/2/AL58</f>
        <v/>
      </c>
      <c r="BA58" s="68">
        <f>Input!$AA$16/2/AL58</f>
        <v/>
      </c>
      <c r="BB58" s="68">
        <f>1/(4*PI())*(2*AZ58*BA58*SQRT(AZ58^2+BA58^2+1)/(AZ58^2+BA58^2+1+AZ58^2*BA58^2)*(AZ58^2+BA58^2+2)/(AZ58^2+BA58^2+1)+ATAN2(AZ58^2+BA58^2+1-AZ58^2*BA58^2,2*AZ58*BA58*SQRT(AZ58^2+BA58^2+1)))</f>
        <v/>
      </c>
      <c r="BC58" s="68">
        <f>4*Input!$AA$14*BB58</f>
        <v/>
      </c>
      <c r="BD58" s="68">
        <f>((Input!$AA$16/Input!$AA$15)*LN((1+SQRT((Input!$AA$16/Input!$AA$15)^2+1))*SQRT((Input!$AA$16/Input!$AA$15)^2+(AJ58/(Input!$AA$15/2))^2)/((Input!$AA$16/Input!$AA$15)*(1+SQRT((Input!$AA$16/Input!$AA$15)^2+(AJ58/(Input!$AA$15/2))^2+1))))+LN(((Input!$AA$16/Input!$AA$15)+SQRT((Input!$AA$16/Input!$AA$15)^2+1))*SQRT(1+(AJ58/(Input!$AA$15/2))^2)/((Input!$AA$16/Input!$AA$15)+SQRT((Input!$AA$16/Input!$AA$15)^2+(AJ58/(Input!$AA$15/2))^2+1))))/PI()</f>
        <v/>
      </c>
      <c r="BE58" s="68">
        <f>(AJ58/(Input!$AA$15/2))/(2*PI())*ATAN((Input!$AA$16/Input!$AA$15)/((AJ58/(Input!$AA$15/2))*SQRT((Input!$AA$16/Input!$AA$15)^2+(AJ58/(Input!$AA$15/2))^2+1)))</f>
        <v/>
      </c>
      <c r="BF58" s="68">
        <f>MAX(0,AJ58-MAX(AI58,$AA$22))/AK58*IF(BC58&gt;=Input!$AA$21*AQ58,1,0)</f>
        <v/>
      </c>
      <c r="BG58" s="68">
        <f>4*Input!$AA$14*(Input!$AA$15/2)*(1-AY58^2)/AX58*((BD58-BD57)+(1-2*AY58)/(1-AY58)*(BE58-BE57))*1000*BF58</f>
        <v/>
      </c>
      <c r="BH58" s="68">
        <f>IF(AM58="Sand",0,0.009*(AR58-10))</f>
        <v/>
      </c>
      <c r="BI58" s="68">
        <f>BH58*Input!$AA$36</f>
        <v/>
      </c>
      <c r="BJ58" s="68">
        <f>IF(AM58="Sand",0,MAX(AV58/Input!$AA$37,AQ58))</f>
        <v/>
      </c>
      <c r="BK58" s="68">
        <f>IF(AM58="Sand",0,1000*AK58/(1+AU58)*IF(AQ58+BC58&lt;=BJ58,BI58*LOG10((AQ58+BC58)/AQ58),BI58*LOG10(BJ58/AQ58)+BH58*LOG10((AQ58+BC58)/BJ58)))*BF58</f>
        <v/>
      </c>
      <c r="BL58" s="68">
        <f>IF(AM58="Sand",0,10^(INDEX(Input!$Q$48:$Q$54,MIN(MATCH(MIN(MAX(AR58,30),120),Input!$C$48:$C$54,1),6))+(MIN(MAX(AR58,30),120)-INDEX(Input!$C$48:$C$54,MIN(MATCH(MIN(MAX(AR58,30),120),Input!$C$48:$C$54,1),6)))/(INDEX(Input!$C$48:$C$54,MIN(MATCH(MIN(MAX(AR58,30),120),Input!$C$48:$C$54,1),6)+1)-INDEX(Input!$C$48:$C$54,MIN(MATCH(MIN(MAX(AR58,30),120),Input!$C$48:$C$54,1),6)))*(INDEX(Input!$Q$48:$Q$54,MIN(MATCH(MIN(MAX(AR58,30),120),Input!$C$48:$C$54,1),6)+1)-INDEX(Input!$Q$48:$Q$54,MIN(MATCH(MIN(MAX(AR58,30),120),Input!$C$48:$C$54,1),6)))))</f>
        <v/>
      </c>
      <c r="BM58" s="68">
        <f>IF(OR(AM58="Sand",BF58=0),0,Input!$AA$38*(AK58/2)^2/(BL58*1E-4*31536000))</f>
        <v/>
      </c>
      <c r="BN58" s="68">
        <f>MAX(0,MIN(AJ58,Input!$AA$20)-AI58)</f>
        <v/>
      </c>
      <c r="BO58" s="68">
        <f>MAX(0,MIN(AJ58,Input!$AA$20)-MAX(AI58,$AA$22))</f>
        <v/>
      </c>
      <c r="BP58" s="68">
        <f>MAX(0,MIN(AJ58,$AA$225)-AI58)</f>
        <v/>
      </c>
      <c r="BQ58" s="68" t="inlineStr">
        <is>
          <t>data copied from BH-02</t>
        </is>
      </c>
    </row>
    <row r="59">
      <c r="B59" s="9" t="n"/>
      <c r="C59" s="57" t="n">
        <v>32</v>
      </c>
      <c r="D59" s="41" t="n"/>
      <c r="E59" s="55">
        <f>AI59</f>
        <v/>
      </c>
      <c r="F59" s="41" t="n"/>
      <c r="G59" s="41" t="n"/>
      <c r="H59" s="55">
        <f>AJ59</f>
        <v/>
      </c>
      <c r="I59" s="41" t="n"/>
      <c r="J59" s="41" t="n"/>
      <c r="K59" s="52">
        <f>AM59</f>
        <v/>
      </c>
      <c r="L59" s="41" t="n"/>
      <c r="M59" s="41" t="n"/>
      <c r="N59" s="57">
        <f>AN59</f>
        <v/>
      </c>
      <c r="O59" s="41" t="n"/>
      <c r="P59" s="41" t="n"/>
      <c r="Q59" s="53">
        <f>AO59</f>
        <v/>
      </c>
      <c r="R59" s="41" t="n"/>
      <c r="S59" s="41" t="n"/>
      <c r="T59" s="57">
        <f>IF(AR59="","-",AR59)</f>
        <v/>
      </c>
      <c r="U59" s="41" t="n"/>
      <c r="V59" s="57">
        <f>IF(AT59="","-",AT59)</f>
        <v/>
      </c>
      <c r="W59" s="41" t="n"/>
      <c r="X59" s="55">
        <f>AU59</f>
        <v/>
      </c>
      <c r="Y59" s="41" t="n"/>
      <c r="Z59" s="66">
        <f>AV59</f>
        <v/>
      </c>
      <c r="AA59" s="41" t="n"/>
      <c r="AB59" s="41" t="n"/>
      <c r="AC59" s="53">
        <f>AW59</f>
        <v/>
      </c>
      <c r="AD59" s="41" t="n"/>
      <c r="AE59" s="41" t="n"/>
      <c r="AF59" s="15" t="n"/>
      <c r="AI59" s="67" t="n">
        <v>46.5</v>
      </c>
      <c r="AJ59" s="67" t="n">
        <v>48</v>
      </c>
      <c r="AK59" s="68">
        <f>AJ59-AI59</f>
        <v/>
      </c>
      <c r="AL59" s="68">
        <f>(AI59+AJ59)/2</f>
        <v/>
      </c>
      <c r="AM59" s="67" t="inlineStr">
        <is>
          <t>Sand</t>
        </is>
      </c>
      <c r="AN59" s="67" t="n">
        <v>50</v>
      </c>
      <c r="AO59" s="68">
        <f>IF(AL59&gt;$AA$19,$AA$21,$AA$20)</f>
        <v/>
      </c>
      <c r="AP59" s="68">
        <f>AP58+AO59*AK59</f>
        <v/>
      </c>
      <c r="AQ59" s="68">
        <f>AP59-AO59*AK59/2-10*MAX(AL59-$AA$19,0)</f>
        <v/>
      </c>
      <c r="AR59" s="67" t="n"/>
      <c r="AS59" s="67" t="n"/>
      <c r="AT59" s="68">
        <f>IF(AR59="","",AR59-AS59)</f>
        <v/>
      </c>
      <c r="AU59" s="67" t="n">
        <v>0.65</v>
      </c>
      <c r="AV59" s="68">
        <f>IF(AM59="Sand",0,Input!$AA$31*AN59)</f>
        <v/>
      </c>
      <c r="AW59" s="68">
        <f>IF(AM59="Sand",27.1+0.3*MIN(Input!$AA$32*AN59,60)-0.00054*MIN(Input!$AA$32*AN59,60)^2,MIN(MAX(DEGREES(ASIN(0.8-0.094*LN(MAX(IF(AT59="",10,AT59),5)))),20),30))</f>
        <v/>
      </c>
      <c r="AX59" s="68">
        <f>IF(AM59="Sand",Input!$AA$33*Input!$AA$32*AN59,Input!$AA$34*AV59)</f>
        <v/>
      </c>
      <c r="AY59" s="68">
        <f>IF(AM59="Sand",Input!$AA$35,0.5)</f>
        <v/>
      </c>
      <c r="AZ59" s="68">
        <f>Input!$AA$15/2/AL59</f>
        <v/>
      </c>
      <c r="BA59" s="68">
        <f>Input!$AA$16/2/AL59</f>
        <v/>
      </c>
      <c r="BB59" s="68">
        <f>1/(4*PI())*(2*AZ59*BA59*SQRT(AZ59^2+BA59^2+1)/(AZ59^2+BA59^2+1+AZ59^2*BA59^2)*(AZ59^2+BA59^2+2)/(AZ59^2+BA59^2+1)+ATAN2(AZ59^2+BA59^2+1-AZ59^2*BA59^2,2*AZ59*BA59*SQRT(AZ59^2+BA59^2+1)))</f>
        <v/>
      </c>
      <c r="BC59" s="68">
        <f>4*Input!$AA$14*BB59</f>
        <v/>
      </c>
      <c r="BD59" s="68">
        <f>((Input!$AA$16/Input!$AA$15)*LN((1+SQRT((Input!$AA$16/Input!$AA$15)^2+1))*SQRT((Input!$AA$16/Input!$AA$15)^2+(AJ59/(Input!$AA$15/2))^2)/((Input!$AA$16/Input!$AA$15)*(1+SQRT((Input!$AA$16/Input!$AA$15)^2+(AJ59/(Input!$AA$15/2))^2+1))))+LN(((Input!$AA$16/Input!$AA$15)+SQRT((Input!$AA$16/Input!$AA$15)^2+1))*SQRT(1+(AJ59/(Input!$AA$15/2))^2)/((Input!$AA$16/Input!$AA$15)+SQRT((Input!$AA$16/Input!$AA$15)^2+(AJ59/(Input!$AA$15/2))^2+1))))/PI()</f>
        <v/>
      </c>
      <c r="BE59" s="68">
        <f>(AJ59/(Input!$AA$15/2))/(2*PI())*ATAN((Input!$AA$16/Input!$AA$15)/((AJ59/(Input!$AA$15/2))*SQRT((Input!$AA$16/Input!$AA$15)^2+(AJ59/(Input!$AA$15/2))^2+1)))</f>
        <v/>
      </c>
      <c r="BF59" s="68">
        <f>MAX(0,AJ59-MAX(AI59,$AA$22))/AK59*IF(BC59&gt;=Input!$AA$21*AQ59,1,0)</f>
        <v/>
      </c>
      <c r="BG59" s="68">
        <f>4*Input!$AA$14*(Input!$AA$15/2)*(1-AY59^2)/AX59*((BD59-BD58)+(1-2*AY59)/(1-AY59)*(BE59-BE58))*1000*BF59</f>
        <v/>
      </c>
      <c r="BH59" s="68">
        <f>IF(AM59="Sand",0,0.009*(AR59-10))</f>
        <v/>
      </c>
      <c r="BI59" s="68">
        <f>BH59*Input!$AA$36</f>
        <v/>
      </c>
      <c r="BJ59" s="68">
        <f>IF(AM59="Sand",0,MAX(AV59/Input!$AA$37,AQ59))</f>
        <v/>
      </c>
      <c r="BK59" s="68">
        <f>IF(AM59="Sand",0,1000*AK59/(1+AU59)*IF(AQ59+BC59&lt;=BJ59,BI59*LOG10((AQ59+BC59)/AQ59),BI59*LOG10(BJ59/AQ59)+BH59*LOG10((AQ59+BC59)/BJ59)))*BF59</f>
        <v/>
      </c>
      <c r="BL59" s="68">
        <f>IF(AM59="Sand",0,10^(INDEX(Input!$Q$48:$Q$54,MIN(MATCH(MIN(MAX(AR59,30),120),Input!$C$48:$C$54,1),6))+(MIN(MAX(AR59,30),120)-INDEX(Input!$C$48:$C$54,MIN(MATCH(MIN(MAX(AR59,30),120),Input!$C$48:$C$54,1),6)))/(INDEX(Input!$C$48:$C$54,MIN(MATCH(MIN(MAX(AR59,30),120),Input!$C$48:$C$54,1),6)+1)-INDEX(Input!$C$48:$C$54,MIN(MATCH(MIN(MAX(AR59,30),120),Input!$C$48:$C$54,1),6)))*(INDEX(Input!$Q$48:$Q$54,MIN(MATCH(MIN(MAX(AR59,30),120),Input!$C$48:$C$54,1),6)+1)-INDEX(Input!$Q$48:$Q$54,MIN(MATCH(MIN(MAX(AR59,30),120),Input!$C$48:$C$54,1),6)))))</f>
        <v/>
      </c>
      <c r="BM59" s="68">
        <f>IF(OR(AM59="Sand",BF59=0),0,Input!$AA$38*(AK59/2)^2/(BL59*1E-4*31536000))</f>
        <v/>
      </c>
      <c r="BN59" s="68">
        <f>MAX(0,MIN(AJ59,Input!$AA$20)-AI59)</f>
        <v/>
      </c>
      <c r="BO59" s="68">
        <f>MAX(0,MIN(AJ59,Input!$AA$20)-MAX(AI59,$AA$22))</f>
        <v/>
      </c>
      <c r="BP59" s="68">
        <f>MAX(0,MIN(AJ59,$AA$225)-AI59)</f>
        <v/>
      </c>
      <c r="BQ59" s="68" t="inlineStr">
        <is>
          <t>data copied from BH-02</t>
        </is>
      </c>
    </row>
    <row r="60">
      <c r="B60" s="9" t="n"/>
      <c r="C60" s="57" t="n">
        <v>33</v>
      </c>
      <c r="D60" s="41" t="n"/>
      <c r="E60" s="55">
        <f>AI60</f>
        <v/>
      </c>
      <c r="F60" s="41" t="n"/>
      <c r="G60" s="41" t="n"/>
      <c r="H60" s="55">
        <f>AJ60</f>
        <v/>
      </c>
      <c r="I60" s="41" t="n"/>
      <c r="J60" s="41" t="n"/>
      <c r="K60" s="52">
        <f>AM60</f>
        <v/>
      </c>
      <c r="L60" s="41" t="n"/>
      <c r="M60" s="41" t="n"/>
      <c r="N60" s="57">
        <f>AN60</f>
        <v/>
      </c>
      <c r="O60" s="41" t="n"/>
      <c r="P60" s="41" t="n"/>
      <c r="Q60" s="53">
        <f>AO60</f>
        <v/>
      </c>
      <c r="R60" s="41" t="n"/>
      <c r="S60" s="41" t="n"/>
      <c r="T60" s="57">
        <f>IF(AR60="","-",AR60)</f>
        <v/>
      </c>
      <c r="U60" s="41" t="n"/>
      <c r="V60" s="57">
        <f>IF(AT60="","-",AT60)</f>
        <v/>
      </c>
      <c r="W60" s="41" t="n"/>
      <c r="X60" s="55">
        <f>AU60</f>
        <v/>
      </c>
      <c r="Y60" s="41" t="n"/>
      <c r="Z60" s="66">
        <f>AV60</f>
        <v/>
      </c>
      <c r="AA60" s="41" t="n"/>
      <c r="AB60" s="41" t="n"/>
      <c r="AC60" s="53">
        <f>AW60</f>
        <v/>
      </c>
      <c r="AD60" s="41" t="n"/>
      <c r="AE60" s="41" t="n"/>
      <c r="AF60" s="15" t="n"/>
      <c r="AI60" s="67" t="n">
        <v>48</v>
      </c>
      <c r="AJ60" s="67" t="n">
        <v>49.5</v>
      </c>
      <c r="AK60" s="68">
        <f>AJ60-AI60</f>
        <v/>
      </c>
      <c r="AL60" s="68">
        <f>(AI60+AJ60)/2</f>
        <v/>
      </c>
      <c r="AM60" s="67" t="inlineStr">
        <is>
          <t>Sand</t>
        </is>
      </c>
      <c r="AN60" s="67" t="n">
        <v>27</v>
      </c>
      <c r="AO60" s="68">
        <f>IF(AL60&gt;$AA$19,$AA$21,$AA$20)</f>
        <v/>
      </c>
      <c r="AP60" s="68">
        <f>AP59+AO60*AK60</f>
        <v/>
      </c>
      <c r="AQ60" s="68">
        <f>AP60-AO60*AK60/2-10*MAX(AL60-$AA$19,0)</f>
        <v/>
      </c>
      <c r="AR60" s="67" t="n"/>
      <c r="AS60" s="67" t="n"/>
      <c r="AT60" s="68">
        <f>IF(AR60="","",AR60-AS60)</f>
        <v/>
      </c>
      <c r="AU60" s="67" t="n">
        <v>0.65</v>
      </c>
      <c r="AV60" s="68">
        <f>IF(AM60="Sand",0,Input!$AA$31*AN60)</f>
        <v/>
      </c>
      <c r="AW60" s="68">
        <f>IF(AM60="Sand",27.1+0.3*MIN(Input!$AA$32*AN60,60)-0.00054*MIN(Input!$AA$32*AN60,60)^2,MIN(MAX(DEGREES(ASIN(0.8-0.094*LN(MAX(IF(AT60="",10,AT60),5)))),20),30))</f>
        <v/>
      </c>
      <c r="AX60" s="68">
        <f>IF(AM60="Sand",Input!$AA$33*Input!$AA$32*AN60,Input!$AA$34*AV60)</f>
        <v/>
      </c>
      <c r="AY60" s="68">
        <f>IF(AM60="Sand",Input!$AA$35,0.5)</f>
        <v/>
      </c>
      <c r="AZ60" s="68">
        <f>Input!$AA$15/2/AL60</f>
        <v/>
      </c>
      <c r="BA60" s="68">
        <f>Input!$AA$16/2/AL60</f>
        <v/>
      </c>
      <c r="BB60" s="68">
        <f>1/(4*PI())*(2*AZ60*BA60*SQRT(AZ60^2+BA60^2+1)/(AZ60^2+BA60^2+1+AZ60^2*BA60^2)*(AZ60^2+BA60^2+2)/(AZ60^2+BA60^2+1)+ATAN2(AZ60^2+BA60^2+1-AZ60^2*BA60^2,2*AZ60*BA60*SQRT(AZ60^2+BA60^2+1)))</f>
        <v/>
      </c>
      <c r="BC60" s="68">
        <f>4*Input!$AA$14*BB60</f>
        <v/>
      </c>
      <c r="BD60" s="68">
        <f>((Input!$AA$16/Input!$AA$15)*LN((1+SQRT((Input!$AA$16/Input!$AA$15)^2+1))*SQRT((Input!$AA$16/Input!$AA$15)^2+(AJ60/(Input!$AA$15/2))^2)/((Input!$AA$16/Input!$AA$15)*(1+SQRT((Input!$AA$16/Input!$AA$15)^2+(AJ60/(Input!$AA$15/2))^2+1))))+LN(((Input!$AA$16/Input!$AA$15)+SQRT((Input!$AA$16/Input!$AA$15)^2+1))*SQRT(1+(AJ60/(Input!$AA$15/2))^2)/((Input!$AA$16/Input!$AA$15)+SQRT((Input!$AA$16/Input!$AA$15)^2+(AJ60/(Input!$AA$15/2))^2+1))))/PI()</f>
        <v/>
      </c>
      <c r="BE60" s="68">
        <f>(AJ60/(Input!$AA$15/2))/(2*PI())*ATAN((Input!$AA$16/Input!$AA$15)/((AJ60/(Input!$AA$15/2))*SQRT((Input!$AA$16/Input!$AA$15)^2+(AJ60/(Input!$AA$15/2))^2+1)))</f>
        <v/>
      </c>
      <c r="BF60" s="68">
        <f>MAX(0,AJ60-MAX(AI60,$AA$22))/AK60*IF(BC60&gt;=Input!$AA$21*AQ60,1,0)</f>
        <v/>
      </c>
      <c r="BG60" s="68">
        <f>4*Input!$AA$14*(Input!$AA$15/2)*(1-AY60^2)/AX60*((BD60-BD59)+(1-2*AY60)/(1-AY60)*(BE60-BE59))*1000*BF60</f>
        <v/>
      </c>
      <c r="BH60" s="68">
        <f>IF(AM60="Sand",0,0.009*(AR60-10))</f>
        <v/>
      </c>
      <c r="BI60" s="68">
        <f>BH60*Input!$AA$36</f>
        <v/>
      </c>
      <c r="BJ60" s="68">
        <f>IF(AM60="Sand",0,MAX(AV60/Input!$AA$37,AQ60))</f>
        <v/>
      </c>
      <c r="BK60" s="68">
        <f>IF(AM60="Sand",0,1000*AK60/(1+AU60)*IF(AQ60+BC60&lt;=BJ60,BI60*LOG10((AQ60+BC60)/AQ60),BI60*LOG10(BJ60/AQ60)+BH60*LOG10((AQ60+BC60)/BJ60)))*BF60</f>
        <v/>
      </c>
      <c r="BL60" s="68">
        <f>IF(AM60="Sand",0,10^(INDEX(Input!$Q$48:$Q$54,MIN(MATCH(MIN(MAX(AR60,30),120),Input!$C$48:$C$54,1),6))+(MIN(MAX(AR60,30),120)-INDEX(Input!$C$48:$C$54,MIN(MATCH(MIN(MAX(AR60,30),120),Input!$C$48:$C$54,1),6)))/(INDEX(Input!$C$48:$C$54,MIN(MATCH(MIN(MAX(AR60,30),120),Input!$C$48:$C$54,1),6)+1)-INDEX(Input!$C$48:$C$54,MIN(MATCH(MIN(MAX(AR60,30),120),Input!$C$48:$C$54,1),6)))*(INDEX(Input!$Q$48:$Q$54,MIN(MATCH(MIN(MAX(AR60,30),120),Input!$C$48:$C$54,1),6)+1)-INDEX(Input!$Q$48:$Q$54,MIN(MATCH(MIN(MAX(AR60,30),120),Input!$C$48:$C$54,1),6)))))</f>
        <v/>
      </c>
      <c r="BM60" s="68">
        <f>IF(OR(AM60="Sand",BF60=0),0,Input!$AA$38*(AK60/2)^2/(BL60*1E-4*31536000))</f>
        <v/>
      </c>
      <c r="BN60" s="68">
        <f>MAX(0,MIN(AJ60,Input!$AA$20)-AI60)</f>
        <v/>
      </c>
      <c r="BO60" s="68">
        <f>MAX(0,MIN(AJ60,Input!$AA$20)-MAX(AI60,$AA$22))</f>
        <v/>
      </c>
      <c r="BP60" s="68">
        <f>MAX(0,MIN(AJ60,$AA$225)-AI60)</f>
        <v/>
      </c>
      <c r="BQ60" s="68" t="inlineStr">
        <is>
          <t>data copied from BH-02</t>
        </is>
      </c>
    </row>
    <row r="61">
      <c r="B61" s="9" t="n"/>
      <c r="C61" s="57" t="n">
        <v>34</v>
      </c>
      <c r="D61" s="41" t="n"/>
      <c r="E61" s="55">
        <f>AI61</f>
        <v/>
      </c>
      <c r="F61" s="41" t="n"/>
      <c r="G61" s="41" t="n"/>
      <c r="H61" s="55">
        <f>AJ61</f>
        <v/>
      </c>
      <c r="I61" s="41" t="n"/>
      <c r="J61" s="41" t="n"/>
      <c r="K61" s="52">
        <f>AM61</f>
        <v/>
      </c>
      <c r="L61" s="41" t="n"/>
      <c r="M61" s="41" t="n"/>
      <c r="N61" s="57">
        <f>AN61</f>
        <v/>
      </c>
      <c r="O61" s="41" t="n"/>
      <c r="P61" s="41" t="n"/>
      <c r="Q61" s="53">
        <f>AO61</f>
        <v/>
      </c>
      <c r="R61" s="41" t="n"/>
      <c r="S61" s="41" t="n"/>
      <c r="T61" s="57">
        <f>IF(AR61="","-",AR61)</f>
        <v/>
      </c>
      <c r="U61" s="41" t="n"/>
      <c r="V61" s="57">
        <f>IF(AT61="","-",AT61)</f>
        <v/>
      </c>
      <c r="W61" s="41" t="n"/>
      <c r="X61" s="55">
        <f>AU61</f>
        <v/>
      </c>
      <c r="Y61" s="41" t="n"/>
      <c r="Z61" s="66">
        <f>AV61</f>
        <v/>
      </c>
      <c r="AA61" s="41" t="n"/>
      <c r="AB61" s="41" t="n"/>
      <c r="AC61" s="53">
        <f>AW61</f>
        <v/>
      </c>
      <c r="AD61" s="41" t="n"/>
      <c r="AE61" s="41" t="n"/>
      <c r="AF61" s="15" t="n"/>
      <c r="AI61" s="67" t="n">
        <v>49.5</v>
      </c>
      <c r="AJ61" s="67" t="n">
        <v>51</v>
      </c>
      <c r="AK61" s="68">
        <f>AJ61-AI61</f>
        <v/>
      </c>
      <c r="AL61" s="68">
        <f>(AI61+AJ61)/2</f>
        <v/>
      </c>
      <c r="AM61" s="67" t="inlineStr">
        <is>
          <t>Sand</t>
        </is>
      </c>
      <c r="AN61" s="67" t="n">
        <v>25</v>
      </c>
      <c r="AO61" s="68">
        <f>IF(AL61&gt;$AA$19,$AA$21,$AA$20)</f>
        <v/>
      </c>
      <c r="AP61" s="68">
        <f>AP60+AO61*AK61</f>
        <v/>
      </c>
      <c r="AQ61" s="68">
        <f>AP61-AO61*AK61/2-10*MAX(AL61-$AA$19,0)</f>
        <v/>
      </c>
      <c r="AR61" s="67" t="n"/>
      <c r="AS61" s="67" t="n"/>
      <c r="AT61" s="68">
        <f>IF(AR61="","",AR61-AS61)</f>
        <v/>
      </c>
      <c r="AU61" s="67" t="n">
        <v>0.65</v>
      </c>
      <c r="AV61" s="68">
        <f>IF(AM61="Sand",0,Input!$AA$31*AN61)</f>
        <v/>
      </c>
      <c r="AW61" s="68">
        <f>IF(AM61="Sand",27.1+0.3*MIN(Input!$AA$32*AN61,60)-0.00054*MIN(Input!$AA$32*AN61,60)^2,MIN(MAX(DEGREES(ASIN(0.8-0.094*LN(MAX(IF(AT61="",10,AT61),5)))),20),30))</f>
        <v/>
      </c>
      <c r="AX61" s="68">
        <f>IF(AM61="Sand",Input!$AA$33*Input!$AA$32*AN61,Input!$AA$34*AV61)</f>
        <v/>
      </c>
      <c r="AY61" s="68">
        <f>IF(AM61="Sand",Input!$AA$35,0.5)</f>
        <v/>
      </c>
      <c r="AZ61" s="68">
        <f>Input!$AA$15/2/AL61</f>
        <v/>
      </c>
      <c r="BA61" s="68">
        <f>Input!$AA$16/2/AL61</f>
        <v/>
      </c>
      <c r="BB61" s="68">
        <f>1/(4*PI())*(2*AZ61*BA61*SQRT(AZ61^2+BA61^2+1)/(AZ61^2+BA61^2+1+AZ61^2*BA61^2)*(AZ61^2+BA61^2+2)/(AZ61^2+BA61^2+1)+ATAN2(AZ61^2+BA61^2+1-AZ61^2*BA61^2,2*AZ61*BA61*SQRT(AZ61^2+BA61^2+1)))</f>
        <v/>
      </c>
      <c r="BC61" s="68">
        <f>4*Input!$AA$14*BB61</f>
        <v/>
      </c>
      <c r="BD61" s="68">
        <f>((Input!$AA$16/Input!$AA$15)*LN((1+SQRT((Input!$AA$16/Input!$AA$15)^2+1))*SQRT((Input!$AA$16/Input!$AA$15)^2+(AJ61/(Input!$AA$15/2))^2)/((Input!$AA$16/Input!$AA$15)*(1+SQRT((Input!$AA$16/Input!$AA$15)^2+(AJ61/(Input!$AA$15/2))^2+1))))+LN(((Input!$AA$16/Input!$AA$15)+SQRT((Input!$AA$16/Input!$AA$15)^2+1))*SQRT(1+(AJ61/(Input!$AA$15/2))^2)/((Input!$AA$16/Input!$AA$15)+SQRT((Input!$AA$16/Input!$AA$15)^2+(AJ61/(Input!$AA$15/2))^2+1))))/PI()</f>
        <v/>
      </c>
      <c r="BE61" s="68">
        <f>(AJ61/(Input!$AA$15/2))/(2*PI())*ATAN((Input!$AA$16/Input!$AA$15)/((AJ61/(Input!$AA$15/2))*SQRT((Input!$AA$16/Input!$AA$15)^2+(AJ61/(Input!$AA$15/2))^2+1)))</f>
        <v/>
      </c>
      <c r="BF61" s="68">
        <f>MAX(0,AJ61-MAX(AI61,$AA$22))/AK61*IF(BC61&gt;=Input!$AA$21*AQ61,1,0)</f>
        <v/>
      </c>
      <c r="BG61" s="68">
        <f>4*Input!$AA$14*(Input!$AA$15/2)*(1-AY61^2)/AX61*((BD61-BD60)+(1-2*AY61)/(1-AY61)*(BE61-BE60))*1000*BF61</f>
        <v/>
      </c>
      <c r="BH61" s="68">
        <f>IF(AM61="Sand",0,0.009*(AR61-10))</f>
        <v/>
      </c>
      <c r="BI61" s="68">
        <f>BH61*Input!$AA$36</f>
        <v/>
      </c>
      <c r="BJ61" s="68">
        <f>IF(AM61="Sand",0,MAX(AV61/Input!$AA$37,AQ61))</f>
        <v/>
      </c>
      <c r="BK61" s="68">
        <f>IF(AM61="Sand",0,1000*AK61/(1+AU61)*IF(AQ61+BC61&lt;=BJ61,BI61*LOG10((AQ61+BC61)/AQ61),BI61*LOG10(BJ61/AQ61)+BH61*LOG10((AQ61+BC61)/BJ61)))*BF61</f>
        <v/>
      </c>
      <c r="BL61" s="68">
        <f>IF(AM61="Sand",0,10^(INDEX(Input!$Q$48:$Q$54,MIN(MATCH(MIN(MAX(AR61,30),120),Input!$C$48:$C$54,1),6))+(MIN(MAX(AR61,30),120)-INDEX(Input!$C$48:$C$54,MIN(MATCH(MIN(MAX(AR61,30),120),Input!$C$48:$C$54,1),6)))/(INDEX(Input!$C$48:$C$54,MIN(MATCH(MIN(MAX(AR61,30),120),Input!$C$48:$C$54,1),6)+1)-INDEX(Input!$C$48:$C$54,MIN(MATCH(MIN(MAX(AR61,30),120),Input!$C$48:$C$54,1),6)))*(INDEX(Input!$Q$48:$Q$54,MIN(MATCH(MIN(MAX(AR61,30),120),Input!$C$48:$C$54,1),6)+1)-INDEX(Input!$Q$48:$Q$54,MIN(MATCH(MIN(MAX(AR61,30),120),Input!$C$48:$C$54,1),6)))))</f>
        <v/>
      </c>
      <c r="BM61" s="68">
        <f>IF(OR(AM61="Sand",BF61=0),0,Input!$AA$38*(AK61/2)^2/(BL61*1E-4*31536000))</f>
        <v/>
      </c>
      <c r="BN61" s="68">
        <f>MAX(0,MIN(AJ61,Input!$AA$20)-AI61)</f>
        <v/>
      </c>
      <c r="BO61" s="68">
        <f>MAX(0,MIN(AJ61,Input!$AA$20)-MAX(AI61,$AA$22))</f>
        <v/>
      </c>
      <c r="BP61" s="68">
        <f>MAX(0,MIN(AJ61,$AA$225)-AI61)</f>
        <v/>
      </c>
      <c r="BQ61" s="68" t="inlineStr">
        <is>
          <t>data copied from BH-02</t>
        </is>
      </c>
    </row>
    <row r="62">
      <c r="B62" s="9" t="n"/>
      <c r="C62" s="57" t="n">
        <v>35</v>
      </c>
      <c r="D62" s="41" t="n"/>
      <c r="E62" s="55">
        <f>AI62</f>
        <v/>
      </c>
      <c r="F62" s="41" t="n"/>
      <c r="G62" s="41" t="n"/>
      <c r="H62" s="55">
        <f>AJ62</f>
        <v/>
      </c>
      <c r="I62" s="41" t="n"/>
      <c r="J62" s="41" t="n"/>
      <c r="K62" s="52">
        <f>AM62</f>
        <v/>
      </c>
      <c r="L62" s="41" t="n"/>
      <c r="M62" s="41" t="n"/>
      <c r="N62" s="57">
        <f>AN62</f>
        <v/>
      </c>
      <c r="O62" s="41" t="n"/>
      <c r="P62" s="41" t="n"/>
      <c r="Q62" s="53">
        <f>AO62</f>
        <v/>
      </c>
      <c r="R62" s="41" t="n"/>
      <c r="S62" s="41" t="n"/>
      <c r="T62" s="57">
        <f>IF(AR62="","-",AR62)</f>
        <v/>
      </c>
      <c r="U62" s="41" t="n"/>
      <c r="V62" s="57">
        <f>IF(AT62="","-",AT62)</f>
        <v/>
      </c>
      <c r="W62" s="41" t="n"/>
      <c r="X62" s="55">
        <f>AU62</f>
        <v/>
      </c>
      <c r="Y62" s="41" t="n"/>
      <c r="Z62" s="66">
        <f>AV62</f>
        <v/>
      </c>
      <c r="AA62" s="41" t="n"/>
      <c r="AB62" s="41" t="n"/>
      <c r="AC62" s="53">
        <f>AW62</f>
        <v/>
      </c>
      <c r="AD62" s="41" t="n"/>
      <c r="AE62" s="41" t="n"/>
      <c r="AF62" s="15" t="n"/>
      <c r="AI62" s="67" t="n">
        <v>51</v>
      </c>
      <c r="AJ62" s="67" t="n">
        <v>52.5</v>
      </c>
      <c r="AK62" s="68">
        <f>AJ62-AI62</f>
        <v/>
      </c>
      <c r="AL62" s="68">
        <f>(AI62+AJ62)/2</f>
        <v/>
      </c>
      <c r="AM62" s="67" t="inlineStr">
        <is>
          <t>Sand</t>
        </is>
      </c>
      <c r="AN62" s="67" t="n">
        <v>29</v>
      </c>
      <c r="AO62" s="68">
        <f>IF(AL62&gt;$AA$19,$AA$21,$AA$20)</f>
        <v/>
      </c>
      <c r="AP62" s="68">
        <f>AP61+AO62*AK62</f>
        <v/>
      </c>
      <c r="AQ62" s="68">
        <f>AP62-AO62*AK62/2-10*MAX(AL62-$AA$19,0)</f>
        <v/>
      </c>
      <c r="AR62" s="67" t="n"/>
      <c r="AS62" s="67" t="n"/>
      <c r="AT62" s="68">
        <f>IF(AR62="","",AR62-AS62)</f>
        <v/>
      </c>
      <c r="AU62" s="67" t="n">
        <v>0.65</v>
      </c>
      <c r="AV62" s="68">
        <f>IF(AM62="Sand",0,Input!$AA$31*AN62)</f>
        <v/>
      </c>
      <c r="AW62" s="68">
        <f>IF(AM62="Sand",27.1+0.3*MIN(Input!$AA$32*AN62,60)-0.00054*MIN(Input!$AA$32*AN62,60)^2,MIN(MAX(DEGREES(ASIN(0.8-0.094*LN(MAX(IF(AT62="",10,AT62),5)))),20),30))</f>
        <v/>
      </c>
      <c r="AX62" s="68">
        <f>IF(AM62="Sand",Input!$AA$33*Input!$AA$32*AN62,Input!$AA$34*AV62)</f>
        <v/>
      </c>
      <c r="AY62" s="68">
        <f>IF(AM62="Sand",Input!$AA$35,0.5)</f>
        <v/>
      </c>
      <c r="AZ62" s="68">
        <f>Input!$AA$15/2/AL62</f>
        <v/>
      </c>
      <c r="BA62" s="68">
        <f>Input!$AA$16/2/AL62</f>
        <v/>
      </c>
      <c r="BB62" s="68">
        <f>1/(4*PI())*(2*AZ62*BA62*SQRT(AZ62^2+BA62^2+1)/(AZ62^2+BA62^2+1+AZ62^2*BA62^2)*(AZ62^2+BA62^2+2)/(AZ62^2+BA62^2+1)+ATAN2(AZ62^2+BA62^2+1-AZ62^2*BA62^2,2*AZ62*BA62*SQRT(AZ62^2+BA62^2+1)))</f>
        <v/>
      </c>
      <c r="BC62" s="68">
        <f>4*Input!$AA$14*BB62</f>
        <v/>
      </c>
      <c r="BD62" s="68">
        <f>((Input!$AA$16/Input!$AA$15)*LN((1+SQRT((Input!$AA$16/Input!$AA$15)^2+1))*SQRT((Input!$AA$16/Input!$AA$15)^2+(AJ62/(Input!$AA$15/2))^2)/((Input!$AA$16/Input!$AA$15)*(1+SQRT((Input!$AA$16/Input!$AA$15)^2+(AJ62/(Input!$AA$15/2))^2+1))))+LN(((Input!$AA$16/Input!$AA$15)+SQRT((Input!$AA$16/Input!$AA$15)^2+1))*SQRT(1+(AJ62/(Input!$AA$15/2))^2)/((Input!$AA$16/Input!$AA$15)+SQRT((Input!$AA$16/Input!$AA$15)^2+(AJ62/(Input!$AA$15/2))^2+1))))/PI()</f>
        <v/>
      </c>
      <c r="BE62" s="68">
        <f>(AJ62/(Input!$AA$15/2))/(2*PI())*ATAN((Input!$AA$16/Input!$AA$15)/((AJ62/(Input!$AA$15/2))*SQRT((Input!$AA$16/Input!$AA$15)^2+(AJ62/(Input!$AA$15/2))^2+1)))</f>
        <v/>
      </c>
      <c r="BF62" s="68">
        <f>MAX(0,AJ62-MAX(AI62,$AA$22))/AK62*IF(BC62&gt;=Input!$AA$21*AQ62,1,0)</f>
        <v/>
      </c>
      <c r="BG62" s="68">
        <f>4*Input!$AA$14*(Input!$AA$15/2)*(1-AY62^2)/AX62*((BD62-BD61)+(1-2*AY62)/(1-AY62)*(BE62-BE61))*1000*BF62</f>
        <v/>
      </c>
      <c r="BH62" s="68">
        <f>IF(AM62="Sand",0,0.009*(AR62-10))</f>
        <v/>
      </c>
      <c r="BI62" s="68">
        <f>BH62*Input!$AA$36</f>
        <v/>
      </c>
      <c r="BJ62" s="68">
        <f>IF(AM62="Sand",0,MAX(AV62/Input!$AA$37,AQ62))</f>
        <v/>
      </c>
      <c r="BK62" s="68">
        <f>IF(AM62="Sand",0,1000*AK62/(1+AU62)*IF(AQ62+BC62&lt;=BJ62,BI62*LOG10((AQ62+BC62)/AQ62),BI62*LOG10(BJ62/AQ62)+BH62*LOG10((AQ62+BC62)/BJ62)))*BF62</f>
        <v/>
      </c>
      <c r="BL62" s="68">
        <f>IF(AM62="Sand",0,10^(INDEX(Input!$Q$48:$Q$54,MIN(MATCH(MIN(MAX(AR62,30),120),Input!$C$48:$C$54,1),6))+(MIN(MAX(AR62,30),120)-INDEX(Input!$C$48:$C$54,MIN(MATCH(MIN(MAX(AR62,30),120),Input!$C$48:$C$54,1),6)))/(INDEX(Input!$C$48:$C$54,MIN(MATCH(MIN(MAX(AR62,30),120),Input!$C$48:$C$54,1),6)+1)-INDEX(Input!$C$48:$C$54,MIN(MATCH(MIN(MAX(AR62,30),120),Input!$C$48:$C$54,1),6)))*(INDEX(Input!$Q$48:$Q$54,MIN(MATCH(MIN(MAX(AR62,30),120),Input!$C$48:$C$54,1),6)+1)-INDEX(Input!$Q$48:$Q$54,MIN(MATCH(MIN(MAX(AR62,30),120),Input!$C$48:$C$54,1),6)))))</f>
        <v/>
      </c>
      <c r="BM62" s="68">
        <f>IF(OR(AM62="Sand",BF62=0),0,Input!$AA$38*(AK62/2)^2/(BL62*1E-4*31536000))</f>
        <v/>
      </c>
      <c r="BN62" s="68">
        <f>MAX(0,MIN(AJ62,Input!$AA$20)-AI62)</f>
        <v/>
      </c>
      <c r="BO62" s="68">
        <f>MAX(0,MIN(AJ62,Input!$AA$20)-MAX(AI62,$AA$22))</f>
        <v/>
      </c>
      <c r="BP62" s="68">
        <f>MAX(0,MIN(AJ62,$AA$225)-AI62)</f>
        <v/>
      </c>
      <c r="BQ62" s="68" t="inlineStr">
        <is>
          <t>data copied from BH-02</t>
        </is>
      </c>
    </row>
    <row r="63">
      <c r="B63" s="9" t="n"/>
      <c r="C63" s="57" t="n">
        <v>36</v>
      </c>
      <c r="D63" s="41" t="n"/>
      <c r="E63" s="55">
        <f>AI63</f>
        <v/>
      </c>
      <c r="F63" s="41" t="n"/>
      <c r="G63" s="41" t="n"/>
      <c r="H63" s="55">
        <f>AJ63</f>
        <v/>
      </c>
      <c r="I63" s="41" t="n"/>
      <c r="J63" s="41" t="n"/>
      <c r="K63" s="52">
        <f>AM63</f>
        <v/>
      </c>
      <c r="L63" s="41" t="n"/>
      <c r="M63" s="41" t="n"/>
      <c r="N63" s="57">
        <f>AN63</f>
        <v/>
      </c>
      <c r="O63" s="41" t="n"/>
      <c r="P63" s="41" t="n"/>
      <c r="Q63" s="53">
        <f>AO63</f>
        <v/>
      </c>
      <c r="R63" s="41" t="n"/>
      <c r="S63" s="41" t="n"/>
      <c r="T63" s="57">
        <f>IF(AR63="","-",AR63)</f>
        <v/>
      </c>
      <c r="U63" s="41" t="n"/>
      <c r="V63" s="57">
        <f>IF(AT63="","-",AT63)</f>
        <v/>
      </c>
      <c r="W63" s="41" t="n"/>
      <c r="X63" s="55">
        <f>AU63</f>
        <v/>
      </c>
      <c r="Y63" s="41" t="n"/>
      <c r="Z63" s="66">
        <f>AV63</f>
        <v/>
      </c>
      <c r="AA63" s="41" t="n"/>
      <c r="AB63" s="41" t="n"/>
      <c r="AC63" s="53">
        <f>AW63</f>
        <v/>
      </c>
      <c r="AD63" s="41" t="n"/>
      <c r="AE63" s="41" t="n"/>
      <c r="AF63" s="15" t="n"/>
      <c r="AI63" s="67" t="n">
        <v>52.5</v>
      </c>
      <c r="AJ63" s="67" t="n">
        <v>54</v>
      </c>
      <c r="AK63" s="68">
        <f>AJ63-AI63</f>
        <v/>
      </c>
      <c r="AL63" s="68">
        <f>(AI63+AJ63)/2</f>
        <v/>
      </c>
      <c r="AM63" s="67" t="inlineStr">
        <is>
          <t>Sand</t>
        </is>
      </c>
      <c r="AN63" s="67" t="n">
        <v>35</v>
      </c>
      <c r="AO63" s="68">
        <f>IF(AL63&gt;$AA$19,$AA$21,$AA$20)</f>
        <v/>
      </c>
      <c r="AP63" s="68">
        <f>AP62+AO63*AK63</f>
        <v/>
      </c>
      <c r="AQ63" s="68">
        <f>AP63-AO63*AK63/2-10*MAX(AL63-$AA$19,0)</f>
        <v/>
      </c>
      <c r="AR63" s="67" t="n"/>
      <c r="AS63" s="67" t="n"/>
      <c r="AT63" s="68">
        <f>IF(AR63="","",AR63-AS63)</f>
        <v/>
      </c>
      <c r="AU63" s="67" t="n">
        <v>0.65</v>
      </c>
      <c r="AV63" s="68">
        <f>IF(AM63="Sand",0,Input!$AA$31*AN63)</f>
        <v/>
      </c>
      <c r="AW63" s="68">
        <f>IF(AM63="Sand",27.1+0.3*MIN(Input!$AA$32*AN63,60)-0.00054*MIN(Input!$AA$32*AN63,60)^2,MIN(MAX(DEGREES(ASIN(0.8-0.094*LN(MAX(IF(AT63="",10,AT63),5)))),20),30))</f>
        <v/>
      </c>
      <c r="AX63" s="68">
        <f>IF(AM63="Sand",Input!$AA$33*Input!$AA$32*AN63,Input!$AA$34*AV63)</f>
        <v/>
      </c>
      <c r="AY63" s="68">
        <f>IF(AM63="Sand",Input!$AA$35,0.5)</f>
        <v/>
      </c>
      <c r="AZ63" s="68">
        <f>Input!$AA$15/2/AL63</f>
        <v/>
      </c>
      <c r="BA63" s="68">
        <f>Input!$AA$16/2/AL63</f>
        <v/>
      </c>
      <c r="BB63" s="68">
        <f>1/(4*PI())*(2*AZ63*BA63*SQRT(AZ63^2+BA63^2+1)/(AZ63^2+BA63^2+1+AZ63^2*BA63^2)*(AZ63^2+BA63^2+2)/(AZ63^2+BA63^2+1)+ATAN2(AZ63^2+BA63^2+1-AZ63^2*BA63^2,2*AZ63*BA63*SQRT(AZ63^2+BA63^2+1)))</f>
        <v/>
      </c>
      <c r="BC63" s="68">
        <f>4*Input!$AA$14*BB63</f>
        <v/>
      </c>
      <c r="BD63" s="68">
        <f>((Input!$AA$16/Input!$AA$15)*LN((1+SQRT((Input!$AA$16/Input!$AA$15)^2+1))*SQRT((Input!$AA$16/Input!$AA$15)^2+(AJ63/(Input!$AA$15/2))^2)/((Input!$AA$16/Input!$AA$15)*(1+SQRT((Input!$AA$16/Input!$AA$15)^2+(AJ63/(Input!$AA$15/2))^2+1))))+LN(((Input!$AA$16/Input!$AA$15)+SQRT((Input!$AA$16/Input!$AA$15)^2+1))*SQRT(1+(AJ63/(Input!$AA$15/2))^2)/((Input!$AA$16/Input!$AA$15)+SQRT((Input!$AA$16/Input!$AA$15)^2+(AJ63/(Input!$AA$15/2))^2+1))))/PI()</f>
        <v/>
      </c>
      <c r="BE63" s="68">
        <f>(AJ63/(Input!$AA$15/2))/(2*PI())*ATAN((Input!$AA$16/Input!$AA$15)/((AJ63/(Input!$AA$15/2))*SQRT((Input!$AA$16/Input!$AA$15)^2+(AJ63/(Input!$AA$15/2))^2+1)))</f>
        <v/>
      </c>
      <c r="BF63" s="68">
        <f>MAX(0,AJ63-MAX(AI63,$AA$22))/AK63*IF(BC63&gt;=Input!$AA$21*AQ63,1,0)</f>
        <v/>
      </c>
      <c r="BG63" s="68">
        <f>4*Input!$AA$14*(Input!$AA$15/2)*(1-AY63^2)/AX63*((BD63-BD62)+(1-2*AY63)/(1-AY63)*(BE63-BE62))*1000*BF63</f>
        <v/>
      </c>
      <c r="BH63" s="68">
        <f>IF(AM63="Sand",0,0.009*(AR63-10))</f>
        <v/>
      </c>
      <c r="BI63" s="68">
        <f>BH63*Input!$AA$36</f>
        <v/>
      </c>
      <c r="BJ63" s="68">
        <f>IF(AM63="Sand",0,MAX(AV63/Input!$AA$37,AQ63))</f>
        <v/>
      </c>
      <c r="BK63" s="68">
        <f>IF(AM63="Sand",0,1000*AK63/(1+AU63)*IF(AQ63+BC63&lt;=BJ63,BI63*LOG10((AQ63+BC63)/AQ63),BI63*LOG10(BJ63/AQ63)+BH63*LOG10((AQ63+BC63)/BJ63)))*BF63</f>
        <v/>
      </c>
      <c r="BL63" s="68">
        <f>IF(AM63="Sand",0,10^(INDEX(Input!$Q$48:$Q$54,MIN(MATCH(MIN(MAX(AR63,30),120),Input!$C$48:$C$54,1),6))+(MIN(MAX(AR63,30),120)-INDEX(Input!$C$48:$C$54,MIN(MATCH(MIN(MAX(AR63,30),120),Input!$C$48:$C$54,1),6)))/(INDEX(Input!$C$48:$C$54,MIN(MATCH(MIN(MAX(AR63,30),120),Input!$C$48:$C$54,1),6)+1)-INDEX(Input!$C$48:$C$54,MIN(MATCH(MIN(MAX(AR63,30),120),Input!$C$48:$C$54,1),6)))*(INDEX(Input!$Q$48:$Q$54,MIN(MATCH(MIN(MAX(AR63,30),120),Input!$C$48:$C$54,1),6)+1)-INDEX(Input!$Q$48:$Q$54,MIN(MATCH(MIN(MAX(AR63,30),120),Input!$C$48:$C$54,1),6)))))</f>
        <v/>
      </c>
      <c r="BM63" s="68">
        <f>IF(OR(AM63="Sand",BF63=0),0,Input!$AA$38*(AK63/2)^2/(BL63*1E-4*31536000))</f>
        <v/>
      </c>
      <c r="BN63" s="68">
        <f>MAX(0,MIN(AJ63,Input!$AA$20)-AI63)</f>
        <v/>
      </c>
      <c r="BO63" s="68">
        <f>MAX(0,MIN(AJ63,Input!$AA$20)-MAX(AI63,$AA$22))</f>
        <v/>
      </c>
      <c r="BP63" s="68">
        <f>MAX(0,MIN(AJ63,$AA$225)-AI63)</f>
        <v/>
      </c>
      <c r="BQ63" s="68" t="inlineStr">
        <is>
          <t>data copied from BH-02</t>
        </is>
      </c>
    </row>
    <row r="64">
      <c r="B64" s="9" t="n"/>
      <c r="C64" s="57" t="n">
        <v>37</v>
      </c>
      <c r="D64" s="41" t="n"/>
      <c r="E64" s="55">
        <f>AI64</f>
        <v/>
      </c>
      <c r="F64" s="41" t="n"/>
      <c r="G64" s="41" t="n"/>
      <c r="H64" s="55">
        <f>AJ64</f>
        <v/>
      </c>
      <c r="I64" s="41" t="n"/>
      <c r="J64" s="41" t="n"/>
      <c r="K64" s="52">
        <f>AM64</f>
        <v/>
      </c>
      <c r="L64" s="41" t="n"/>
      <c r="M64" s="41" t="n"/>
      <c r="N64" s="57">
        <f>AN64</f>
        <v/>
      </c>
      <c r="O64" s="41" t="n"/>
      <c r="P64" s="41" t="n"/>
      <c r="Q64" s="53">
        <f>AO64</f>
        <v/>
      </c>
      <c r="R64" s="41" t="n"/>
      <c r="S64" s="41" t="n"/>
      <c r="T64" s="57">
        <f>IF(AR64="","-",AR64)</f>
        <v/>
      </c>
      <c r="U64" s="41" t="n"/>
      <c r="V64" s="57">
        <f>IF(AT64="","-",AT64)</f>
        <v/>
      </c>
      <c r="W64" s="41" t="n"/>
      <c r="X64" s="55">
        <f>AU64</f>
        <v/>
      </c>
      <c r="Y64" s="41" t="n"/>
      <c r="Z64" s="66">
        <f>AV64</f>
        <v/>
      </c>
      <c r="AA64" s="41" t="n"/>
      <c r="AB64" s="41" t="n"/>
      <c r="AC64" s="53">
        <f>AW64</f>
        <v/>
      </c>
      <c r="AD64" s="41" t="n"/>
      <c r="AE64" s="41" t="n"/>
      <c r="AF64" s="15" t="n"/>
      <c r="AI64" s="67" t="n">
        <v>54</v>
      </c>
      <c r="AJ64" s="67" t="n">
        <v>55.5</v>
      </c>
      <c r="AK64" s="68">
        <f>AJ64-AI64</f>
        <v/>
      </c>
      <c r="AL64" s="68">
        <f>(AI64+AJ64)/2</f>
        <v/>
      </c>
      <c r="AM64" s="67" t="inlineStr">
        <is>
          <t>Sand</t>
        </is>
      </c>
      <c r="AN64" s="67" t="n">
        <v>50</v>
      </c>
      <c r="AO64" s="68">
        <f>IF(AL64&gt;$AA$19,$AA$21,$AA$20)</f>
        <v/>
      </c>
      <c r="AP64" s="68">
        <f>AP63+AO64*AK64</f>
        <v/>
      </c>
      <c r="AQ64" s="68">
        <f>AP64-AO64*AK64/2-10*MAX(AL64-$AA$19,0)</f>
        <v/>
      </c>
      <c r="AR64" s="67" t="n"/>
      <c r="AS64" s="67" t="n"/>
      <c r="AT64" s="68">
        <f>IF(AR64="","",AR64-AS64)</f>
        <v/>
      </c>
      <c r="AU64" s="67" t="n">
        <v>0.65</v>
      </c>
      <c r="AV64" s="68">
        <f>IF(AM64="Sand",0,Input!$AA$31*AN64)</f>
        <v/>
      </c>
      <c r="AW64" s="68">
        <f>IF(AM64="Sand",27.1+0.3*MIN(Input!$AA$32*AN64,60)-0.00054*MIN(Input!$AA$32*AN64,60)^2,MIN(MAX(DEGREES(ASIN(0.8-0.094*LN(MAX(IF(AT64="",10,AT64),5)))),20),30))</f>
        <v/>
      </c>
      <c r="AX64" s="68">
        <f>IF(AM64="Sand",Input!$AA$33*Input!$AA$32*AN64,Input!$AA$34*AV64)</f>
        <v/>
      </c>
      <c r="AY64" s="68">
        <f>IF(AM64="Sand",Input!$AA$35,0.5)</f>
        <v/>
      </c>
      <c r="AZ64" s="68">
        <f>Input!$AA$15/2/AL64</f>
        <v/>
      </c>
      <c r="BA64" s="68">
        <f>Input!$AA$16/2/AL64</f>
        <v/>
      </c>
      <c r="BB64" s="68">
        <f>1/(4*PI())*(2*AZ64*BA64*SQRT(AZ64^2+BA64^2+1)/(AZ64^2+BA64^2+1+AZ64^2*BA64^2)*(AZ64^2+BA64^2+2)/(AZ64^2+BA64^2+1)+ATAN2(AZ64^2+BA64^2+1-AZ64^2*BA64^2,2*AZ64*BA64*SQRT(AZ64^2+BA64^2+1)))</f>
        <v/>
      </c>
      <c r="BC64" s="68">
        <f>4*Input!$AA$14*BB64</f>
        <v/>
      </c>
      <c r="BD64" s="68">
        <f>((Input!$AA$16/Input!$AA$15)*LN((1+SQRT((Input!$AA$16/Input!$AA$15)^2+1))*SQRT((Input!$AA$16/Input!$AA$15)^2+(AJ64/(Input!$AA$15/2))^2)/((Input!$AA$16/Input!$AA$15)*(1+SQRT((Input!$AA$16/Input!$AA$15)^2+(AJ64/(Input!$AA$15/2))^2+1))))+LN(((Input!$AA$16/Input!$AA$15)+SQRT((Input!$AA$16/Input!$AA$15)^2+1))*SQRT(1+(AJ64/(Input!$AA$15/2))^2)/((Input!$AA$16/Input!$AA$15)+SQRT((Input!$AA$16/Input!$AA$15)^2+(AJ64/(Input!$AA$15/2))^2+1))))/PI()</f>
        <v/>
      </c>
      <c r="BE64" s="68">
        <f>(AJ64/(Input!$AA$15/2))/(2*PI())*ATAN((Input!$AA$16/Input!$AA$15)/((AJ64/(Input!$AA$15/2))*SQRT((Input!$AA$16/Input!$AA$15)^2+(AJ64/(Input!$AA$15/2))^2+1)))</f>
        <v/>
      </c>
      <c r="BF64" s="68">
        <f>MAX(0,AJ64-MAX(AI64,$AA$22))/AK64*IF(BC64&gt;=Input!$AA$21*AQ64,1,0)</f>
        <v/>
      </c>
      <c r="BG64" s="68">
        <f>4*Input!$AA$14*(Input!$AA$15/2)*(1-AY64^2)/AX64*((BD64-BD63)+(1-2*AY64)/(1-AY64)*(BE64-BE63))*1000*BF64</f>
        <v/>
      </c>
      <c r="BH64" s="68">
        <f>IF(AM64="Sand",0,0.009*(AR64-10))</f>
        <v/>
      </c>
      <c r="BI64" s="68">
        <f>BH64*Input!$AA$36</f>
        <v/>
      </c>
      <c r="BJ64" s="68">
        <f>IF(AM64="Sand",0,MAX(AV64/Input!$AA$37,AQ64))</f>
        <v/>
      </c>
      <c r="BK64" s="68">
        <f>IF(AM64="Sand",0,1000*AK64/(1+AU64)*IF(AQ64+BC64&lt;=BJ64,BI64*LOG10((AQ64+BC64)/AQ64),BI64*LOG10(BJ64/AQ64)+BH64*LOG10((AQ64+BC64)/BJ64)))*BF64</f>
        <v/>
      </c>
      <c r="BL64" s="68">
        <f>IF(AM64="Sand",0,10^(INDEX(Input!$Q$48:$Q$54,MIN(MATCH(MIN(MAX(AR64,30),120),Input!$C$48:$C$54,1),6))+(MIN(MAX(AR64,30),120)-INDEX(Input!$C$48:$C$54,MIN(MATCH(MIN(MAX(AR64,30),120),Input!$C$48:$C$54,1),6)))/(INDEX(Input!$C$48:$C$54,MIN(MATCH(MIN(MAX(AR64,30),120),Input!$C$48:$C$54,1),6)+1)-INDEX(Input!$C$48:$C$54,MIN(MATCH(MIN(MAX(AR64,30),120),Input!$C$48:$C$54,1),6)))*(INDEX(Input!$Q$48:$Q$54,MIN(MATCH(MIN(MAX(AR64,30),120),Input!$C$48:$C$54,1),6)+1)-INDEX(Input!$Q$48:$Q$54,MIN(MATCH(MIN(MAX(AR64,30),120),Input!$C$48:$C$54,1),6)))))</f>
        <v/>
      </c>
      <c r="BM64" s="68">
        <f>IF(OR(AM64="Sand",BF64=0),0,Input!$AA$38*(AK64/2)^2/(BL64*1E-4*31536000))</f>
        <v/>
      </c>
      <c r="BN64" s="68">
        <f>MAX(0,MIN(AJ64,Input!$AA$20)-AI64)</f>
        <v/>
      </c>
      <c r="BO64" s="68">
        <f>MAX(0,MIN(AJ64,Input!$AA$20)-MAX(AI64,$AA$22))</f>
        <v/>
      </c>
      <c r="BP64" s="68">
        <f>MAX(0,MIN(AJ64,$AA$225)-AI64)</f>
        <v/>
      </c>
      <c r="BQ64" s="68" t="inlineStr">
        <is>
          <t>data copied from BH-02</t>
        </is>
      </c>
    </row>
    <row r="65">
      <c r="B65" s="9" t="n"/>
      <c r="C65" s="57" t="n">
        <v>38</v>
      </c>
      <c r="D65" s="41" t="n"/>
      <c r="E65" s="55">
        <f>AI65</f>
        <v/>
      </c>
      <c r="F65" s="41" t="n"/>
      <c r="G65" s="41" t="n"/>
      <c r="H65" s="55">
        <f>AJ65</f>
        <v/>
      </c>
      <c r="I65" s="41" t="n"/>
      <c r="J65" s="41" t="n"/>
      <c r="K65" s="52">
        <f>AM65</f>
        <v/>
      </c>
      <c r="L65" s="41" t="n"/>
      <c r="M65" s="41" t="n"/>
      <c r="N65" s="57">
        <f>AN65</f>
        <v/>
      </c>
      <c r="O65" s="41" t="n"/>
      <c r="P65" s="41" t="n"/>
      <c r="Q65" s="53">
        <f>AO65</f>
        <v/>
      </c>
      <c r="R65" s="41" t="n"/>
      <c r="S65" s="41" t="n"/>
      <c r="T65" s="57">
        <f>IF(AR65="","-",AR65)</f>
        <v/>
      </c>
      <c r="U65" s="41" t="n"/>
      <c r="V65" s="57">
        <f>IF(AT65="","-",AT65)</f>
        <v/>
      </c>
      <c r="W65" s="41" t="n"/>
      <c r="X65" s="55">
        <f>AU65</f>
        <v/>
      </c>
      <c r="Y65" s="41" t="n"/>
      <c r="Z65" s="66">
        <f>AV65</f>
        <v/>
      </c>
      <c r="AA65" s="41" t="n"/>
      <c r="AB65" s="41" t="n"/>
      <c r="AC65" s="53">
        <f>AW65</f>
        <v/>
      </c>
      <c r="AD65" s="41" t="n"/>
      <c r="AE65" s="41" t="n"/>
      <c r="AF65" s="15" t="n"/>
      <c r="AI65" s="67" t="n">
        <v>55.5</v>
      </c>
      <c r="AJ65" s="67" t="n">
        <v>57</v>
      </c>
      <c r="AK65" s="68">
        <f>AJ65-AI65</f>
        <v/>
      </c>
      <c r="AL65" s="68">
        <f>(AI65+AJ65)/2</f>
        <v/>
      </c>
      <c r="AM65" s="67" t="inlineStr">
        <is>
          <t>Sand</t>
        </is>
      </c>
      <c r="AN65" s="67" t="n">
        <v>50</v>
      </c>
      <c r="AO65" s="68">
        <f>IF(AL65&gt;$AA$19,$AA$21,$AA$20)</f>
        <v/>
      </c>
      <c r="AP65" s="68">
        <f>AP64+AO65*AK65</f>
        <v/>
      </c>
      <c r="AQ65" s="68">
        <f>AP65-AO65*AK65/2-10*MAX(AL65-$AA$19,0)</f>
        <v/>
      </c>
      <c r="AR65" s="67" t="n"/>
      <c r="AS65" s="67" t="n"/>
      <c r="AT65" s="68">
        <f>IF(AR65="","",AR65-AS65)</f>
        <v/>
      </c>
      <c r="AU65" s="67" t="n">
        <v>0.65</v>
      </c>
      <c r="AV65" s="68">
        <f>IF(AM65="Sand",0,Input!$AA$31*AN65)</f>
        <v/>
      </c>
      <c r="AW65" s="68">
        <f>IF(AM65="Sand",27.1+0.3*MIN(Input!$AA$32*AN65,60)-0.00054*MIN(Input!$AA$32*AN65,60)^2,MIN(MAX(DEGREES(ASIN(0.8-0.094*LN(MAX(IF(AT65="",10,AT65),5)))),20),30))</f>
        <v/>
      </c>
      <c r="AX65" s="68">
        <f>IF(AM65="Sand",Input!$AA$33*Input!$AA$32*AN65,Input!$AA$34*AV65)</f>
        <v/>
      </c>
      <c r="AY65" s="68">
        <f>IF(AM65="Sand",Input!$AA$35,0.5)</f>
        <v/>
      </c>
      <c r="AZ65" s="68">
        <f>Input!$AA$15/2/AL65</f>
        <v/>
      </c>
      <c r="BA65" s="68">
        <f>Input!$AA$16/2/AL65</f>
        <v/>
      </c>
      <c r="BB65" s="68">
        <f>1/(4*PI())*(2*AZ65*BA65*SQRT(AZ65^2+BA65^2+1)/(AZ65^2+BA65^2+1+AZ65^2*BA65^2)*(AZ65^2+BA65^2+2)/(AZ65^2+BA65^2+1)+ATAN2(AZ65^2+BA65^2+1-AZ65^2*BA65^2,2*AZ65*BA65*SQRT(AZ65^2+BA65^2+1)))</f>
        <v/>
      </c>
      <c r="BC65" s="68">
        <f>4*Input!$AA$14*BB65</f>
        <v/>
      </c>
      <c r="BD65" s="68">
        <f>((Input!$AA$16/Input!$AA$15)*LN((1+SQRT((Input!$AA$16/Input!$AA$15)^2+1))*SQRT((Input!$AA$16/Input!$AA$15)^2+(AJ65/(Input!$AA$15/2))^2)/((Input!$AA$16/Input!$AA$15)*(1+SQRT((Input!$AA$16/Input!$AA$15)^2+(AJ65/(Input!$AA$15/2))^2+1))))+LN(((Input!$AA$16/Input!$AA$15)+SQRT((Input!$AA$16/Input!$AA$15)^2+1))*SQRT(1+(AJ65/(Input!$AA$15/2))^2)/((Input!$AA$16/Input!$AA$15)+SQRT((Input!$AA$16/Input!$AA$15)^2+(AJ65/(Input!$AA$15/2))^2+1))))/PI()</f>
        <v/>
      </c>
      <c r="BE65" s="68">
        <f>(AJ65/(Input!$AA$15/2))/(2*PI())*ATAN((Input!$AA$16/Input!$AA$15)/((AJ65/(Input!$AA$15/2))*SQRT((Input!$AA$16/Input!$AA$15)^2+(AJ65/(Input!$AA$15/2))^2+1)))</f>
        <v/>
      </c>
      <c r="BF65" s="68">
        <f>MAX(0,AJ65-MAX(AI65,$AA$22))/AK65*IF(BC65&gt;=Input!$AA$21*AQ65,1,0)</f>
        <v/>
      </c>
      <c r="BG65" s="68">
        <f>4*Input!$AA$14*(Input!$AA$15/2)*(1-AY65^2)/AX65*((BD65-BD64)+(1-2*AY65)/(1-AY65)*(BE65-BE64))*1000*BF65</f>
        <v/>
      </c>
      <c r="BH65" s="68">
        <f>IF(AM65="Sand",0,0.009*(AR65-10))</f>
        <v/>
      </c>
      <c r="BI65" s="68">
        <f>BH65*Input!$AA$36</f>
        <v/>
      </c>
      <c r="BJ65" s="68">
        <f>IF(AM65="Sand",0,MAX(AV65/Input!$AA$37,AQ65))</f>
        <v/>
      </c>
      <c r="BK65" s="68">
        <f>IF(AM65="Sand",0,1000*AK65/(1+AU65)*IF(AQ65+BC65&lt;=BJ65,BI65*LOG10((AQ65+BC65)/AQ65),BI65*LOG10(BJ65/AQ65)+BH65*LOG10((AQ65+BC65)/BJ65)))*BF65</f>
        <v/>
      </c>
      <c r="BL65" s="68">
        <f>IF(AM65="Sand",0,10^(INDEX(Input!$Q$48:$Q$54,MIN(MATCH(MIN(MAX(AR65,30),120),Input!$C$48:$C$54,1),6))+(MIN(MAX(AR65,30),120)-INDEX(Input!$C$48:$C$54,MIN(MATCH(MIN(MAX(AR65,30),120),Input!$C$48:$C$54,1),6)))/(INDEX(Input!$C$48:$C$54,MIN(MATCH(MIN(MAX(AR65,30),120),Input!$C$48:$C$54,1),6)+1)-INDEX(Input!$C$48:$C$54,MIN(MATCH(MIN(MAX(AR65,30),120),Input!$C$48:$C$54,1),6)))*(INDEX(Input!$Q$48:$Q$54,MIN(MATCH(MIN(MAX(AR65,30),120),Input!$C$48:$C$54,1),6)+1)-INDEX(Input!$Q$48:$Q$54,MIN(MATCH(MIN(MAX(AR65,30),120),Input!$C$48:$C$54,1),6)))))</f>
        <v/>
      </c>
      <c r="BM65" s="68">
        <f>IF(OR(AM65="Sand",BF65=0),0,Input!$AA$38*(AK65/2)^2/(BL65*1E-4*31536000))</f>
        <v/>
      </c>
      <c r="BN65" s="68">
        <f>MAX(0,MIN(AJ65,Input!$AA$20)-AI65)</f>
        <v/>
      </c>
      <c r="BO65" s="68">
        <f>MAX(0,MIN(AJ65,Input!$AA$20)-MAX(AI65,$AA$22))</f>
        <v/>
      </c>
      <c r="BP65" s="68">
        <f>MAX(0,MIN(AJ65,$AA$225)-AI65)</f>
        <v/>
      </c>
      <c r="BQ65" s="68" t="inlineStr">
        <is>
          <t>data copied from BH-02</t>
        </is>
      </c>
    </row>
    <row r="66">
      <c r="B66" s="9" t="n"/>
      <c r="C66" s="57" t="n">
        <v>39</v>
      </c>
      <c r="D66" s="41" t="n"/>
      <c r="E66" s="55">
        <f>AI66</f>
        <v/>
      </c>
      <c r="F66" s="41" t="n"/>
      <c r="G66" s="41" t="n"/>
      <c r="H66" s="55">
        <f>AJ66</f>
        <v/>
      </c>
      <c r="I66" s="41" t="n"/>
      <c r="J66" s="41" t="n"/>
      <c r="K66" s="52">
        <f>AM66</f>
        <v/>
      </c>
      <c r="L66" s="41" t="n"/>
      <c r="M66" s="41" t="n"/>
      <c r="N66" s="57">
        <f>AN66</f>
        <v/>
      </c>
      <c r="O66" s="41" t="n"/>
      <c r="P66" s="41" t="n"/>
      <c r="Q66" s="53">
        <f>AO66</f>
        <v/>
      </c>
      <c r="R66" s="41" t="n"/>
      <c r="S66" s="41" t="n"/>
      <c r="T66" s="57">
        <f>IF(AR66="","-",AR66)</f>
        <v/>
      </c>
      <c r="U66" s="41" t="n"/>
      <c r="V66" s="57">
        <f>IF(AT66="","-",AT66)</f>
        <v/>
      </c>
      <c r="W66" s="41" t="n"/>
      <c r="X66" s="55">
        <f>AU66</f>
        <v/>
      </c>
      <c r="Y66" s="41" t="n"/>
      <c r="Z66" s="66">
        <f>AV66</f>
        <v/>
      </c>
      <c r="AA66" s="41" t="n"/>
      <c r="AB66" s="41" t="n"/>
      <c r="AC66" s="53">
        <f>AW66</f>
        <v/>
      </c>
      <c r="AD66" s="41" t="n"/>
      <c r="AE66" s="41" t="n"/>
      <c r="AF66" s="15" t="n"/>
      <c r="AI66" s="67" t="n">
        <v>57</v>
      </c>
      <c r="AJ66" s="67" t="n">
        <v>58.5</v>
      </c>
      <c r="AK66" s="68">
        <f>AJ66-AI66</f>
        <v/>
      </c>
      <c r="AL66" s="68">
        <f>(AI66+AJ66)/2</f>
        <v/>
      </c>
      <c r="AM66" s="67" t="inlineStr">
        <is>
          <t>Sand</t>
        </is>
      </c>
      <c r="AN66" s="67" t="n">
        <v>50</v>
      </c>
      <c r="AO66" s="68">
        <f>IF(AL66&gt;$AA$19,$AA$21,$AA$20)</f>
        <v/>
      </c>
      <c r="AP66" s="68">
        <f>AP65+AO66*AK66</f>
        <v/>
      </c>
      <c r="AQ66" s="68">
        <f>AP66-AO66*AK66/2-10*MAX(AL66-$AA$19,0)</f>
        <v/>
      </c>
      <c r="AR66" s="67" t="n"/>
      <c r="AS66" s="67" t="n"/>
      <c r="AT66" s="68">
        <f>IF(AR66="","",AR66-AS66)</f>
        <v/>
      </c>
      <c r="AU66" s="67" t="n">
        <v>0.65</v>
      </c>
      <c r="AV66" s="68">
        <f>IF(AM66="Sand",0,Input!$AA$31*AN66)</f>
        <v/>
      </c>
      <c r="AW66" s="68">
        <f>IF(AM66="Sand",27.1+0.3*MIN(Input!$AA$32*AN66,60)-0.00054*MIN(Input!$AA$32*AN66,60)^2,MIN(MAX(DEGREES(ASIN(0.8-0.094*LN(MAX(IF(AT66="",10,AT66),5)))),20),30))</f>
        <v/>
      </c>
      <c r="AX66" s="68">
        <f>IF(AM66="Sand",Input!$AA$33*Input!$AA$32*AN66,Input!$AA$34*AV66)</f>
        <v/>
      </c>
      <c r="AY66" s="68">
        <f>IF(AM66="Sand",Input!$AA$35,0.5)</f>
        <v/>
      </c>
      <c r="AZ66" s="68">
        <f>Input!$AA$15/2/AL66</f>
        <v/>
      </c>
      <c r="BA66" s="68">
        <f>Input!$AA$16/2/AL66</f>
        <v/>
      </c>
      <c r="BB66" s="68">
        <f>1/(4*PI())*(2*AZ66*BA66*SQRT(AZ66^2+BA66^2+1)/(AZ66^2+BA66^2+1+AZ66^2*BA66^2)*(AZ66^2+BA66^2+2)/(AZ66^2+BA66^2+1)+ATAN2(AZ66^2+BA66^2+1-AZ66^2*BA66^2,2*AZ66*BA66*SQRT(AZ66^2+BA66^2+1)))</f>
        <v/>
      </c>
      <c r="BC66" s="68">
        <f>4*Input!$AA$14*BB66</f>
        <v/>
      </c>
      <c r="BD66" s="68">
        <f>((Input!$AA$16/Input!$AA$15)*LN((1+SQRT((Input!$AA$16/Input!$AA$15)^2+1))*SQRT((Input!$AA$16/Input!$AA$15)^2+(AJ66/(Input!$AA$15/2))^2)/((Input!$AA$16/Input!$AA$15)*(1+SQRT((Input!$AA$16/Input!$AA$15)^2+(AJ66/(Input!$AA$15/2))^2+1))))+LN(((Input!$AA$16/Input!$AA$15)+SQRT((Input!$AA$16/Input!$AA$15)^2+1))*SQRT(1+(AJ66/(Input!$AA$15/2))^2)/((Input!$AA$16/Input!$AA$15)+SQRT((Input!$AA$16/Input!$AA$15)^2+(AJ66/(Input!$AA$15/2))^2+1))))/PI()</f>
        <v/>
      </c>
      <c r="BE66" s="68">
        <f>(AJ66/(Input!$AA$15/2))/(2*PI())*ATAN((Input!$AA$16/Input!$AA$15)/((AJ66/(Input!$AA$15/2))*SQRT((Input!$AA$16/Input!$AA$15)^2+(AJ66/(Input!$AA$15/2))^2+1)))</f>
        <v/>
      </c>
      <c r="BF66" s="68">
        <f>MAX(0,AJ66-MAX(AI66,$AA$22))/AK66*IF(BC66&gt;=Input!$AA$21*AQ66,1,0)</f>
        <v/>
      </c>
      <c r="BG66" s="68">
        <f>4*Input!$AA$14*(Input!$AA$15/2)*(1-AY66^2)/AX66*((BD66-BD65)+(1-2*AY66)/(1-AY66)*(BE66-BE65))*1000*BF66</f>
        <v/>
      </c>
      <c r="BH66" s="68">
        <f>IF(AM66="Sand",0,0.009*(AR66-10))</f>
        <v/>
      </c>
      <c r="BI66" s="68">
        <f>BH66*Input!$AA$36</f>
        <v/>
      </c>
      <c r="BJ66" s="68">
        <f>IF(AM66="Sand",0,MAX(AV66/Input!$AA$37,AQ66))</f>
        <v/>
      </c>
      <c r="BK66" s="68">
        <f>IF(AM66="Sand",0,1000*AK66/(1+AU66)*IF(AQ66+BC66&lt;=BJ66,BI66*LOG10((AQ66+BC66)/AQ66),BI66*LOG10(BJ66/AQ66)+BH66*LOG10((AQ66+BC66)/BJ66)))*BF66</f>
        <v/>
      </c>
      <c r="BL66" s="68">
        <f>IF(AM66="Sand",0,10^(INDEX(Input!$Q$48:$Q$54,MIN(MATCH(MIN(MAX(AR66,30),120),Input!$C$48:$C$54,1),6))+(MIN(MAX(AR66,30),120)-INDEX(Input!$C$48:$C$54,MIN(MATCH(MIN(MAX(AR66,30),120),Input!$C$48:$C$54,1),6)))/(INDEX(Input!$C$48:$C$54,MIN(MATCH(MIN(MAX(AR66,30),120),Input!$C$48:$C$54,1),6)+1)-INDEX(Input!$C$48:$C$54,MIN(MATCH(MIN(MAX(AR66,30),120),Input!$C$48:$C$54,1),6)))*(INDEX(Input!$Q$48:$Q$54,MIN(MATCH(MIN(MAX(AR66,30),120),Input!$C$48:$C$54,1),6)+1)-INDEX(Input!$Q$48:$Q$54,MIN(MATCH(MIN(MAX(AR66,30),120),Input!$C$48:$C$54,1),6)))))</f>
        <v/>
      </c>
      <c r="BM66" s="68">
        <f>IF(OR(AM66="Sand",BF66=0),0,Input!$AA$38*(AK66/2)^2/(BL66*1E-4*31536000))</f>
        <v/>
      </c>
      <c r="BN66" s="68">
        <f>MAX(0,MIN(AJ66,Input!$AA$20)-AI66)</f>
        <v/>
      </c>
      <c r="BO66" s="68">
        <f>MAX(0,MIN(AJ66,Input!$AA$20)-MAX(AI66,$AA$22))</f>
        <v/>
      </c>
      <c r="BP66" s="68">
        <f>MAX(0,MIN(AJ66,$AA$225)-AI66)</f>
        <v/>
      </c>
      <c r="BQ66" s="68" t="inlineStr">
        <is>
          <t>data copied from BH-02</t>
        </is>
      </c>
    </row>
    <row r="67">
      <c r="B67" s="9" t="n"/>
      <c r="C67" s="57" t="n">
        <v>40</v>
      </c>
      <c r="D67" s="41" t="n"/>
      <c r="E67" s="55">
        <f>AI67</f>
        <v/>
      </c>
      <c r="F67" s="41" t="n"/>
      <c r="G67" s="41" t="n"/>
      <c r="H67" s="55">
        <f>AJ67</f>
        <v/>
      </c>
      <c r="I67" s="41" t="n"/>
      <c r="J67" s="41" t="n"/>
      <c r="K67" s="52">
        <f>AM67</f>
        <v/>
      </c>
      <c r="L67" s="41" t="n"/>
      <c r="M67" s="41" t="n"/>
      <c r="N67" s="57">
        <f>AN67</f>
        <v/>
      </c>
      <c r="O67" s="41" t="n"/>
      <c r="P67" s="41" t="n"/>
      <c r="Q67" s="53">
        <f>AO67</f>
        <v/>
      </c>
      <c r="R67" s="41" t="n"/>
      <c r="S67" s="41" t="n"/>
      <c r="T67" s="57">
        <f>IF(AR67="","-",AR67)</f>
        <v/>
      </c>
      <c r="U67" s="41" t="n"/>
      <c r="V67" s="57">
        <f>IF(AT67="","-",AT67)</f>
        <v/>
      </c>
      <c r="W67" s="41" t="n"/>
      <c r="X67" s="55">
        <f>AU67</f>
        <v/>
      </c>
      <c r="Y67" s="41" t="n"/>
      <c r="Z67" s="66">
        <f>AV67</f>
        <v/>
      </c>
      <c r="AA67" s="41" t="n"/>
      <c r="AB67" s="41" t="n"/>
      <c r="AC67" s="53">
        <f>AW67</f>
        <v/>
      </c>
      <c r="AD67" s="41" t="n"/>
      <c r="AE67" s="41" t="n"/>
      <c r="AF67" s="15" t="n"/>
      <c r="AI67" s="67" t="n">
        <v>58.5</v>
      </c>
      <c r="AJ67" s="67" t="n">
        <v>59.5</v>
      </c>
      <c r="AK67" s="68">
        <f>AJ67-AI67</f>
        <v/>
      </c>
      <c r="AL67" s="68">
        <f>(AI67+AJ67)/2</f>
        <v/>
      </c>
      <c r="AM67" s="67" t="inlineStr">
        <is>
          <t>Sand</t>
        </is>
      </c>
      <c r="AN67" s="67" t="n">
        <v>29</v>
      </c>
      <c r="AO67" s="68">
        <f>IF(AL67&gt;$AA$19,$AA$21,$AA$20)</f>
        <v/>
      </c>
      <c r="AP67" s="68">
        <f>AP66+AO67*AK67</f>
        <v/>
      </c>
      <c r="AQ67" s="68">
        <f>AP67-AO67*AK67/2-10*MAX(AL67-$AA$19,0)</f>
        <v/>
      </c>
      <c r="AR67" s="67" t="n"/>
      <c r="AS67" s="67" t="n"/>
      <c r="AT67" s="68">
        <f>IF(AR67="","",AR67-AS67)</f>
        <v/>
      </c>
      <c r="AU67" s="67" t="n">
        <v>0.65</v>
      </c>
      <c r="AV67" s="68">
        <f>IF(AM67="Sand",0,Input!$AA$31*AN67)</f>
        <v/>
      </c>
      <c r="AW67" s="68">
        <f>IF(AM67="Sand",27.1+0.3*MIN(Input!$AA$32*AN67,60)-0.00054*MIN(Input!$AA$32*AN67,60)^2,MIN(MAX(DEGREES(ASIN(0.8-0.094*LN(MAX(IF(AT67="",10,AT67),5)))),20),30))</f>
        <v/>
      </c>
      <c r="AX67" s="68">
        <f>IF(AM67="Sand",Input!$AA$33*Input!$AA$32*AN67,Input!$AA$34*AV67)</f>
        <v/>
      </c>
      <c r="AY67" s="68">
        <f>IF(AM67="Sand",Input!$AA$35,0.5)</f>
        <v/>
      </c>
      <c r="AZ67" s="68">
        <f>Input!$AA$15/2/AL67</f>
        <v/>
      </c>
      <c r="BA67" s="68">
        <f>Input!$AA$16/2/AL67</f>
        <v/>
      </c>
      <c r="BB67" s="68">
        <f>1/(4*PI())*(2*AZ67*BA67*SQRT(AZ67^2+BA67^2+1)/(AZ67^2+BA67^2+1+AZ67^2*BA67^2)*(AZ67^2+BA67^2+2)/(AZ67^2+BA67^2+1)+ATAN2(AZ67^2+BA67^2+1-AZ67^2*BA67^2,2*AZ67*BA67*SQRT(AZ67^2+BA67^2+1)))</f>
        <v/>
      </c>
      <c r="BC67" s="68">
        <f>4*Input!$AA$14*BB67</f>
        <v/>
      </c>
      <c r="BD67" s="68">
        <f>((Input!$AA$16/Input!$AA$15)*LN((1+SQRT((Input!$AA$16/Input!$AA$15)^2+1))*SQRT((Input!$AA$16/Input!$AA$15)^2+(AJ67/(Input!$AA$15/2))^2)/((Input!$AA$16/Input!$AA$15)*(1+SQRT((Input!$AA$16/Input!$AA$15)^2+(AJ67/(Input!$AA$15/2))^2+1))))+LN(((Input!$AA$16/Input!$AA$15)+SQRT((Input!$AA$16/Input!$AA$15)^2+1))*SQRT(1+(AJ67/(Input!$AA$15/2))^2)/((Input!$AA$16/Input!$AA$15)+SQRT((Input!$AA$16/Input!$AA$15)^2+(AJ67/(Input!$AA$15/2))^2+1))))/PI()</f>
        <v/>
      </c>
      <c r="BE67" s="68">
        <f>(AJ67/(Input!$AA$15/2))/(2*PI())*ATAN((Input!$AA$16/Input!$AA$15)/((AJ67/(Input!$AA$15/2))*SQRT((Input!$AA$16/Input!$AA$15)^2+(AJ67/(Input!$AA$15/2))^2+1)))</f>
        <v/>
      </c>
      <c r="BF67" s="68">
        <f>MAX(0,AJ67-MAX(AI67,$AA$22))/AK67*IF(BC67&gt;=Input!$AA$21*AQ67,1,0)</f>
        <v/>
      </c>
      <c r="BG67" s="68">
        <f>4*Input!$AA$14*(Input!$AA$15/2)*(1-AY67^2)/AX67*((BD67-BD66)+(1-2*AY67)/(1-AY67)*(BE67-BE66))*1000*BF67</f>
        <v/>
      </c>
      <c r="BH67" s="68">
        <f>IF(AM67="Sand",0,0.009*(AR67-10))</f>
        <v/>
      </c>
      <c r="BI67" s="68">
        <f>BH67*Input!$AA$36</f>
        <v/>
      </c>
      <c r="BJ67" s="68">
        <f>IF(AM67="Sand",0,MAX(AV67/Input!$AA$37,AQ67))</f>
        <v/>
      </c>
      <c r="BK67" s="68">
        <f>IF(AM67="Sand",0,1000*AK67/(1+AU67)*IF(AQ67+BC67&lt;=BJ67,BI67*LOG10((AQ67+BC67)/AQ67),BI67*LOG10(BJ67/AQ67)+BH67*LOG10((AQ67+BC67)/BJ67)))*BF67</f>
        <v/>
      </c>
      <c r="BL67" s="68">
        <f>IF(AM67="Sand",0,10^(INDEX(Input!$Q$48:$Q$54,MIN(MATCH(MIN(MAX(AR67,30),120),Input!$C$48:$C$54,1),6))+(MIN(MAX(AR67,30),120)-INDEX(Input!$C$48:$C$54,MIN(MATCH(MIN(MAX(AR67,30),120),Input!$C$48:$C$54,1),6)))/(INDEX(Input!$C$48:$C$54,MIN(MATCH(MIN(MAX(AR67,30),120),Input!$C$48:$C$54,1),6)+1)-INDEX(Input!$C$48:$C$54,MIN(MATCH(MIN(MAX(AR67,30),120),Input!$C$48:$C$54,1),6)))*(INDEX(Input!$Q$48:$Q$54,MIN(MATCH(MIN(MAX(AR67,30),120),Input!$C$48:$C$54,1),6)+1)-INDEX(Input!$Q$48:$Q$54,MIN(MATCH(MIN(MAX(AR67,30),120),Input!$C$48:$C$54,1),6)))))</f>
        <v/>
      </c>
      <c r="BM67" s="68">
        <f>IF(OR(AM67="Sand",BF67=0),0,Input!$AA$38*(AK67/2)^2/(BL67*1E-4*31536000))</f>
        <v/>
      </c>
      <c r="BN67" s="68">
        <f>MAX(0,MIN(AJ67,Input!$AA$20)-AI67)</f>
        <v/>
      </c>
      <c r="BO67" s="68">
        <f>MAX(0,MIN(AJ67,Input!$AA$20)-MAX(AI67,$AA$22))</f>
        <v/>
      </c>
      <c r="BP67" s="68">
        <f>MAX(0,MIN(AJ67,$AA$225)-AI67)</f>
        <v/>
      </c>
      <c r="BQ67" s="68" t="inlineStr">
        <is>
          <t>data copied from BH-02</t>
        </is>
      </c>
    </row>
    <row r="68">
      <c r="B68" s="9" t="n"/>
      <c r="C68" s="69" t="n">
        <v>41</v>
      </c>
      <c r="D68" s="46" t="n"/>
      <c r="E68" s="70">
        <f>AI68</f>
        <v/>
      </c>
      <c r="F68" s="46" t="n"/>
      <c r="G68" s="46" t="n"/>
      <c r="H68" s="70">
        <f>AJ68</f>
        <v/>
      </c>
      <c r="I68" s="46" t="n"/>
      <c r="J68" s="46" t="n"/>
      <c r="K68" s="59">
        <f>AM68</f>
        <v/>
      </c>
      <c r="L68" s="46" t="n"/>
      <c r="M68" s="46" t="n"/>
      <c r="N68" s="69">
        <f>AN68</f>
        <v/>
      </c>
      <c r="O68" s="46" t="n"/>
      <c r="P68" s="46" t="n"/>
      <c r="Q68" s="60">
        <f>AO68</f>
        <v/>
      </c>
      <c r="R68" s="46" t="n"/>
      <c r="S68" s="46" t="n"/>
      <c r="T68" s="69">
        <f>IF(AR68="","-",AR68)</f>
        <v/>
      </c>
      <c r="U68" s="46" t="n"/>
      <c r="V68" s="69">
        <f>IF(AT68="","-",AT68)</f>
        <v/>
      </c>
      <c r="W68" s="46" t="n"/>
      <c r="X68" s="70">
        <f>AU68</f>
        <v/>
      </c>
      <c r="Y68" s="46" t="n"/>
      <c r="Z68" s="71">
        <f>AV68</f>
        <v/>
      </c>
      <c r="AA68" s="46" t="n"/>
      <c r="AB68" s="46" t="n"/>
      <c r="AC68" s="60">
        <f>AW68</f>
        <v/>
      </c>
      <c r="AD68" s="46" t="n"/>
      <c r="AE68" s="46" t="n"/>
      <c r="AF68" s="15" t="n"/>
      <c r="AI68" s="67" t="n">
        <v>59.5</v>
      </c>
      <c r="AJ68" s="67" t="n">
        <v>60</v>
      </c>
      <c r="AK68" s="68">
        <f>AJ68-AI68</f>
        <v/>
      </c>
      <c r="AL68" s="68">
        <f>(AI68+AJ68)/2</f>
        <v/>
      </c>
      <c r="AM68" s="67" t="inlineStr">
        <is>
          <t>Sand</t>
        </is>
      </c>
      <c r="AN68" s="67" t="n">
        <v>44</v>
      </c>
      <c r="AO68" s="68">
        <f>IF(AL68&gt;$AA$19,$AA$21,$AA$20)</f>
        <v/>
      </c>
      <c r="AP68" s="68">
        <f>AP67+AO68*AK68</f>
        <v/>
      </c>
      <c r="AQ68" s="68">
        <f>AP68-AO68*AK68/2-10*MAX(AL68-$AA$19,0)</f>
        <v/>
      </c>
      <c r="AR68" s="67" t="n"/>
      <c r="AS68" s="67" t="n"/>
      <c r="AT68" s="68">
        <f>IF(AR68="","",AR68-AS68)</f>
        <v/>
      </c>
      <c r="AU68" s="67" t="n">
        <v>0.65</v>
      </c>
      <c r="AV68" s="68">
        <f>IF(AM68="Sand",0,Input!$AA$31*AN68)</f>
        <v/>
      </c>
      <c r="AW68" s="68">
        <f>IF(AM68="Sand",27.1+0.3*MIN(Input!$AA$32*AN68,60)-0.00054*MIN(Input!$AA$32*AN68,60)^2,MIN(MAX(DEGREES(ASIN(0.8-0.094*LN(MAX(IF(AT68="",10,AT68),5)))),20),30))</f>
        <v/>
      </c>
      <c r="AX68" s="68">
        <f>IF(AM68="Sand",Input!$AA$33*Input!$AA$32*AN68,Input!$AA$34*AV68)</f>
        <v/>
      </c>
      <c r="AY68" s="68">
        <f>IF(AM68="Sand",Input!$AA$35,0.5)</f>
        <v/>
      </c>
      <c r="AZ68" s="68">
        <f>Input!$AA$15/2/AL68</f>
        <v/>
      </c>
      <c r="BA68" s="68">
        <f>Input!$AA$16/2/AL68</f>
        <v/>
      </c>
      <c r="BB68" s="68">
        <f>1/(4*PI())*(2*AZ68*BA68*SQRT(AZ68^2+BA68^2+1)/(AZ68^2+BA68^2+1+AZ68^2*BA68^2)*(AZ68^2+BA68^2+2)/(AZ68^2+BA68^2+1)+ATAN2(AZ68^2+BA68^2+1-AZ68^2*BA68^2,2*AZ68*BA68*SQRT(AZ68^2+BA68^2+1)))</f>
        <v/>
      </c>
      <c r="BC68" s="68">
        <f>4*Input!$AA$14*BB68</f>
        <v/>
      </c>
      <c r="BD68" s="68">
        <f>((Input!$AA$16/Input!$AA$15)*LN((1+SQRT((Input!$AA$16/Input!$AA$15)^2+1))*SQRT((Input!$AA$16/Input!$AA$15)^2+(AJ68/(Input!$AA$15/2))^2)/((Input!$AA$16/Input!$AA$15)*(1+SQRT((Input!$AA$16/Input!$AA$15)^2+(AJ68/(Input!$AA$15/2))^2+1))))+LN(((Input!$AA$16/Input!$AA$15)+SQRT((Input!$AA$16/Input!$AA$15)^2+1))*SQRT(1+(AJ68/(Input!$AA$15/2))^2)/((Input!$AA$16/Input!$AA$15)+SQRT((Input!$AA$16/Input!$AA$15)^2+(AJ68/(Input!$AA$15/2))^2+1))))/PI()</f>
        <v/>
      </c>
      <c r="BE68" s="68">
        <f>(AJ68/(Input!$AA$15/2))/(2*PI())*ATAN((Input!$AA$16/Input!$AA$15)/((AJ68/(Input!$AA$15/2))*SQRT((Input!$AA$16/Input!$AA$15)^2+(AJ68/(Input!$AA$15/2))^2+1)))</f>
        <v/>
      </c>
      <c r="BF68" s="68">
        <f>MAX(0,AJ68-MAX(AI68,$AA$22))/AK68*IF(BC68&gt;=Input!$AA$21*AQ68,1,0)</f>
        <v/>
      </c>
      <c r="BG68" s="68">
        <f>4*Input!$AA$14*(Input!$AA$15/2)*(1-AY68^2)/AX68*((BD68-BD67)+(1-2*AY68)/(1-AY68)*(BE68-BE67))*1000*BF68</f>
        <v/>
      </c>
      <c r="BH68" s="68">
        <f>IF(AM68="Sand",0,0.009*(AR68-10))</f>
        <v/>
      </c>
      <c r="BI68" s="68">
        <f>BH68*Input!$AA$36</f>
        <v/>
      </c>
      <c r="BJ68" s="68">
        <f>IF(AM68="Sand",0,MAX(AV68/Input!$AA$37,AQ68))</f>
        <v/>
      </c>
      <c r="BK68" s="68">
        <f>IF(AM68="Sand",0,1000*AK68/(1+AU68)*IF(AQ68+BC68&lt;=BJ68,BI68*LOG10((AQ68+BC68)/AQ68),BI68*LOG10(BJ68/AQ68)+BH68*LOG10((AQ68+BC68)/BJ68)))*BF68</f>
        <v/>
      </c>
      <c r="BL68" s="68">
        <f>IF(AM68="Sand",0,10^(INDEX(Input!$Q$48:$Q$54,MIN(MATCH(MIN(MAX(AR68,30),120),Input!$C$48:$C$54,1),6))+(MIN(MAX(AR68,30),120)-INDEX(Input!$C$48:$C$54,MIN(MATCH(MIN(MAX(AR68,30),120),Input!$C$48:$C$54,1),6)))/(INDEX(Input!$C$48:$C$54,MIN(MATCH(MIN(MAX(AR68,30),120),Input!$C$48:$C$54,1),6)+1)-INDEX(Input!$C$48:$C$54,MIN(MATCH(MIN(MAX(AR68,30),120),Input!$C$48:$C$54,1),6)))*(INDEX(Input!$Q$48:$Q$54,MIN(MATCH(MIN(MAX(AR68,30),120),Input!$C$48:$C$54,1),6)+1)-INDEX(Input!$Q$48:$Q$54,MIN(MATCH(MIN(MAX(AR68,30),120),Input!$C$48:$C$54,1),6)))))</f>
        <v/>
      </c>
      <c r="BM68" s="68">
        <f>IF(OR(AM68="Sand",BF68=0),0,Input!$AA$38*(AK68/2)^2/(BL68*1E-4*31536000))</f>
        <v/>
      </c>
      <c r="BN68" s="68">
        <f>MAX(0,MIN(AJ68,Input!$AA$20)-AI68)</f>
        <v/>
      </c>
      <c r="BO68" s="68">
        <f>MAX(0,MIN(AJ68,Input!$AA$20)-MAX(AI68,$AA$22))</f>
        <v/>
      </c>
      <c r="BP68" s="68">
        <f>MAX(0,MIN(AJ68,$AA$225)-AI68)</f>
        <v/>
      </c>
      <c r="BQ68" s="68" t="inlineStr">
        <is>
          <t>data copied from BH-02</t>
        </is>
      </c>
    </row>
    <row r="69">
      <c r="B69" s="9" t="n"/>
      <c r="C69" s="24" t="inlineStr">
        <is>
          <t>cu = k·N (silt/clay); φ' sand from Wolff (1989), silt/clay from PI; γ from laboratory average above/below GWL.</t>
        </is>
      </c>
      <c r="AF69" s="15" t="n"/>
    </row>
    <row r="70">
      <c r="B70" s="9" t="n"/>
      <c r="C70" s="24" t="inlineStr">
        <is>
          <t>Below 25 m the SPT data of BH-02 are used (BH-05 drilled to 25 m only).</t>
        </is>
      </c>
      <c r="AF70" s="15" t="n"/>
    </row>
    <row r="71">
      <c r="B71" s="9" t="n"/>
      <c r="AF71" s="15" t="n"/>
    </row>
    <row r="72">
      <c r="B72" s="9" t="n"/>
      <c r="AF72" s="15" t="n"/>
    </row>
    <row r="73">
      <c r="B73" s="47" t="n"/>
      <c r="C73" s="48" t="n"/>
      <c r="D73" s="48" t="n"/>
      <c r="E73" s="48" t="n"/>
      <c r="F73" s="48" t="n"/>
      <c r="G73" s="48" t="n"/>
      <c r="H73" s="48" t="n"/>
      <c r="I73" s="48" t="n"/>
      <c r="J73" s="48" t="n"/>
      <c r="K73" s="48" t="n"/>
      <c r="L73" s="48" t="n"/>
      <c r="M73" s="48" t="n"/>
      <c r="N73" s="48" t="n"/>
      <c r="O73" s="48" t="n"/>
      <c r="P73" s="48" t="n"/>
      <c r="Q73" s="48" t="n"/>
      <c r="R73" s="48" t="n"/>
      <c r="S73" s="48" t="n"/>
      <c r="T73" s="48" t="n"/>
      <c r="U73" s="48" t="n"/>
      <c r="V73" s="48" t="n"/>
      <c r="W73" s="48" t="n"/>
      <c r="X73" s="49" t="inlineStr">
        <is>
          <t>Sheet :</t>
        </is>
      </c>
      <c r="Y73" s="48" t="n"/>
      <c r="Z73" s="48" t="n"/>
      <c r="AA73" s="48" t="n"/>
      <c r="AB73" s="49" t="n">
        <v>1</v>
      </c>
      <c r="AC73" s="48" t="n"/>
      <c r="AD73" s="48" t="n"/>
      <c r="AE73" s="48" t="n"/>
      <c r="AF73" s="50" t="n"/>
    </row>
    <row r="74">
      <c r="B74" s="1" t="n"/>
      <c r="C74" s="2" t="inlineStr">
        <is>
          <t>PROJECT :</t>
        </is>
      </c>
      <c r="D74" s="3" t="n"/>
      <c r="E74" s="3" t="n"/>
      <c r="F74" s="3" t="n"/>
      <c r="G74" s="3" t="n"/>
      <c r="H74" s="4" t="inlineStr">
        <is>
          <t>GEOTHERMAL WELLPAD PSPE BORA PULU - SIGI, CENTRAL SULAWESI</t>
        </is>
      </c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5" t="inlineStr">
        <is>
          <t>Prepared by :</t>
        </is>
      </c>
      <c r="Y74" s="6" t="n"/>
      <c r="Z74" s="6" t="n"/>
      <c r="AA74" s="6" t="n"/>
      <c r="AB74" s="7" t="inlineStr">
        <is>
          <t>Date</t>
        </is>
      </c>
      <c r="AC74" s="6" t="n"/>
      <c r="AD74" s="6" t="n"/>
      <c r="AE74" s="6" t="n"/>
      <c r="AF74" s="8" t="n"/>
    </row>
    <row r="75">
      <c r="B75" s="9" t="n"/>
      <c r="C75" s="10" t="inlineStr">
        <is>
          <t>CLIENT :</t>
        </is>
      </c>
      <c r="H75" s="11" t="inlineStr">
        <is>
          <t>PT EDC PANAS BUMI INDONESIA</t>
        </is>
      </c>
      <c r="X75" s="12" t="inlineStr">
        <is>
          <t>DF</t>
        </is>
      </c>
      <c r="Y75" s="13" t="n"/>
      <c r="Z75" s="13" t="n"/>
      <c r="AA75" s="13" t="n"/>
      <c r="AB75" s="14" t="n">
        <v>46301</v>
      </c>
      <c r="AC75" s="13" t="n"/>
      <c r="AD75" s="13" t="n"/>
      <c r="AE75" s="13" t="n"/>
      <c r="AF75" s="15" t="n"/>
    </row>
    <row r="76">
      <c r="B76" s="9" t="n"/>
      <c r="C76" s="10" t="inlineStr">
        <is>
          <t>LOCATION :</t>
        </is>
      </c>
      <c r="H76" s="11" t="inlineStr">
        <is>
          <t>BH-05 (Wellpad A)</t>
        </is>
      </c>
      <c r="X76" s="12" t="inlineStr">
        <is>
          <t>Verified by :</t>
        </is>
      </c>
      <c r="Y76" s="13" t="n"/>
      <c r="Z76" s="13" t="n"/>
      <c r="AA76" s="13" t="n"/>
      <c r="AB76" s="14" t="inlineStr">
        <is>
          <t>Date</t>
        </is>
      </c>
      <c r="AC76" s="13" t="n"/>
      <c r="AD76" s="13" t="n"/>
      <c r="AE76" s="13" t="n"/>
      <c r="AF76" s="15" t="n"/>
    </row>
    <row r="77">
      <c r="B77" s="16" t="n"/>
      <c r="C77" s="17" t="inlineStr">
        <is>
          <t>SHEET :</t>
        </is>
      </c>
      <c r="D77" s="18" t="n"/>
      <c r="E77" s="18" t="n"/>
      <c r="F77" s="18" t="n"/>
      <c r="G77" s="18" t="n"/>
      <c r="H77" s="19" t="inlineStr">
        <is>
          <t>BEARING CAPACITY AND SETTLEMENT OF SUBGRADE</t>
        </is>
      </c>
      <c r="I77" s="18" t="n"/>
      <c r="J77" s="18" t="n"/>
      <c r="K77" s="18" t="n"/>
      <c r="L77" s="18" t="n"/>
      <c r="M77" s="18" t="n"/>
      <c r="N77" s="18" t="n"/>
      <c r="O77" s="18" t="n"/>
      <c r="P77" s="18" t="n"/>
      <c r="Q77" s="18" t="n"/>
      <c r="R77" s="18" t="n"/>
      <c r="S77" s="18" t="n"/>
      <c r="T77" s="18" t="n"/>
      <c r="U77" s="18" t="n"/>
      <c r="V77" s="18" t="n"/>
      <c r="W77" s="18" t="n"/>
      <c r="X77" s="20" t="inlineStr">
        <is>
          <t>BC</t>
        </is>
      </c>
      <c r="Y77" s="21" t="n"/>
      <c r="Z77" s="21" t="n"/>
      <c r="AA77" s="21" t="n"/>
      <c r="AB77" s="22" t="n">
        <v>46301</v>
      </c>
      <c r="AC77" s="21" t="n"/>
      <c r="AD77" s="21" t="n"/>
      <c r="AE77" s="21" t="n"/>
      <c r="AF77" s="23" t="n"/>
    </row>
    <row r="78">
      <c r="B78" s="9" t="n"/>
      <c r="AF78" s="15" t="n"/>
    </row>
    <row r="79">
      <c r="B79" s="9" t="n"/>
      <c r="C79" s="11" t="inlineStr">
        <is>
          <t>3. BEARING CAPACITY OF SUBGRADE</t>
        </is>
      </c>
      <c r="AF79" s="15" t="n"/>
    </row>
    <row r="80">
      <c r="B80" s="9" t="n"/>
      <c r="C80" s="25" t="inlineStr">
        <is>
          <t>The bearing capacity is evaluated with the general bearing capacity equation (Terzaghi 1943, Vesic 1975; SNI 8460:2017).</t>
        </is>
      </c>
      <c r="AF80" s="15" t="n"/>
    </row>
    <row r="81">
      <c r="B81" s="9" t="n"/>
      <c r="C81" s="25" t="inlineStr">
        <is>
          <t>Undrained (short-term) condition governs where silt/clay exists within 0 - Hb: qu = cu·Nc·sc.</t>
        </is>
      </c>
      <c r="AF81" s="15" t="n"/>
    </row>
    <row r="82">
      <c r="B82" s="9" t="n"/>
      <c r="C82" s="25" t="inlineStr">
        <is>
          <t>Drained (long-term) condition for granular soil: qu = 0.5·γ'·B·Nγ·sγ·rγ (c' = 0, load at ground surface, q = 0).</t>
        </is>
      </c>
      <c r="AF82" s="15" t="n"/>
    </row>
    <row r="83">
      <c r="B83" s="9" t="n"/>
      <c r="C83" s="25" t="inlineStr">
        <is>
          <t>The governing ultimate capacity is the smaller of the two; qall = qu / SF.</t>
        </is>
      </c>
      <c r="AF83" s="15" t="n"/>
    </row>
    <row r="84">
      <c r="B84" s="9" t="n"/>
      <c r="AF84" s="15" t="n"/>
    </row>
    <row r="85">
      <c r="B85" s="9" t="n"/>
      <c r="C85" s="11" t="inlineStr">
        <is>
          <t>3.1. Without ground improvement</t>
        </is>
      </c>
      <c r="AF85" s="15" t="n"/>
    </row>
    <row r="86">
      <c r="B86" s="9" t="n"/>
      <c r="C86" s="25" t="inlineStr">
        <is>
          <t>Thickness of silt/clay within 0 - Hb</t>
        </is>
      </c>
      <c r="O86" s="26" t="inlineStr">
        <is>
          <t>Σh (fine soil)</t>
        </is>
      </c>
      <c r="X86" s="27" t="inlineStr">
        <is>
          <t>Σh =</t>
        </is>
      </c>
      <c r="Y86" s="13" t="n"/>
      <c r="Z86" s="13" t="n"/>
      <c r="AA86" s="61">
        <f>SUMPRODUCT(--(AM28:AM68&lt;&gt;"Sand"),BN28:BN68)</f>
        <v/>
      </c>
      <c r="AB86" s="13" t="n"/>
      <c r="AC86" s="13" t="n"/>
      <c r="AD86" s="25" t="inlineStr">
        <is>
          <t>m</t>
        </is>
      </c>
      <c r="AF86" s="15" t="n"/>
    </row>
    <row r="87">
      <c r="B87" s="9" t="n"/>
      <c r="C87" s="25" t="inlineStr">
        <is>
          <t>Average undrained shear strength</t>
        </is>
      </c>
      <c r="O87" s="26" t="inlineStr">
        <is>
          <t>weighted by thickness</t>
        </is>
      </c>
      <c r="X87" s="27" t="inlineStr">
        <is>
          <t>cu =</t>
        </is>
      </c>
      <c r="Y87" s="13" t="n"/>
      <c r="Z87" s="13" t="n"/>
      <c r="AA87" s="62">
        <f>IF($AA$86=0,0,SUMPRODUCT(--(AM28:AM68&lt;&gt;"Sand"),BN28:BN68,AV28:AV68)/$AA$86)</f>
        <v/>
      </c>
      <c r="AB87" s="13" t="n"/>
      <c r="AC87" s="13" t="n"/>
      <c r="AD87" s="25" t="inlineStr">
        <is>
          <t>kPa</t>
        </is>
      </c>
      <c r="AF87" s="15" t="n"/>
    </row>
    <row r="88">
      <c r="B88" s="9" t="n"/>
      <c r="C88" s="25" t="inlineStr">
        <is>
          <t>Average effective friction angle</t>
        </is>
      </c>
      <c r="O88" s="26" t="inlineStr">
        <is>
          <t>incl. replacement fill</t>
        </is>
      </c>
      <c r="X88" s="27" t="inlineStr">
        <is>
          <t>φ' =</t>
        </is>
      </c>
      <c r="Y88" s="13" t="n"/>
      <c r="Z88" s="13" t="n"/>
      <c r="AA88" s="62">
        <f>(SUMPRODUCT(BN28:BN68,AW28:AW68)+MIN(0,Input!$AA$20)*Input!$AA$26)/Input!$AA$20</f>
        <v/>
      </c>
      <c r="AB88" s="13" t="n"/>
      <c r="AC88" s="13" t="n"/>
      <c r="AD88" s="25" t="inlineStr">
        <is>
          <t>°</t>
        </is>
      </c>
      <c r="AF88" s="15" t="n"/>
    </row>
    <row r="89">
      <c r="B89" s="9" t="n"/>
      <c r="C89" s="25" t="inlineStr">
        <is>
          <t>Average effective unit weight</t>
        </is>
      </c>
      <c r="O89" s="26" t="inlineStr">
        <is>
          <t>0 - Hb</t>
        </is>
      </c>
      <c r="X89" s="27" t="inlineStr">
        <is>
          <t>γ' =</t>
        </is>
      </c>
      <c r="Y89" s="13" t="n"/>
      <c r="Z89" s="13" t="n"/>
      <c r="AA89" s="62">
        <f>(SUMPRODUCT(BN28:BN68,AO28:AO68)+MIN(0,Input!$AA$20)*Input!$AA$25)/Input!$AA$20-10*MAX(0,Input!$AA$20-$AA$19)/Input!$AA$20</f>
        <v/>
      </c>
      <c r="AB89" s="13" t="n"/>
      <c r="AC89" s="13" t="n"/>
      <c r="AD89" s="25" t="inlineStr">
        <is>
          <t>kN/m³</t>
        </is>
      </c>
      <c r="AF89" s="15" t="n"/>
    </row>
    <row r="90">
      <c r="B90" s="9" t="n"/>
      <c r="C90" s="25" t="inlineStr">
        <is>
          <t>Shape factor (undrained), Nc = 5.14</t>
        </is>
      </c>
      <c r="O90" s="26" t="inlineStr">
        <is>
          <t>sc = 1 + 0.2 B/L</t>
        </is>
      </c>
      <c r="X90" s="27" t="inlineStr">
        <is>
          <t>sc =</t>
        </is>
      </c>
      <c r="Y90" s="13" t="n"/>
      <c r="Z90" s="13" t="n"/>
      <c r="AA90" s="61">
        <f>1+0.2*Input!$AA$15/Input!$AA$16</f>
        <v/>
      </c>
      <c r="AB90" s="13" t="n"/>
      <c r="AC90" s="13" t="n"/>
      <c r="AD90" s="25" t="inlineStr">
        <is>
          <t>-</t>
        </is>
      </c>
      <c r="AF90" s="15" t="n"/>
    </row>
    <row r="91">
      <c r="B91" s="9" t="n"/>
      <c r="C91" s="25" t="inlineStr">
        <is>
          <t>Ultimate capacity, undrained</t>
        </is>
      </c>
      <c r="O91" s="26" t="inlineStr">
        <is>
          <t>qu = cu·Nc·sc</t>
        </is>
      </c>
      <c r="X91" s="27" t="inlineStr">
        <is>
          <t>qu,u =</t>
        </is>
      </c>
      <c r="Y91" s="13" t="n"/>
      <c r="Z91" s="13" t="n"/>
      <c r="AA91" s="62">
        <f>IF($AA$86=0,"n/a",$AA$87*5.14*$AA$90)</f>
        <v/>
      </c>
      <c r="AB91" s="13" t="n"/>
      <c r="AC91" s="13" t="n"/>
      <c r="AD91" s="25" t="inlineStr">
        <is>
          <t>kPa</t>
        </is>
      </c>
      <c r="AF91" s="15" t="n"/>
    </row>
    <row r="92">
      <c r="B92" s="9" t="n"/>
      <c r="C92" s="25" t="inlineStr">
        <is>
          <t>Bearing capacity factor</t>
        </is>
      </c>
      <c r="O92" s="26" t="inlineStr">
        <is>
          <t>Nq = e^(π·tanφ)·tan²(45+φ/2)</t>
        </is>
      </c>
      <c r="X92" s="27" t="inlineStr">
        <is>
          <t>Nq =</t>
        </is>
      </c>
      <c r="Y92" s="13" t="n"/>
      <c r="Z92" s="13" t="n"/>
      <c r="AA92" s="61">
        <f>EXP(PI()*TAN(RADIANS($AA$88)))*TAN(RADIANS(45+$AA$88/2))^2</f>
        <v/>
      </c>
      <c r="AB92" s="13" t="n"/>
      <c r="AC92" s="13" t="n"/>
      <c r="AD92" s="25" t="inlineStr">
        <is>
          <t>-</t>
        </is>
      </c>
      <c r="AF92" s="15" t="n"/>
    </row>
    <row r="93">
      <c r="B93" s="9" t="n"/>
      <c r="C93" s="25" t="inlineStr">
        <is>
          <t>Bearing capacity factor (Vesic)</t>
        </is>
      </c>
      <c r="O93" s="26" t="inlineStr">
        <is>
          <t>Nγ = 2(Nq+1)·tanφ</t>
        </is>
      </c>
      <c r="X93" s="27" t="inlineStr">
        <is>
          <t>Nγ =</t>
        </is>
      </c>
      <c r="Y93" s="13" t="n"/>
      <c r="Z93" s="13" t="n"/>
      <c r="AA93" s="61">
        <f>2*($AA$92+1)*TAN(RADIANS($AA$88))</f>
        <v/>
      </c>
      <c r="AB93" s="13" t="n"/>
      <c r="AC93" s="13" t="n"/>
      <c r="AD93" s="25" t="inlineStr">
        <is>
          <t>-</t>
        </is>
      </c>
      <c r="AF93" s="15" t="n"/>
    </row>
    <row r="94">
      <c r="B94" s="9" t="n"/>
      <c r="C94" s="25" t="inlineStr">
        <is>
          <t>Shape and size factors</t>
        </is>
      </c>
      <c r="O94" s="26" t="inlineStr">
        <is>
          <t>sγ = 1-0.4B/L; rγ = 1-0.25log(B/2)</t>
        </is>
      </c>
      <c r="X94" s="27" t="inlineStr">
        <is>
          <t>sγ·rγ =</t>
        </is>
      </c>
      <c r="Y94" s="13" t="n"/>
      <c r="Z94" s="13" t="n"/>
      <c r="AA94" s="72">
        <f>(1-0.4*Input!$AA$15/Input!$AA$16)*IF(Input!$AA$15&gt;2,1-0.25*LOG10(Input!$AA$15/2),1)</f>
        <v/>
      </c>
      <c r="AB94" s="13" t="n"/>
      <c r="AC94" s="13" t="n"/>
      <c r="AD94" s="25" t="inlineStr">
        <is>
          <t>-</t>
        </is>
      </c>
      <c r="AF94" s="15" t="n"/>
    </row>
    <row r="95">
      <c r="B95" s="9" t="n"/>
      <c r="C95" s="25" t="inlineStr">
        <is>
          <t>Ultimate capacity, drained</t>
        </is>
      </c>
      <c r="O95" s="26" t="inlineStr">
        <is>
          <t>qu = 0.5·γ'·B·Nγ·sγ·rγ</t>
        </is>
      </c>
      <c r="X95" s="27" t="inlineStr">
        <is>
          <t>qu,d =</t>
        </is>
      </c>
      <c r="Y95" s="13" t="n"/>
      <c r="Z95" s="13" t="n"/>
      <c r="AA95" s="62">
        <f>0.5*$AA$89*Input!$AA$15*$AA$93*$AA$94</f>
        <v/>
      </c>
      <c r="AB95" s="13" t="n"/>
      <c r="AC95" s="13" t="n"/>
      <c r="AD95" s="25" t="inlineStr">
        <is>
          <t>kPa</t>
        </is>
      </c>
      <c r="AF95" s="15" t="n"/>
    </row>
    <row r="96">
      <c r="B96" s="9" t="n"/>
      <c r="C96" s="25" t="inlineStr">
        <is>
          <t>Governing ultimate bearing capacity</t>
        </is>
      </c>
      <c r="O96" s="26" t="inlineStr">
        <is>
          <t>min (undrained, drained)</t>
        </is>
      </c>
      <c r="X96" s="27" t="inlineStr">
        <is>
          <t>qu =</t>
        </is>
      </c>
      <c r="Y96" s="13" t="n"/>
      <c r="Z96" s="13" t="n"/>
      <c r="AA96" s="30">
        <f>IF($AA$86=0,$AA$95,MIN($AA$91,$AA$95))</f>
        <v/>
      </c>
      <c r="AB96" s="13" t="n"/>
      <c r="AC96" s="13" t="n"/>
      <c r="AD96" s="25" t="inlineStr">
        <is>
          <t>kPa</t>
        </is>
      </c>
      <c r="AF96" s="15" t="n"/>
    </row>
    <row r="97">
      <c r="B97" s="9" t="n"/>
      <c r="C97" s="25" t="inlineStr">
        <is>
          <t>Allowable bearing capacity</t>
        </is>
      </c>
      <c r="O97" s="26" t="inlineStr">
        <is>
          <t>qall = qu / SF</t>
        </is>
      </c>
      <c r="X97" s="27" t="inlineStr">
        <is>
          <t>qall =</t>
        </is>
      </c>
      <c r="Y97" s="13" t="n"/>
      <c r="Z97" s="13" t="n"/>
      <c r="AA97" s="30">
        <f>$AA$96/Input!$AA$19</f>
        <v/>
      </c>
      <c r="AB97" s="13" t="n"/>
      <c r="AC97" s="13" t="n"/>
      <c r="AD97" s="25" t="inlineStr">
        <is>
          <t>kPa</t>
        </is>
      </c>
      <c r="AF97" s="15" t="n"/>
    </row>
    <row r="98">
      <c r="B98" s="9" t="n"/>
      <c r="C98" s="25" t="inlineStr">
        <is>
          <t>Working pressure</t>
        </is>
      </c>
      <c r="O98" s="26" t="inlineStr">
        <is>
          <t>q = Hf·γf + qs</t>
        </is>
      </c>
      <c r="X98" s="27" t="inlineStr">
        <is>
          <t>q =</t>
        </is>
      </c>
      <c r="Y98" s="13" t="n"/>
      <c r="Z98" s="13" t="n"/>
      <c r="AA98" s="62">
        <f>Input!$AA$14</f>
        <v/>
      </c>
      <c r="AB98" s="13" t="n"/>
      <c r="AC98" s="13" t="n"/>
      <c r="AD98" s="25" t="inlineStr">
        <is>
          <t>kPa</t>
        </is>
      </c>
      <c r="AF98" s="15" t="n"/>
    </row>
    <row r="99">
      <c r="B99" s="9" t="n"/>
      <c r="C99" s="25" t="inlineStr">
        <is>
          <t>Actual factor of safety</t>
        </is>
      </c>
      <c r="O99" s="26" t="inlineStr">
        <is>
          <t>FS = qu / q</t>
        </is>
      </c>
      <c r="X99" s="27" t="inlineStr">
        <is>
          <t>FS =</t>
        </is>
      </c>
      <c r="Y99" s="13" t="n"/>
      <c r="Z99" s="13" t="n"/>
      <c r="AA99" s="61">
        <f>$AA$96/Input!$AA$14</f>
        <v/>
      </c>
      <c r="AB99" s="13" t="n"/>
      <c r="AC99" s="13" t="n"/>
      <c r="AD99" s="25" t="inlineStr">
        <is>
          <t>-</t>
        </is>
      </c>
      <c r="AF99" s="15" t="n"/>
    </row>
    <row r="100">
      <c r="B100" s="9" t="n"/>
      <c r="C100" s="25" t="inlineStr">
        <is>
          <t>Allowable fill height with surcharge</t>
        </is>
      </c>
      <c r="O100" s="26" t="inlineStr">
        <is>
          <t>Hall = (qall - qs) / γf</t>
        </is>
      </c>
      <c r="X100" s="27" t="inlineStr">
        <is>
          <t>Hall =</t>
        </is>
      </c>
      <c r="Y100" s="13" t="n"/>
      <c r="Z100" s="13" t="n"/>
      <c r="AA100" s="61">
        <f>MAX(0,($AA$97-Input!$AA$13)/Input!$AA$12)</f>
        <v/>
      </c>
      <c r="AB100" s="13" t="n"/>
      <c r="AC100" s="13" t="n"/>
      <c r="AD100" s="25" t="inlineStr">
        <is>
          <t>m</t>
        </is>
      </c>
      <c r="AF100" s="15" t="n"/>
    </row>
    <row r="101">
      <c r="B101" s="9" t="n"/>
      <c r="C101" s="11" t="inlineStr">
        <is>
          <t>Bearing capacity check</t>
        </is>
      </c>
      <c r="X101" s="73">
        <f>IF($AA$97&gt;=Input!$AA$14,"qall ≥ q …. OK!!","qall &lt; q …. NG!!")</f>
        <v/>
      </c>
      <c r="Y101" s="13" t="n"/>
      <c r="Z101" s="13" t="n"/>
      <c r="AA101" s="13" t="n"/>
      <c r="AB101" s="13" t="n"/>
      <c r="AC101" s="13" t="n"/>
      <c r="AD101" s="13" t="n"/>
      <c r="AE101" s="13" t="n"/>
      <c r="AF101" s="15" t="n"/>
    </row>
    <row r="102">
      <c r="B102" s="9" t="n"/>
      <c r="AF102" s="15" t="n"/>
    </row>
    <row r="103">
      <c r="B103" s="9" t="n"/>
      <c r="C103" s="11" t="inlineStr">
        <is>
          <t>3.2. With replacement of soil 0 - Dr (design condition)</t>
        </is>
      </c>
      <c r="AF103" s="15" t="n"/>
    </row>
    <row r="104">
      <c r="B104" s="9" t="n"/>
      <c r="C104" s="25" t="inlineStr">
        <is>
          <t>Thickness of silt/clay within 0 - Hb</t>
        </is>
      </c>
      <c r="O104" s="26" t="inlineStr">
        <is>
          <t>Σh (fine soil)</t>
        </is>
      </c>
      <c r="X104" s="27" t="inlineStr">
        <is>
          <t>Σh =</t>
        </is>
      </c>
      <c r="Y104" s="13" t="n"/>
      <c r="Z104" s="13" t="n"/>
      <c r="AA104" s="61">
        <f>SUMPRODUCT(--(AM28:AM68&lt;&gt;"Sand"),BO28:BO68)</f>
        <v/>
      </c>
      <c r="AB104" s="13" t="n"/>
      <c r="AC104" s="13" t="n"/>
      <c r="AD104" s="25" t="inlineStr">
        <is>
          <t>m</t>
        </is>
      </c>
      <c r="AF104" s="15" t="n"/>
    </row>
    <row r="105">
      <c r="B105" s="9" t="n"/>
      <c r="C105" s="25" t="inlineStr">
        <is>
          <t>Average undrained shear strength</t>
        </is>
      </c>
      <c r="O105" s="26" t="inlineStr">
        <is>
          <t>weighted by thickness</t>
        </is>
      </c>
      <c r="X105" s="27" t="inlineStr">
        <is>
          <t>cu =</t>
        </is>
      </c>
      <c r="Y105" s="13" t="n"/>
      <c r="Z105" s="13" t="n"/>
      <c r="AA105" s="62">
        <f>IF($AA$104=0,0,SUMPRODUCT(--(AM28:AM68&lt;&gt;"Sand"),BO28:BO68,AV28:AV68)/$AA$104)</f>
        <v/>
      </c>
      <c r="AB105" s="13" t="n"/>
      <c r="AC105" s="13" t="n"/>
      <c r="AD105" s="25" t="inlineStr">
        <is>
          <t>kPa</t>
        </is>
      </c>
      <c r="AF105" s="15" t="n"/>
    </row>
    <row r="106">
      <c r="B106" s="9" t="n"/>
      <c r="C106" s="25" t="inlineStr">
        <is>
          <t>Average effective friction angle</t>
        </is>
      </c>
      <c r="O106" s="26" t="inlineStr">
        <is>
          <t>incl. replacement fill</t>
        </is>
      </c>
      <c r="X106" s="27" t="inlineStr">
        <is>
          <t>φ' =</t>
        </is>
      </c>
      <c r="Y106" s="13" t="n"/>
      <c r="Z106" s="13" t="n"/>
      <c r="AA106" s="62">
        <f>(SUMPRODUCT(BO28:BO68,AW28:AW68)+MIN($AA$22,Input!$AA$20)*Input!$AA$26)/Input!$AA$20</f>
        <v/>
      </c>
      <c r="AB106" s="13" t="n"/>
      <c r="AC106" s="13" t="n"/>
      <c r="AD106" s="25" t="inlineStr">
        <is>
          <t>°</t>
        </is>
      </c>
      <c r="AF106" s="15" t="n"/>
    </row>
    <row r="107">
      <c r="B107" s="9" t="n"/>
      <c r="C107" s="25" t="inlineStr">
        <is>
          <t>Average effective unit weight</t>
        </is>
      </c>
      <c r="O107" s="26" t="inlineStr">
        <is>
          <t>0 - Hb</t>
        </is>
      </c>
      <c r="X107" s="27" t="inlineStr">
        <is>
          <t>γ' =</t>
        </is>
      </c>
      <c r="Y107" s="13" t="n"/>
      <c r="Z107" s="13" t="n"/>
      <c r="AA107" s="62">
        <f>(SUMPRODUCT(BO28:BO68,AO28:AO68)+MIN($AA$22,Input!$AA$20)*Input!$AA$25)/Input!$AA$20-10*MAX(0,Input!$AA$20-$AA$19)/Input!$AA$20</f>
        <v/>
      </c>
      <c r="AB107" s="13" t="n"/>
      <c r="AC107" s="13" t="n"/>
      <c r="AD107" s="25" t="inlineStr">
        <is>
          <t>kN/m³</t>
        </is>
      </c>
      <c r="AF107" s="15" t="n"/>
    </row>
    <row r="108">
      <c r="B108" s="9" t="n"/>
      <c r="C108" s="25" t="inlineStr">
        <is>
          <t>Shape factor (undrained), Nc = 5.14</t>
        </is>
      </c>
      <c r="O108" s="26" t="inlineStr">
        <is>
          <t>sc = 1 + 0.2 B/L</t>
        </is>
      </c>
      <c r="X108" s="27" t="inlineStr">
        <is>
          <t>sc =</t>
        </is>
      </c>
      <c r="Y108" s="13" t="n"/>
      <c r="Z108" s="13" t="n"/>
      <c r="AA108" s="61">
        <f>1+0.2*Input!$AA$15/Input!$AA$16</f>
        <v/>
      </c>
      <c r="AB108" s="13" t="n"/>
      <c r="AC108" s="13" t="n"/>
      <c r="AD108" s="25" t="inlineStr">
        <is>
          <t>-</t>
        </is>
      </c>
      <c r="AF108" s="15" t="n"/>
    </row>
    <row r="109">
      <c r="B109" s="9" t="n"/>
      <c r="C109" s="25" t="inlineStr">
        <is>
          <t>Ultimate capacity, undrained</t>
        </is>
      </c>
      <c r="O109" s="26" t="inlineStr">
        <is>
          <t>qu = cu·Nc·sc</t>
        </is>
      </c>
      <c r="X109" s="27" t="inlineStr">
        <is>
          <t>qu,u =</t>
        </is>
      </c>
      <c r="Y109" s="13" t="n"/>
      <c r="Z109" s="13" t="n"/>
      <c r="AA109" s="62">
        <f>IF($AA$104=0,"n/a",$AA$105*5.14*$AA$108)</f>
        <v/>
      </c>
      <c r="AB109" s="13" t="n"/>
      <c r="AC109" s="13" t="n"/>
      <c r="AD109" s="25" t="inlineStr">
        <is>
          <t>kPa</t>
        </is>
      </c>
      <c r="AF109" s="15" t="n"/>
    </row>
    <row r="110">
      <c r="B110" s="9" t="n"/>
      <c r="C110" s="25" t="inlineStr">
        <is>
          <t>Bearing capacity factor</t>
        </is>
      </c>
      <c r="O110" s="26" t="inlineStr">
        <is>
          <t>Nq = e^(π·tanφ)·tan²(45+φ/2)</t>
        </is>
      </c>
      <c r="X110" s="27" t="inlineStr">
        <is>
          <t>Nq =</t>
        </is>
      </c>
      <c r="Y110" s="13" t="n"/>
      <c r="Z110" s="13" t="n"/>
      <c r="AA110" s="61">
        <f>EXP(PI()*TAN(RADIANS($AA$106)))*TAN(RADIANS(45+$AA$106/2))^2</f>
        <v/>
      </c>
      <c r="AB110" s="13" t="n"/>
      <c r="AC110" s="13" t="n"/>
      <c r="AD110" s="25" t="inlineStr">
        <is>
          <t>-</t>
        </is>
      </c>
      <c r="AF110" s="15" t="n"/>
    </row>
    <row r="111">
      <c r="B111" s="9" t="n"/>
      <c r="C111" s="25" t="inlineStr">
        <is>
          <t>Bearing capacity factor (Vesic)</t>
        </is>
      </c>
      <c r="O111" s="26" t="inlineStr">
        <is>
          <t>Nγ = 2(Nq+1)·tanφ</t>
        </is>
      </c>
      <c r="X111" s="27" t="inlineStr">
        <is>
          <t>Nγ =</t>
        </is>
      </c>
      <c r="Y111" s="13" t="n"/>
      <c r="Z111" s="13" t="n"/>
      <c r="AA111" s="61">
        <f>2*($AA$110+1)*TAN(RADIANS($AA$106))</f>
        <v/>
      </c>
      <c r="AB111" s="13" t="n"/>
      <c r="AC111" s="13" t="n"/>
      <c r="AD111" s="25" t="inlineStr">
        <is>
          <t>-</t>
        </is>
      </c>
      <c r="AF111" s="15" t="n"/>
    </row>
    <row r="112">
      <c r="B112" s="9" t="n"/>
      <c r="C112" s="25" t="inlineStr">
        <is>
          <t>Shape and size factors</t>
        </is>
      </c>
      <c r="O112" s="26" t="inlineStr">
        <is>
          <t>sγ = 1-0.4B/L; rγ = 1-0.25log(B/2)</t>
        </is>
      </c>
      <c r="X112" s="27" t="inlineStr">
        <is>
          <t>sγ·rγ =</t>
        </is>
      </c>
      <c r="Y112" s="13" t="n"/>
      <c r="Z112" s="13" t="n"/>
      <c r="AA112" s="72">
        <f>(1-0.4*Input!$AA$15/Input!$AA$16)*IF(Input!$AA$15&gt;2,1-0.25*LOG10(Input!$AA$15/2),1)</f>
        <v/>
      </c>
      <c r="AB112" s="13" t="n"/>
      <c r="AC112" s="13" t="n"/>
      <c r="AD112" s="25" t="inlineStr">
        <is>
          <t>-</t>
        </is>
      </c>
      <c r="AF112" s="15" t="n"/>
    </row>
    <row r="113">
      <c r="B113" s="9" t="n"/>
      <c r="C113" s="25" t="inlineStr">
        <is>
          <t>Ultimate capacity, drained</t>
        </is>
      </c>
      <c r="O113" s="26" t="inlineStr">
        <is>
          <t>qu = 0.5·γ'·B·Nγ·sγ·rγ</t>
        </is>
      </c>
      <c r="X113" s="27" t="inlineStr">
        <is>
          <t>qu,d =</t>
        </is>
      </c>
      <c r="Y113" s="13" t="n"/>
      <c r="Z113" s="13" t="n"/>
      <c r="AA113" s="62">
        <f>0.5*$AA$107*Input!$AA$15*$AA$111*$AA$112</f>
        <v/>
      </c>
      <c r="AB113" s="13" t="n"/>
      <c r="AC113" s="13" t="n"/>
      <c r="AD113" s="25" t="inlineStr">
        <is>
          <t>kPa</t>
        </is>
      </c>
      <c r="AF113" s="15" t="n"/>
    </row>
    <row r="114">
      <c r="B114" s="9" t="n"/>
      <c r="C114" s="25" t="inlineStr">
        <is>
          <t>Governing ultimate bearing capacity</t>
        </is>
      </c>
      <c r="O114" s="26" t="inlineStr">
        <is>
          <t>min (undrained, drained)</t>
        </is>
      </c>
      <c r="X114" s="27" t="inlineStr">
        <is>
          <t>qu =</t>
        </is>
      </c>
      <c r="Y114" s="13" t="n"/>
      <c r="Z114" s="13" t="n"/>
      <c r="AA114" s="30">
        <f>IF($AA$104=0,$AA$113,MIN($AA$109,$AA$113))</f>
        <v/>
      </c>
      <c r="AB114" s="13" t="n"/>
      <c r="AC114" s="13" t="n"/>
      <c r="AD114" s="25" t="inlineStr">
        <is>
          <t>kPa</t>
        </is>
      </c>
      <c r="AF114" s="15" t="n"/>
    </row>
    <row r="115">
      <c r="B115" s="9" t="n"/>
      <c r="C115" s="25" t="inlineStr">
        <is>
          <t>Allowable bearing capacity</t>
        </is>
      </c>
      <c r="O115" s="26" t="inlineStr">
        <is>
          <t>qall = qu / SF</t>
        </is>
      </c>
      <c r="X115" s="27" t="inlineStr">
        <is>
          <t>qall =</t>
        </is>
      </c>
      <c r="Y115" s="13" t="n"/>
      <c r="Z115" s="13" t="n"/>
      <c r="AA115" s="30">
        <f>$AA$114/Input!$AA$19</f>
        <v/>
      </c>
      <c r="AB115" s="13" t="n"/>
      <c r="AC115" s="13" t="n"/>
      <c r="AD115" s="25" t="inlineStr">
        <is>
          <t>kPa</t>
        </is>
      </c>
      <c r="AF115" s="15" t="n"/>
    </row>
    <row r="116">
      <c r="B116" s="9" t="n"/>
      <c r="C116" s="25" t="inlineStr">
        <is>
          <t>Working pressure</t>
        </is>
      </c>
      <c r="O116" s="26" t="inlineStr">
        <is>
          <t>q = Hf·γf + qs</t>
        </is>
      </c>
      <c r="X116" s="27" t="inlineStr">
        <is>
          <t>q =</t>
        </is>
      </c>
      <c r="Y116" s="13" t="n"/>
      <c r="Z116" s="13" t="n"/>
      <c r="AA116" s="62">
        <f>Input!$AA$14</f>
        <v/>
      </c>
      <c r="AB116" s="13" t="n"/>
      <c r="AC116" s="13" t="n"/>
      <c r="AD116" s="25" t="inlineStr">
        <is>
          <t>kPa</t>
        </is>
      </c>
      <c r="AF116" s="15" t="n"/>
    </row>
    <row r="117">
      <c r="B117" s="9" t="n"/>
      <c r="C117" s="25" t="inlineStr">
        <is>
          <t>Actual factor of safety</t>
        </is>
      </c>
      <c r="O117" s="26" t="inlineStr">
        <is>
          <t>FS = qu / q</t>
        </is>
      </c>
      <c r="X117" s="27" t="inlineStr">
        <is>
          <t>FS =</t>
        </is>
      </c>
      <c r="Y117" s="13" t="n"/>
      <c r="Z117" s="13" t="n"/>
      <c r="AA117" s="61">
        <f>$AA$114/Input!$AA$14</f>
        <v/>
      </c>
      <c r="AB117" s="13" t="n"/>
      <c r="AC117" s="13" t="n"/>
      <c r="AD117" s="25" t="inlineStr">
        <is>
          <t>-</t>
        </is>
      </c>
      <c r="AF117" s="15" t="n"/>
    </row>
    <row r="118">
      <c r="B118" s="9" t="n"/>
      <c r="C118" s="25" t="inlineStr">
        <is>
          <t>Allowable fill height with surcharge</t>
        </is>
      </c>
      <c r="O118" s="26" t="inlineStr">
        <is>
          <t>Hall = (qall - qs) / γf</t>
        </is>
      </c>
      <c r="X118" s="27" t="inlineStr">
        <is>
          <t>Hall =</t>
        </is>
      </c>
      <c r="Y118" s="13" t="n"/>
      <c r="Z118" s="13" t="n"/>
      <c r="AA118" s="61">
        <f>MAX(0,($AA$115-Input!$AA$13)/Input!$AA$12)</f>
        <v/>
      </c>
      <c r="AB118" s="13" t="n"/>
      <c r="AC118" s="13" t="n"/>
      <c r="AD118" s="25" t="inlineStr">
        <is>
          <t>m</t>
        </is>
      </c>
      <c r="AF118" s="15" t="n"/>
    </row>
    <row r="119">
      <c r="B119" s="9" t="n"/>
      <c r="C119" s="11" t="inlineStr">
        <is>
          <t>Bearing capacity check</t>
        </is>
      </c>
      <c r="X119" s="73">
        <f>IF($AA$115&gt;=Input!$AA$14,"qall ≥ q …. OK!!","qall &lt; q …. NG!!")</f>
        <v/>
      </c>
      <c r="Y119" s="13" t="n"/>
      <c r="Z119" s="13" t="n"/>
      <c r="AA119" s="13" t="n"/>
      <c r="AB119" s="13" t="n"/>
      <c r="AC119" s="13" t="n"/>
      <c r="AD119" s="13" t="n"/>
      <c r="AE119" s="13" t="n"/>
      <c r="AF119" s="15" t="n"/>
    </row>
    <row r="120">
      <c r="B120" s="9" t="n"/>
      <c r="AF120" s="15" t="n"/>
    </row>
    <row r="121">
      <c r="B121" s="9" t="n"/>
      <c r="C121" s="11" t="inlineStr">
        <is>
          <t>3.3. Granular soil - allowable pressure for 25 mm settlement (Meyerhof 1965, Bowles 1996)</t>
        </is>
      </c>
      <c r="AF121" s="15" t="n"/>
    </row>
    <row r="122">
      <c r="B122" s="9" t="n"/>
      <c r="C122" s="25" t="inlineStr">
        <is>
          <t>Average N60 of sand layers within 0 - Hb</t>
        </is>
      </c>
      <c r="O122" s="26" t="inlineStr"/>
      <c r="X122" s="27" t="inlineStr">
        <is>
          <t>N60 =</t>
        </is>
      </c>
      <c r="Y122" s="13" t="n"/>
      <c r="Z122" s="13" t="n"/>
      <c r="AA122" s="62">
        <f>IFERROR(SUMPRODUCT(--(AM28:AM68="Sand"),BN28:BN68,AN28:AN68)/SUMPRODUCT(--(AM28:AM68="Sand"),BN28:BN68)*Input!$AA$32,"n/a")</f>
        <v/>
      </c>
      <c r="AB122" s="13" t="n"/>
      <c r="AC122" s="13" t="n"/>
      <c r="AD122" s="25" t="inlineStr">
        <is>
          <t>-</t>
        </is>
      </c>
      <c r="AF122" s="15" t="n"/>
    </row>
    <row r="123">
      <c r="B123" s="9" t="n"/>
      <c r="C123" s="25" t="inlineStr">
        <is>
          <t>Allowable pressure (S = 25 mm, Kd = 1)</t>
        </is>
      </c>
      <c r="O123" s="26" t="inlineStr">
        <is>
          <t>qa = (N55/0.08)·((B+0.3)/B)²</t>
        </is>
      </c>
      <c r="X123" s="27" t="inlineStr">
        <is>
          <t>qa =</t>
        </is>
      </c>
      <c r="Y123" s="13" t="n"/>
      <c r="Z123" s="13" t="n"/>
      <c r="AA123" s="62">
        <f>IFERROR(($AA$122*60/55)/0.08*((Input!$AA$15+0.3)/Input!$AA$15)^2,"n/a")</f>
        <v/>
      </c>
      <c r="AB123" s="13" t="n"/>
      <c r="AC123" s="13" t="n"/>
      <c r="AD123" s="25" t="inlineStr">
        <is>
          <t>kPa</t>
        </is>
      </c>
      <c r="AF123" s="15" t="n"/>
    </row>
    <row r="124">
      <c r="B124" s="9" t="n"/>
      <c r="C124" s="24" t="inlineStr">
        <is>
          <t>For granular soil the shear capacity is normally far above the applied load; settlement governs the design (Section 4).</t>
        </is>
      </c>
      <c r="AF124" s="15" t="n"/>
    </row>
    <row r="125">
      <c r="B125" s="9" t="n"/>
      <c r="AF125" s="15" t="n"/>
    </row>
    <row r="126">
      <c r="B126" s="9" t="n"/>
      <c r="AF126" s="15" t="n"/>
    </row>
    <row r="127">
      <c r="B127" s="9" t="n"/>
      <c r="AF127" s="15" t="n"/>
    </row>
    <row r="128">
      <c r="B128" s="9" t="n"/>
      <c r="AF128" s="15" t="n"/>
    </row>
    <row r="129">
      <c r="B129" s="9" t="n"/>
      <c r="AF129" s="15" t="n"/>
    </row>
    <row r="130">
      <c r="B130" s="9" t="n"/>
      <c r="AF130" s="15" t="n"/>
    </row>
    <row r="131">
      <c r="B131" s="9" t="n"/>
      <c r="AF131" s="15" t="n"/>
    </row>
    <row r="132">
      <c r="B132" s="9" t="n"/>
      <c r="AF132" s="15" t="n"/>
    </row>
    <row r="133">
      <c r="B133" s="9" t="n"/>
      <c r="AF133" s="15" t="n"/>
    </row>
    <row r="134">
      <c r="B134" s="9" t="n"/>
      <c r="AF134" s="15" t="n"/>
    </row>
    <row r="135">
      <c r="B135" s="9" t="n"/>
      <c r="AF135" s="15" t="n"/>
    </row>
    <row r="136">
      <c r="B136" s="9" t="n"/>
      <c r="AF136" s="15" t="n"/>
    </row>
    <row r="137">
      <c r="B137" s="9" t="n"/>
      <c r="AF137" s="15" t="n"/>
    </row>
    <row r="138">
      <c r="B138" s="9" t="n"/>
      <c r="AF138" s="15" t="n"/>
    </row>
    <row r="139">
      <c r="B139" s="9" t="n"/>
      <c r="AF139" s="15" t="n"/>
    </row>
    <row r="140">
      <c r="B140" s="9" t="n"/>
      <c r="AF140" s="15" t="n"/>
    </row>
    <row r="141">
      <c r="B141" s="9" t="n"/>
      <c r="AF141" s="15" t="n"/>
    </row>
    <row r="142">
      <c r="B142" s="9" t="n"/>
      <c r="AF142" s="15" t="n"/>
    </row>
    <row r="143">
      <c r="B143" s="9" t="n"/>
      <c r="AF143" s="15" t="n"/>
    </row>
    <row r="144">
      <c r="B144" s="9" t="n"/>
      <c r="AF144" s="15" t="n"/>
    </row>
    <row r="145">
      <c r="B145" s="47" t="n"/>
      <c r="C145" s="48" t="n"/>
      <c r="D145" s="48" t="n"/>
      <c r="E145" s="48" t="n"/>
      <c r="F145" s="48" t="n"/>
      <c r="G145" s="48" t="n"/>
      <c r="H145" s="48" t="n"/>
      <c r="I145" s="48" t="n"/>
      <c r="J145" s="48" t="n"/>
      <c r="K145" s="48" t="n"/>
      <c r="L145" s="48" t="n"/>
      <c r="M145" s="48" t="n"/>
      <c r="N145" s="48" t="n"/>
      <c r="O145" s="48" t="n"/>
      <c r="P145" s="48" t="n"/>
      <c r="Q145" s="48" t="n"/>
      <c r="R145" s="48" t="n"/>
      <c r="S145" s="48" t="n"/>
      <c r="T145" s="48" t="n"/>
      <c r="U145" s="48" t="n"/>
      <c r="V145" s="48" t="n"/>
      <c r="W145" s="48" t="n"/>
      <c r="X145" s="49" t="inlineStr">
        <is>
          <t>Sheet :</t>
        </is>
      </c>
      <c r="Y145" s="48" t="n"/>
      <c r="Z145" s="48" t="n"/>
      <c r="AA145" s="48" t="n"/>
      <c r="AB145" s="49" t="n">
        <v>2</v>
      </c>
      <c r="AC145" s="48" t="n"/>
      <c r="AD145" s="48" t="n"/>
      <c r="AE145" s="48" t="n"/>
      <c r="AF145" s="50" t="n"/>
    </row>
    <row r="146">
      <c r="B146" s="1" t="n"/>
      <c r="C146" s="2" t="inlineStr">
        <is>
          <t>PROJECT :</t>
        </is>
      </c>
      <c r="D146" s="3" t="n"/>
      <c r="E146" s="3" t="n"/>
      <c r="F146" s="3" t="n"/>
      <c r="G146" s="3" t="n"/>
      <c r="H146" s="4" t="inlineStr">
        <is>
          <t>GEOTHERMAL WELLPAD PSPE BORA PULU - SIGI, CENTRAL SULAWESI</t>
        </is>
      </c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5" t="inlineStr">
        <is>
          <t>Prepared by :</t>
        </is>
      </c>
      <c r="Y146" s="6" t="n"/>
      <c r="Z146" s="6" t="n"/>
      <c r="AA146" s="6" t="n"/>
      <c r="AB146" s="7" t="inlineStr">
        <is>
          <t>Date</t>
        </is>
      </c>
      <c r="AC146" s="6" t="n"/>
      <c r="AD146" s="6" t="n"/>
      <c r="AE146" s="6" t="n"/>
      <c r="AF146" s="8" t="n"/>
    </row>
    <row r="147">
      <c r="B147" s="9" t="n"/>
      <c r="C147" s="10" t="inlineStr">
        <is>
          <t>CLIENT :</t>
        </is>
      </c>
      <c r="H147" s="11" t="inlineStr">
        <is>
          <t>PT EDC PANAS BUMI INDONESIA</t>
        </is>
      </c>
      <c r="X147" s="12" t="inlineStr">
        <is>
          <t>DF</t>
        </is>
      </c>
      <c r="Y147" s="13" t="n"/>
      <c r="Z147" s="13" t="n"/>
      <c r="AA147" s="13" t="n"/>
      <c r="AB147" s="14" t="n">
        <v>46301</v>
      </c>
      <c r="AC147" s="13" t="n"/>
      <c r="AD147" s="13" t="n"/>
      <c r="AE147" s="13" t="n"/>
      <c r="AF147" s="15" t="n"/>
    </row>
    <row r="148">
      <c r="B148" s="9" t="n"/>
      <c r="C148" s="10" t="inlineStr">
        <is>
          <t>LOCATION :</t>
        </is>
      </c>
      <c r="H148" s="11" t="inlineStr">
        <is>
          <t>BH-05 (Wellpad A)</t>
        </is>
      </c>
      <c r="X148" s="12" t="inlineStr">
        <is>
          <t>Verified by :</t>
        </is>
      </c>
      <c r="Y148" s="13" t="n"/>
      <c r="Z148" s="13" t="n"/>
      <c r="AA148" s="13" t="n"/>
      <c r="AB148" s="14" t="inlineStr">
        <is>
          <t>Date</t>
        </is>
      </c>
      <c r="AC148" s="13" t="n"/>
      <c r="AD148" s="13" t="n"/>
      <c r="AE148" s="13" t="n"/>
      <c r="AF148" s="15" t="n"/>
    </row>
    <row r="149">
      <c r="B149" s="16" t="n"/>
      <c r="C149" s="17" t="inlineStr">
        <is>
          <t>SHEET :</t>
        </is>
      </c>
      <c r="D149" s="18" t="n"/>
      <c r="E149" s="18" t="n"/>
      <c r="F149" s="18" t="n"/>
      <c r="G149" s="18" t="n"/>
      <c r="H149" s="19" t="inlineStr">
        <is>
          <t>BEARING CAPACITY AND SETTLEMENT OF SUBGRADE</t>
        </is>
      </c>
      <c r="I149" s="18" t="n"/>
      <c r="J149" s="18" t="n"/>
      <c r="K149" s="18" t="n"/>
      <c r="L149" s="18" t="n"/>
      <c r="M149" s="18" t="n"/>
      <c r="N149" s="18" t="n"/>
      <c r="O149" s="18" t="n"/>
      <c r="P149" s="18" t="n"/>
      <c r="Q149" s="18" t="n"/>
      <c r="R149" s="18" t="n"/>
      <c r="S149" s="18" t="n"/>
      <c r="T149" s="18" t="n"/>
      <c r="U149" s="18" t="n"/>
      <c r="V149" s="18" t="n"/>
      <c r="W149" s="18" t="n"/>
      <c r="X149" s="20" t="inlineStr">
        <is>
          <t>BC</t>
        </is>
      </c>
      <c r="Y149" s="21" t="n"/>
      <c r="Z149" s="21" t="n"/>
      <c r="AA149" s="21" t="n"/>
      <c r="AB149" s="22" t="n">
        <v>46301</v>
      </c>
      <c r="AC149" s="21" t="n"/>
      <c r="AD149" s="21" t="n"/>
      <c r="AE149" s="21" t="n"/>
      <c r="AF149" s="23" t="n"/>
    </row>
    <row r="150">
      <c r="B150" s="9" t="n"/>
      <c r="AF150" s="15" t="n"/>
    </row>
    <row r="151">
      <c r="B151" s="9" t="n"/>
      <c r="C151" s="11" t="inlineStr">
        <is>
          <t>4. IMMEDIATE SETTLEMENT (design condition)</t>
        </is>
      </c>
      <c r="AF151" s="15" t="n"/>
    </row>
    <row r="152">
      <c r="B152" s="9" t="n"/>
      <c r="C152" s="25" t="inlineStr">
        <is>
          <t>Layered elastic method (Steinbrenner 1934; Bowles 1996) at the centre of a flexible B × L area:</t>
        </is>
      </c>
      <c r="AF152" s="15" t="n"/>
    </row>
    <row r="153">
      <c r="B153" s="9" t="n"/>
      <c r="C153" s="25" t="inlineStr">
        <is>
          <t xml:space="preserve">      Si = 4·q·(B/2)·(1 - ν²)/E · [ΔF1 + (1 - 2ν)/(1 - ν)·ΔF2]   for each sub-layer.</t>
        </is>
      </c>
      <c r="AF153" s="15" t="n"/>
    </row>
    <row r="154">
      <c r="B154" s="9" t="n"/>
      <c r="C154" s="25" t="inlineStr">
        <is>
          <t>Sand: drained modulus E = k·N60 and ν of sand; silt/clay: undrained modulus Eu = k·cu and ν = 0.5.</t>
        </is>
      </c>
      <c r="AF154" s="15" t="n"/>
    </row>
    <row r="155">
      <c r="B155" s="9" t="n"/>
      <c r="C155" s="25" t="inlineStr">
        <is>
          <t>Layers with Δσz &lt; 10 % σ'v0 (below the influence depth) and soil replaced to depth Dr are excluded.</t>
        </is>
      </c>
      <c r="AF155" s="15" t="n"/>
    </row>
    <row r="156">
      <c r="B156" s="9" t="n"/>
      <c r="C156" s="25" t="inlineStr">
        <is>
          <t>Table 2. Immediate settlement of BH-05</t>
        </is>
      </c>
      <c r="AF156" s="15" t="n"/>
    </row>
    <row r="157" ht="27" customHeight="1">
      <c r="B157" s="9" t="n"/>
      <c r="C157" s="33" t="inlineStr">
        <is>
          <t>No</t>
        </is>
      </c>
      <c r="D157" s="34" t="n"/>
      <c r="E157" s="33" t="inlineStr">
        <is>
          <t>Top</t>
        </is>
      </c>
      <c r="F157" s="34" t="n"/>
      <c r="G157" s="34" t="n"/>
      <c r="H157" s="33" t="inlineStr">
        <is>
          <t>Bottom</t>
        </is>
      </c>
      <c r="I157" s="34" t="n"/>
      <c r="J157" s="34" t="n"/>
      <c r="K157" s="33" t="inlineStr">
        <is>
          <t>Soil</t>
        </is>
      </c>
      <c r="L157" s="34" t="n"/>
      <c r="M157" s="34" t="n"/>
      <c r="N157" s="33" t="inlineStr">
        <is>
          <t>E</t>
        </is>
      </c>
      <c r="O157" s="34" t="n"/>
      <c r="P157" s="34" t="n"/>
      <c r="Q157" s="33" t="inlineStr">
        <is>
          <t>ν</t>
        </is>
      </c>
      <c r="R157" s="34" t="n"/>
      <c r="S157" s="33" t="inlineStr">
        <is>
          <t>σ'v0</t>
        </is>
      </c>
      <c r="T157" s="34" t="n"/>
      <c r="U157" s="34" t="n"/>
      <c r="V157" s="33" t="inlineStr">
        <is>
          <t>Δσz</t>
        </is>
      </c>
      <c r="W157" s="34" t="n"/>
      <c r="X157" s="34" t="n"/>
      <c r="Y157" s="33" t="inlineStr">
        <is>
          <t>F1</t>
        </is>
      </c>
      <c r="Z157" s="34" t="n"/>
      <c r="AA157" s="33" t="inlineStr">
        <is>
          <t>F2</t>
        </is>
      </c>
      <c r="AB157" s="34" t="n"/>
      <c r="AC157" s="33" t="inlineStr">
        <is>
          <t>Si</t>
        </is>
      </c>
      <c r="AD157" s="34" t="n"/>
      <c r="AE157" s="34" t="n"/>
      <c r="AF157" s="15" t="n"/>
    </row>
    <row r="158">
      <c r="B158" s="9" t="n"/>
      <c r="C158" s="35" t="inlineStr"/>
      <c r="D158" s="36" t="n"/>
      <c r="E158" s="35" t="inlineStr">
        <is>
          <t>m</t>
        </is>
      </c>
      <c r="F158" s="36" t="n"/>
      <c r="G158" s="36" t="n"/>
      <c r="H158" s="35" t="inlineStr">
        <is>
          <t>m</t>
        </is>
      </c>
      <c r="I158" s="36" t="n"/>
      <c r="J158" s="36" t="n"/>
      <c r="K158" s="35" t="inlineStr"/>
      <c r="L158" s="36" t="n"/>
      <c r="M158" s="36" t="n"/>
      <c r="N158" s="35" t="inlineStr">
        <is>
          <t>kPa</t>
        </is>
      </c>
      <c r="O158" s="36" t="n"/>
      <c r="P158" s="36" t="n"/>
      <c r="Q158" s="35" t="inlineStr">
        <is>
          <t>-</t>
        </is>
      </c>
      <c r="R158" s="36" t="n"/>
      <c r="S158" s="35" t="inlineStr">
        <is>
          <t>kPa</t>
        </is>
      </c>
      <c r="T158" s="36" t="n"/>
      <c r="U158" s="36" t="n"/>
      <c r="V158" s="35" t="inlineStr">
        <is>
          <t>kPa</t>
        </is>
      </c>
      <c r="W158" s="36" t="n"/>
      <c r="X158" s="36" t="n"/>
      <c r="Y158" s="35" t="inlineStr">
        <is>
          <t>-</t>
        </is>
      </c>
      <c r="Z158" s="36" t="n"/>
      <c r="AA158" s="35" t="inlineStr">
        <is>
          <t>-</t>
        </is>
      </c>
      <c r="AB158" s="36" t="n"/>
      <c r="AC158" s="35" t="inlineStr">
        <is>
          <t>mm</t>
        </is>
      </c>
      <c r="AD158" s="36" t="n"/>
      <c r="AE158" s="36" t="n"/>
      <c r="AF158" s="15" t="n"/>
    </row>
    <row r="159">
      <c r="B159" s="9" t="n"/>
      <c r="C159" s="57" t="n">
        <v>1</v>
      </c>
      <c r="D159" s="41" t="n"/>
      <c r="E159" s="55">
        <f>AI28</f>
        <v/>
      </c>
      <c r="F159" s="41" t="n"/>
      <c r="G159" s="41" t="n"/>
      <c r="H159" s="55">
        <f>AJ28</f>
        <v/>
      </c>
      <c r="I159" s="41" t="n"/>
      <c r="J159" s="41" t="n"/>
      <c r="K159" s="52">
        <f>AM28</f>
        <v/>
      </c>
      <c r="L159" s="41" t="n"/>
      <c r="M159" s="41" t="n"/>
      <c r="N159" s="54">
        <f>AX28</f>
        <v/>
      </c>
      <c r="O159" s="41" t="n"/>
      <c r="P159" s="41" t="n"/>
      <c r="Q159" s="53">
        <f>AY28</f>
        <v/>
      </c>
      <c r="R159" s="41" t="n"/>
      <c r="S159" s="53">
        <f>AQ28</f>
        <v/>
      </c>
      <c r="T159" s="41" t="n"/>
      <c r="U159" s="41" t="n"/>
      <c r="V159" s="53">
        <f>BC28</f>
        <v/>
      </c>
      <c r="W159" s="41" t="n"/>
      <c r="X159" s="41" t="n"/>
      <c r="Y159" s="40">
        <f>BD28</f>
        <v/>
      </c>
      <c r="Z159" s="41" t="n"/>
      <c r="AA159" s="40">
        <f>BE28</f>
        <v/>
      </c>
      <c r="AB159" s="41" t="n"/>
      <c r="AC159" s="53">
        <f>BG28</f>
        <v/>
      </c>
      <c r="AD159" s="41" t="n"/>
      <c r="AE159" s="41" t="n"/>
      <c r="AF159" s="15" t="n"/>
    </row>
    <row r="160">
      <c r="B160" s="9" t="n"/>
      <c r="C160" s="57" t="n">
        <v>2</v>
      </c>
      <c r="D160" s="41" t="n"/>
      <c r="E160" s="55">
        <f>AI29</f>
        <v/>
      </c>
      <c r="F160" s="41" t="n"/>
      <c r="G160" s="41" t="n"/>
      <c r="H160" s="55">
        <f>AJ29</f>
        <v/>
      </c>
      <c r="I160" s="41" t="n"/>
      <c r="J160" s="41" t="n"/>
      <c r="K160" s="52">
        <f>AM29</f>
        <v/>
      </c>
      <c r="L160" s="41" t="n"/>
      <c r="M160" s="41" t="n"/>
      <c r="N160" s="54">
        <f>AX29</f>
        <v/>
      </c>
      <c r="O160" s="41" t="n"/>
      <c r="P160" s="41" t="n"/>
      <c r="Q160" s="53">
        <f>AY29</f>
        <v/>
      </c>
      <c r="R160" s="41" t="n"/>
      <c r="S160" s="53">
        <f>AQ29</f>
        <v/>
      </c>
      <c r="T160" s="41" t="n"/>
      <c r="U160" s="41" t="n"/>
      <c r="V160" s="53">
        <f>BC29</f>
        <v/>
      </c>
      <c r="W160" s="41" t="n"/>
      <c r="X160" s="41" t="n"/>
      <c r="Y160" s="40">
        <f>BD29</f>
        <v/>
      </c>
      <c r="Z160" s="41" t="n"/>
      <c r="AA160" s="40">
        <f>BE29</f>
        <v/>
      </c>
      <c r="AB160" s="41" t="n"/>
      <c r="AC160" s="53">
        <f>BG29</f>
        <v/>
      </c>
      <c r="AD160" s="41" t="n"/>
      <c r="AE160" s="41" t="n"/>
      <c r="AF160" s="15" t="n"/>
    </row>
    <row r="161">
      <c r="B161" s="9" t="n"/>
      <c r="C161" s="57" t="n">
        <v>3</v>
      </c>
      <c r="D161" s="41" t="n"/>
      <c r="E161" s="55">
        <f>AI30</f>
        <v/>
      </c>
      <c r="F161" s="41" t="n"/>
      <c r="G161" s="41" t="n"/>
      <c r="H161" s="55">
        <f>AJ30</f>
        <v/>
      </c>
      <c r="I161" s="41" t="n"/>
      <c r="J161" s="41" t="n"/>
      <c r="K161" s="52">
        <f>AM30</f>
        <v/>
      </c>
      <c r="L161" s="41" t="n"/>
      <c r="M161" s="41" t="n"/>
      <c r="N161" s="54">
        <f>AX30</f>
        <v/>
      </c>
      <c r="O161" s="41" t="n"/>
      <c r="P161" s="41" t="n"/>
      <c r="Q161" s="53">
        <f>AY30</f>
        <v/>
      </c>
      <c r="R161" s="41" t="n"/>
      <c r="S161" s="53">
        <f>AQ30</f>
        <v/>
      </c>
      <c r="T161" s="41" t="n"/>
      <c r="U161" s="41" t="n"/>
      <c r="V161" s="53">
        <f>BC30</f>
        <v/>
      </c>
      <c r="W161" s="41" t="n"/>
      <c r="X161" s="41" t="n"/>
      <c r="Y161" s="40">
        <f>BD30</f>
        <v/>
      </c>
      <c r="Z161" s="41" t="n"/>
      <c r="AA161" s="40">
        <f>BE30</f>
        <v/>
      </c>
      <c r="AB161" s="41" t="n"/>
      <c r="AC161" s="53">
        <f>BG30</f>
        <v/>
      </c>
      <c r="AD161" s="41" t="n"/>
      <c r="AE161" s="41" t="n"/>
      <c r="AF161" s="15" t="n"/>
    </row>
    <row r="162">
      <c r="B162" s="9" t="n"/>
      <c r="C162" s="57" t="n">
        <v>4</v>
      </c>
      <c r="D162" s="41" t="n"/>
      <c r="E162" s="55">
        <f>AI31</f>
        <v/>
      </c>
      <c r="F162" s="41" t="n"/>
      <c r="G162" s="41" t="n"/>
      <c r="H162" s="55">
        <f>AJ31</f>
        <v/>
      </c>
      <c r="I162" s="41" t="n"/>
      <c r="J162" s="41" t="n"/>
      <c r="K162" s="52">
        <f>AM31</f>
        <v/>
      </c>
      <c r="L162" s="41" t="n"/>
      <c r="M162" s="41" t="n"/>
      <c r="N162" s="54">
        <f>AX31</f>
        <v/>
      </c>
      <c r="O162" s="41" t="n"/>
      <c r="P162" s="41" t="n"/>
      <c r="Q162" s="53">
        <f>AY31</f>
        <v/>
      </c>
      <c r="R162" s="41" t="n"/>
      <c r="S162" s="53">
        <f>AQ31</f>
        <v/>
      </c>
      <c r="T162" s="41" t="n"/>
      <c r="U162" s="41" t="n"/>
      <c r="V162" s="53">
        <f>BC31</f>
        <v/>
      </c>
      <c r="W162" s="41" t="n"/>
      <c r="X162" s="41" t="n"/>
      <c r="Y162" s="40">
        <f>BD31</f>
        <v/>
      </c>
      <c r="Z162" s="41" t="n"/>
      <c r="AA162" s="40">
        <f>BE31</f>
        <v/>
      </c>
      <c r="AB162" s="41" t="n"/>
      <c r="AC162" s="53">
        <f>BG31</f>
        <v/>
      </c>
      <c r="AD162" s="41" t="n"/>
      <c r="AE162" s="41" t="n"/>
      <c r="AF162" s="15" t="n"/>
    </row>
    <row r="163">
      <c r="B163" s="9" t="n"/>
      <c r="C163" s="57" t="n">
        <v>5</v>
      </c>
      <c r="D163" s="41" t="n"/>
      <c r="E163" s="55">
        <f>AI32</f>
        <v/>
      </c>
      <c r="F163" s="41" t="n"/>
      <c r="G163" s="41" t="n"/>
      <c r="H163" s="55">
        <f>AJ32</f>
        <v/>
      </c>
      <c r="I163" s="41" t="n"/>
      <c r="J163" s="41" t="n"/>
      <c r="K163" s="52">
        <f>AM32</f>
        <v/>
      </c>
      <c r="L163" s="41" t="n"/>
      <c r="M163" s="41" t="n"/>
      <c r="N163" s="54">
        <f>AX32</f>
        <v/>
      </c>
      <c r="O163" s="41" t="n"/>
      <c r="P163" s="41" t="n"/>
      <c r="Q163" s="53">
        <f>AY32</f>
        <v/>
      </c>
      <c r="R163" s="41" t="n"/>
      <c r="S163" s="53">
        <f>AQ32</f>
        <v/>
      </c>
      <c r="T163" s="41" t="n"/>
      <c r="U163" s="41" t="n"/>
      <c r="V163" s="53">
        <f>BC32</f>
        <v/>
      </c>
      <c r="W163" s="41" t="n"/>
      <c r="X163" s="41" t="n"/>
      <c r="Y163" s="40">
        <f>BD32</f>
        <v/>
      </c>
      <c r="Z163" s="41" t="n"/>
      <c r="AA163" s="40">
        <f>BE32</f>
        <v/>
      </c>
      <c r="AB163" s="41" t="n"/>
      <c r="AC163" s="53">
        <f>BG32</f>
        <v/>
      </c>
      <c r="AD163" s="41" t="n"/>
      <c r="AE163" s="41" t="n"/>
      <c r="AF163" s="15" t="n"/>
    </row>
    <row r="164">
      <c r="B164" s="9" t="n"/>
      <c r="C164" s="57" t="n">
        <v>6</v>
      </c>
      <c r="D164" s="41" t="n"/>
      <c r="E164" s="55">
        <f>AI33</f>
        <v/>
      </c>
      <c r="F164" s="41" t="n"/>
      <c r="G164" s="41" t="n"/>
      <c r="H164" s="55">
        <f>AJ33</f>
        <v/>
      </c>
      <c r="I164" s="41" t="n"/>
      <c r="J164" s="41" t="n"/>
      <c r="K164" s="52">
        <f>AM33</f>
        <v/>
      </c>
      <c r="L164" s="41" t="n"/>
      <c r="M164" s="41" t="n"/>
      <c r="N164" s="54">
        <f>AX33</f>
        <v/>
      </c>
      <c r="O164" s="41" t="n"/>
      <c r="P164" s="41" t="n"/>
      <c r="Q164" s="53">
        <f>AY33</f>
        <v/>
      </c>
      <c r="R164" s="41" t="n"/>
      <c r="S164" s="53">
        <f>AQ33</f>
        <v/>
      </c>
      <c r="T164" s="41" t="n"/>
      <c r="U164" s="41" t="n"/>
      <c r="V164" s="53">
        <f>BC33</f>
        <v/>
      </c>
      <c r="W164" s="41" t="n"/>
      <c r="X164" s="41" t="n"/>
      <c r="Y164" s="40">
        <f>BD33</f>
        <v/>
      </c>
      <c r="Z164" s="41" t="n"/>
      <c r="AA164" s="40">
        <f>BE33</f>
        <v/>
      </c>
      <c r="AB164" s="41" t="n"/>
      <c r="AC164" s="53">
        <f>BG33</f>
        <v/>
      </c>
      <c r="AD164" s="41" t="n"/>
      <c r="AE164" s="41" t="n"/>
      <c r="AF164" s="15" t="n"/>
    </row>
    <row r="165">
      <c r="B165" s="9" t="n"/>
      <c r="C165" s="57" t="n">
        <v>7</v>
      </c>
      <c r="D165" s="41" t="n"/>
      <c r="E165" s="55">
        <f>AI34</f>
        <v/>
      </c>
      <c r="F165" s="41" t="n"/>
      <c r="G165" s="41" t="n"/>
      <c r="H165" s="55">
        <f>AJ34</f>
        <v/>
      </c>
      <c r="I165" s="41" t="n"/>
      <c r="J165" s="41" t="n"/>
      <c r="K165" s="52">
        <f>AM34</f>
        <v/>
      </c>
      <c r="L165" s="41" t="n"/>
      <c r="M165" s="41" t="n"/>
      <c r="N165" s="54">
        <f>AX34</f>
        <v/>
      </c>
      <c r="O165" s="41" t="n"/>
      <c r="P165" s="41" t="n"/>
      <c r="Q165" s="53">
        <f>AY34</f>
        <v/>
      </c>
      <c r="R165" s="41" t="n"/>
      <c r="S165" s="53">
        <f>AQ34</f>
        <v/>
      </c>
      <c r="T165" s="41" t="n"/>
      <c r="U165" s="41" t="n"/>
      <c r="V165" s="53">
        <f>BC34</f>
        <v/>
      </c>
      <c r="W165" s="41" t="n"/>
      <c r="X165" s="41" t="n"/>
      <c r="Y165" s="40">
        <f>BD34</f>
        <v/>
      </c>
      <c r="Z165" s="41" t="n"/>
      <c r="AA165" s="40">
        <f>BE34</f>
        <v/>
      </c>
      <c r="AB165" s="41" t="n"/>
      <c r="AC165" s="53">
        <f>BG34</f>
        <v/>
      </c>
      <c r="AD165" s="41" t="n"/>
      <c r="AE165" s="41" t="n"/>
      <c r="AF165" s="15" t="n"/>
    </row>
    <row r="166">
      <c r="B166" s="9" t="n"/>
      <c r="C166" s="57" t="n">
        <v>8</v>
      </c>
      <c r="D166" s="41" t="n"/>
      <c r="E166" s="55">
        <f>AI35</f>
        <v/>
      </c>
      <c r="F166" s="41" t="n"/>
      <c r="G166" s="41" t="n"/>
      <c r="H166" s="55">
        <f>AJ35</f>
        <v/>
      </c>
      <c r="I166" s="41" t="n"/>
      <c r="J166" s="41" t="n"/>
      <c r="K166" s="52">
        <f>AM35</f>
        <v/>
      </c>
      <c r="L166" s="41" t="n"/>
      <c r="M166" s="41" t="n"/>
      <c r="N166" s="54">
        <f>AX35</f>
        <v/>
      </c>
      <c r="O166" s="41" t="n"/>
      <c r="P166" s="41" t="n"/>
      <c r="Q166" s="53">
        <f>AY35</f>
        <v/>
      </c>
      <c r="R166" s="41" t="n"/>
      <c r="S166" s="53">
        <f>AQ35</f>
        <v/>
      </c>
      <c r="T166" s="41" t="n"/>
      <c r="U166" s="41" t="n"/>
      <c r="V166" s="53">
        <f>BC35</f>
        <v/>
      </c>
      <c r="W166" s="41" t="n"/>
      <c r="X166" s="41" t="n"/>
      <c r="Y166" s="40">
        <f>BD35</f>
        <v/>
      </c>
      <c r="Z166" s="41" t="n"/>
      <c r="AA166" s="40">
        <f>BE35</f>
        <v/>
      </c>
      <c r="AB166" s="41" t="n"/>
      <c r="AC166" s="53">
        <f>BG35</f>
        <v/>
      </c>
      <c r="AD166" s="41" t="n"/>
      <c r="AE166" s="41" t="n"/>
      <c r="AF166" s="15" t="n"/>
    </row>
    <row r="167">
      <c r="B167" s="9" t="n"/>
      <c r="C167" s="57" t="n">
        <v>9</v>
      </c>
      <c r="D167" s="41" t="n"/>
      <c r="E167" s="55">
        <f>AI36</f>
        <v/>
      </c>
      <c r="F167" s="41" t="n"/>
      <c r="G167" s="41" t="n"/>
      <c r="H167" s="55">
        <f>AJ36</f>
        <v/>
      </c>
      <c r="I167" s="41" t="n"/>
      <c r="J167" s="41" t="n"/>
      <c r="K167" s="52">
        <f>AM36</f>
        <v/>
      </c>
      <c r="L167" s="41" t="n"/>
      <c r="M167" s="41" t="n"/>
      <c r="N167" s="54">
        <f>AX36</f>
        <v/>
      </c>
      <c r="O167" s="41" t="n"/>
      <c r="P167" s="41" t="n"/>
      <c r="Q167" s="53">
        <f>AY36</f>
        <v/>
      </c>
      <c r="R167" s="41" t="n"/>
      <c r="S167" s="53">
        <f>AQ36</f>
        <v/>
      </c>
      <c r="T167" s="41" t="n"/>
      <c r="U167" s="41" t="n"/>
      <c r="V167" s="53">
        <f>BC36</f>
        <v/>
      </c>
      <c r="W167" s="41" t="n"/>
      <c r="X167" s="41" t="n"/>
      <c r="Y167" s="40">
        <f>BD36</f>
        <v/>
      </c>
      <c r="Z167" s="41" t="n"/>
      <c r="AA167" s="40">
        <f>BE36</f>
        <v/>
      </c>
      <c r="AB167" s="41" t="n"/>
      <c r="AC167" s="53">
        <f>BG36</f>
        <v/>
      </c>
      <c r="AD167" s="41" t="n"/>
      <c r="AE167" s="41" t="n"/>
      <c r="AF167" s="15" t="n"/>
    </row>
    <row r="168">
      <c r="B168" s="9" t="n"/>
      <c r="C168" s="57" t="n">
        <v>10</v>
      </c>
      <c r="D168" s="41" t="n"/>
      <c r="E168" s="55">
        <f>AI37</f>
        <v/>
      </c>
      <c r="F168" s="41" t="n"/>
      <c r="G168" s="41" t="n"/>
      <c r="H168" s="55">
        <f>AJ37</f>
        <v/>
      </c>
      <c r="I168" s="41" t="n"/>
      <c r="J168" s="41" t="n"/>
      <c r="K168" s="52">
        <f>AM37</f>
        <v/>
      </c>
      <c r="L168" s="41" t="n"/>
      <c r="M168" s="41" t="n"/>
      <c r="N168" s="54">
        <f>AX37</f>
        <v/>
      </c>
      <c r="O168" s="41" t="n"/>
      <c r="P168" s="41" t="n"/>
      <c r="Q168" s="53">
        <f>AY37</f>
        <v/>
      </c>
      <c r="R168" s="41" t="n"/>
      <c r="S168" s="53">
        <f>AQ37</f>
        <v/>
      </c>
      <c r="T168" s="41" t="n"/>
      <c r="U168" s="41" t="n"/>
      <c r="V168" s="53">
        <f>BC37</f>
        <v/>
      </c>
      <c r="W168" s="41" t="n"/>
      <c r="X168" s="41" t="n"/>
      <c r="Y168" s="40">
        <f>BD37</f>
        <v/>
      </c>
      <c r="Z168" s="41" t="n"/>
      <c r="AA168" s="40">
        <f>BE37</f>
        <v/>
      </c>
      <c r="AB168" s="41" t="n"/>
      <c r="AC168" s="53">
        <f>BG37</f>
        <v/>
      </c>
      <c r="AD168" s="41" t="n"/>
      <c r="AE168" s="41" t="n"/>
      <c r="AF168" s="15" t="n"/>
    </row>
    <row r="169">
      <c r="B169" s="9" t="n"/>
      <c r="C169" s="57" t="n">
        <v>11</v>
      </c>
      <c r="D169" s="41" t="n"/>
      <c r="E169" s="55">
        <f>AI38</f>
        <v/>
      </c>
      <c r="F169" s="41" t="n"/>
      <c r="G169" s="41" t="n"/>
      <c r="H169" s="55">
        <f>AJ38</f>
        <v/>
      </c>
      <c r="I169" s="41" t="n"/>
      <c r="J169" s="41" t="n"/>
      <c r="K169" s="52">
        <f>AM38</f>
        <v/>
      </c>
      <c r="L169" s="41" t="n"/>
      <c r="M169" s="41" t="n"/>
      <c r="N169" s="54">
        <f>AX38</f>
        <v/>
      </c>
      <c r="O169" s="41" t="n"/>
      <c r="P169" s="41" t="n"/>
      <c r="Q169" s="53">
        <f>AY38</f>
        <v/>
      </c>
      <c r="R169" s="41" t="n"/>
      <c r="S169" s="53">
        <f>AQ38</f>
        <v/>
      </c>
      <c r="T169" s="41" t="n"/>
      <c r="U169" s="41" t="n"/>
      <c r="V169" s="53">
        <f>BC38</f>
        <v/>
      </c>
      <c r="W169" s="41" t="n"/>
      <c r="X169" s="41" t="n"/>
      <c r="Y169" s="40">
        <f>BD38</f>
        <v/>
      </c>
      <c r="Z169" s="41" t="n"/>
      <c r="AA169" s="40">
        <f>BE38</f>
        <v/>
      </c>
      <c r="AB169" s="41" t="n"/>
      <c r="AC169" s="53">
        <f>BG38</f>
        <v/>
      </c>
      <c r="AD169" s="41" t="n"/>
      <c r="AE169" s="41" t="n"/>
      <c r="AF169" s="15" t="n"/>
    </row>
    <row r="170">
      <c r="B170" s="9" t="n"/>
      <c r="C170" s="57" t="n">
        <v>12</v>
      </c>
      <c r="D170" s="41" t="n"/>
      <c r="E170" s="55">
        <f>AI39</f>
        <v/>
      </c>
      <c r="F170" s="41" t="n"/>
      <c r="G170" s="41" t="n"/>
      <c r="H170" s="55">
        <f>AJ39</f>
        <v/>
      </c>
      <c r="I170" s="41" t="n"/>
      <c r="J170" s="41" t="n"/>
      <c r="K170" s="52">
        <f>AM39</f>
        <v/>
      </c>
      <c r="L170" s="41" t="n"/>
      <c r="M170" s="41" t="n"/>
      <c r="N170" s="54">
        <f>AX39</f>
        <v/>
      </c>
      <c r="O170" s="41" t="n"/>
      <c r="P170" s="41" t="n"/>
      <c r="Q170" s="53">
        <f>AY39</f>
        <v/>
      </c>
      <c r="R170" s="41" t="n"/>
      <c r="S170" s="53">
        <f>AQ39</f>
        <v/>
      </c>
      <c r="T170" s="41" t="n"/>
      <c r="U170" s="41" t="n"/>
      <c r="V170" s="53">
        <f>BC39</f>
        <v/>
      </c>
      <c r="W170" s="41" t="n"/>
      <c r="X170" s="41" t="n"/>
      <c r="Y170" s="40">
        <f>BD39</f>
        <v/>
      </c>
      <c r="Z170" s="41" t="n"/>
      <c r="AA170" s="40">
        <f>BE39</f>
        <v/>
      </c>
      <c r="AB170" s="41" t="n"/>
      <c r="AC170" s="53">
        <f>BG39</f>
        <v/>
      </c>
      <c r="AD170" s="41" t="n"/>
      <c r="AE170" s="41" t="n"/>
      <c r="AF170" s="15" t="n"/>
    </row>
    <row r="171">
      <c r="B171" s="9" t="n"/>
      <c r="C171" s="57" t="n">
        <v>13</v>
      </c>
      <c r="D171" s="41" t="n"/>
      <c r="E171" s="55">
        <f>AI40</f>
        <v/>
      </c>
      <c r="F171" s="41" t="n"/>
      <c r="G171" s="41" t="n"/>
      <c r="H171" s="55">
        <f>AJ40</f>
        <v/>
      </c>
      <c r="I171" s="41" t="n"/>
      <c r="J171" s="41" t="n"/>
      <c r="K171" s="52">
        <f>AM40</f>
        <v/>
      </c>
      <c r="L171" s="41" t="n"/>
      <c r="M171" s="41" t="n"/>
      <c r="N171" s="54">
        <f>AX40</f>
        <v/>
      </c>
      <c r="O171" s="41" t="n"/>
      <c r="P171" s="41" t="n"/>
      <c r="Q171" s="53">
        <f>AY40</f>
        <v/>
      </c>
      <c r="R171" s="41" t="n"/>
      <c r="S171" s="53">
        <f>AQ40</f>
        <v/>
      </c>
      <c r="T171" s="41" t="n"/>
      <c r="U171" s="41" t="n"/>
      <c r="V171" s="53">
        <f>BC40</f>
        <v/>
      </c>
      <c r="W171" s="41" t="n"/>
      <c r="X171" s="41" t="n"/>
      <c r="Y171" s="40">
        <f>BD40</f>
        <v/>
      </c>
      <c r="Z171" s="41" t="n"/>
      <c r="AA171" s="40">
        <f>BE40</f>
        <v/>
      </c>
      <c r="AB171" s="41" t="n"/>
      <c r="AC171" s="53">
        <f>BG40</f>
        <v/>
      </c>
      <c r="AD171" s="41" t="n"/>
      <c r="AE171" s="41" t="n"/>
      <c r="AF171" s="15" t="n"/>
    </row>
    <row r="172">
      <c r="B172" s="9" t="n"/>
      <c r="C172" s="57" t="n">
        <v>14</v>
      </c>
      <c r="D172" s="41" t="n"/>
      <c r="E172" s="55">
        <f>AI41</f>
        <v/>
      </c>
      <c r="F172" s="41" t="n"/>
      <c r="G172" s="41" t="n"/>
      <c r="H172" s="55">
        <f>AJ41</f>
        <v/>
      </c>
      <c r="I172" s="41" t="n"/>
      <c r="J172" s="41" t="n"/>
      <c r="K172" s="52">
        <f>AM41</f>
        <v/>
      </c>
      <c r="L172" s="41" t="n"/>
      <c r="M172" s="41" t="n"/>
      <c r="N172" s="54">
        <f>AX41</f>
        <v/>
      </c>
      <c r="O172" s="41" t="n"/>
      <c r="P172" s="41" t="n"/>
      <c r="Q172" s="53">
        <f>AY41</f>
        <v/>
      </c>
      <c r="R172" s="41" t="n"/>
      <c r="S172" s="53">
        <f>AQ41</f>
        <v/>
      </c>
      <c r="T172" s="41" t="n"/>
      <c r="U172" s="41" t="n"/>
      <c r="V172" s="53">
        <f>BC41</f>
        <v/>
      </c>
      <c r="W172" s="41" t="n"/>
      <c r="X172" s="41" t="n"/>
      <c r="Y172" s="40">
        <f>BD41</f>
        <v/>
      </c>
      <c r="Z172" s="41" t="n"/>
      <c r="AA172" s="40">
        <f>BE41</f>
        <v/>
      </c>
      <c r="AB172" s="41" t="n"/>
      <c r="AC172" s="53">
        <f>BG41</f>
        <v/>
      </c>
      <c r="AD172" s="41" t="n"/>
      <c r="AE172" s="41" t="n"/>
      <c r="AF172" s="15" t="n"/>
    </row>
    <row r="173">
      <c r="B173" s="9" t="n"/>
      <c r="C173" s="57" t="n">
        <v>15</v>
      </c>
      <c r="D173" s="41" t="n"/>
      <c r="E173" s="55">
        <f>AI42</f>
        <v/>
      </c>
      <c r="F173" s="41" t="n"/>
      <c r="G173" s="41" t="n"/>
      <c r="H173" s="55">
        <f>AJ42</f>
        <v/>
      </c>
      <c r="I173" s="41" t="n"/>
      <c r="J173" s="41" t="n"/>
      <c r="K173" s="52">
        <f>AM42</f>
        <v/>
      </c>
      <c r="L173" s="41" t="n"/>
      <c r="M173" s="41" t="n"/>
      <c r="N173" s="54">
        <f>AX42</f>
        <v/>
      </c>
      <c r="O173" s="41" t="n"/>
      <c r="P173" s="41" t="n"/>
      <c r="Q173" s="53">
        <f>AY42</f>
        <v/>
      </c>
      <c r="R173" s="41" t="n"/>
      <c r="S173" s="53">
        <f>AQ42</f>
        <v/>
      </c>
      <c r="T173" s="41" t="n"/>
      <c r="U173" s="41" t="n"/>
      <c r="V173" s="53">
        <f>BC42</f>
        <v/>
      </c>
      <c r="W173" s="41" t="n"/>
      <c r="X173" s="41" t="n"/>
      <c r="Y173" s="40">
        <f>BD42</f>
        <v/>
      </c>
      <c r="Z173" s="41" t="n"/>
      <c r="AA173" s="40">
        <f>BE42</f>
        <v/>
      </c>
      <c r="AB173" s="41" t="n"/>
      <c r="AC173" s="53">
        <f>BG42</f>
        <v/>
      </c>
      <c r="AD173" s="41" t="n"/>
      <c r="AE173" s="41" t="n"/>
      <c r="AF173" s="15" t="n"/>
    </row>
    <row r="174">
      <c r="B174" s="9" t="n"/>
      <c r="C174" s="57" t="n">
        <v>16</v>
      </c>
      <c r="D174" s="41" t="n"/>
      <c r="E174" s="55">
        <f>AI43</f>
        <v/>
      </c>
      <c r="F174" s="41" t="n"/>
      <c r="G174" s="41" t="n"/>
      <c r="H174" s="55">
        <f>AJ43</f>
        <v/>
      </c>
      <c r="I174" s="41" t="n"/>
      <c r="J174" s="41" t="n"/>
      <c r="K174" s="52">
        <f>AM43</f>
        <v/>
      </c>
      <c r="L174" s="41" t="n"/>
      <c r="M174" s="41" t="n"/>
      <c r="N174" s="54">
        <f>AX43</f>
        <v/>
      </c>
      <c r="O174" s="41" t="n"/>
      <c r="P174" s="41" t="n"/>
      <c r="Q174" s="53">
        <f>AY43</f>
        <v/>
      </c>
      <c r="R174" s="41" t="n"/>
      <c r="S174" s="53">
        <f>AQ43</f>
        <v/>
      </c>
      <c r="T174" s="41" t="n"/>
      <c r="U174" s="41" t="n"/>
      <c r="V174" s="53">
        <f>BC43</f>
        <v/>
      </c>
      <c r="W174" s="41" t="n"/>
      <c r="X174" s="41" t="n"/>
      <c r="Y174" s="40">
        <f>BD43</f>
        <v/>
      </c>
      <c r="Z174" s="41" t="n"/>
      <c r="AA174" s="40">
        <f>BE43</f>
        <v/>
      </c>
      <c r="AB174" s="41" t="n"/>
      <c r="AC174" s="53">
        <f>BG43</f>
        <v/>
      </c>
      <c r="AD174" s="41" t="n"/>
      <c r="AE174" s="41" t="n"/>
      <c r="AF174" s="15" t="n"/>
    </row>
    <row r="175">
      <c r="B175" s="9" t="n"/>
      <c r="C175" s="57" t="n">
        <v>17</v>
      </c>
      <c r="D175" s="41" t="n"/>
      <c r="E175" s="55">
        <f>AI44</f>
        <v/>
      </c>
      <c r="F175" s="41" t="n"/>
      <c r="G175" s="41" t="n"/>
      <c r="H175" s="55">
        <f>AJ44</f>
        <v/>
      </c>
      <c r="I175" s="41" t="n"/>
      <c r="J175" s="41" t="n"/>
      <c r="K175" s="52">
        <f>AM44</f>
        <v/>
      </c>
      <c r="L175" s="41" t="n"/>
      <c r="M175" s="41" t="n"/>
      <c r="N175" s="54">
        <f>AX44</f>
        <v/>
      </c>
      <c r="O175" s="41" t="n"/>
      <c r="P175" s="41" t="n"/>
      <c r="Q175" s="53">
        <f>AY44</f>
        <v/>
      </c>
      <c r="R175" s="41" t="n"/>
      <c r="S175" s="53">
        <f>AQ44</f>
        <v/>
      </c>
      <c r="T175" s="41" t="n"/>
      <c r="U175" s="41" t="n"/>
      <c r="V175" s="53">
        <f>BC44</f>
        <v/>
      </c>
      <c r="W175" s="41" t="n"/>
      <c r="X175" s="41" t="n"/>
      <c r="Y175" s="40">
        <f>BD44</f>
        <v/>
      </c>
      <c r="Z175" s="41" t="n"/>
      <c r="AA175" s="40">
        <f>BE44</f>
        <v/>
      </c>
      <c r="AB175" s="41" t="n"/>
      <c r="AC175" s="53">
        <f>BG44</f>
        <v/>
      </c>
      <c r="AD175" s="41" t="n"/>
      <c r="AE175" s="41" t="n"/>
      <c r="AF175" s="15" t="n"/>
    </row>
    <row r="176">
      <c r="B176" s="9" t="n"/>
      <c r="C176" s="57" t="n">
        <v>18</v>
      </c>
      <c r="D176" s="41" t="n"/>
      <c r="E176" s="55">
        <f>AI45</f>
        <v/>
      </c>
      <c r="F176" s="41" t="n"/>
      <c r="G176" s="41" t="n"/>
      <c r="H176" s="55">
        <f>AJ45</f>
        <v/>
      </c>
      <c r="I176" s="41" t="n"/>
      <c r="J176" s="41" t="n"/>
      <c r="K176" s="52">
        <f>AM45</f>
        <v/>
      </c>
      <c r="L176" s="41" t="n"/>
      <c r="M176" s="41" t="n"/>
      <c r="N176" s="54">
        <f>AX45</f>
        <v/>
      </c>
      <c r="O176" s="41" t="n"/>
      <c r="P176" s="41" t="n"/>
      <c r="Q176" s="53">
        <f>AY45</f>
        <v/>
      </c>
      <c r="R176" s="41" t="n"/>
      <c r="S176" s="53">
        <f>AQ45</f>
        <v/>
      </c>
      <c r="T176" s="41" t="n"/>
      <c r="U176" s="41" t="n"/>
      <c r="V176" s="53">
        <f>BC45</f>
        <v/>
      </c>
      <c r="W176" s="41" t="n"/>
      <c r="X176" s="41" t="n"/>
      <c r="Y176" s="40">
        <f>BD45</f>
        <v/>
      </c>
      <c r="Z176" s="41" t="n"/>
      <c r="AA176" s="40">
        <f>BE45</f>
        <v/>
      </c>
      <c r="AB176" s="41" t="n"/>
      <c r="AC176" s="53">
        <f>BG45</f>
        <v/>
      </c>
      <c r="AD176" s="41" t="n"/>
      <c r="AE176" s="41" t="n"/>
      <c r="AF176" s="15" t="n"/>
    </row>
    <row r="177">
      <c r="B177" s="9" t="n"/>
      <c r="C177" s="57" t="n">
        <v>19</v>
      </c>
      <c r="D177" s="41" t="n"/>
      <c r="E177" s="55">
        <f>AI46</f>
        <v/>
      </c>
      <c r="F177" s="41" t="n"/>
      <c r="G177" s="41" t="n"/>
      <c r="H177" s="55">
        <f>AJ46</f>
        <v/>
      </c>
      <c r="I177" s="41" t="n"/>
      <c r="J177" s="41" t="n"/>
      <c r="K177" s="52">
        <f>AM46</f>
        <v/>
      </c>
      <c r="L177" s="41" t="n"/>
      <c r="M177" s="41" t="n"/>
      <c r="N177" s="54">
        <f>AX46</f>
        <v/>
      </c>
      <c r="O177" s="41" t="n"/>
      <c r="P177" s="41" t="n"/>
      <c r="Q177" s="53">
        <f>AY46</f>
        <v/>
      </c>
      <c r="R177" s="41" t="n"/>
      <c r="S177" s="53">
        <f>AQ46</f>
        <v/>
      </c>
      <c r="T177" s="41" t="n"/>
      <c r="U177" s="41" t="n"/>
      <c r="V177" s="53">
        <f>BC46</f>
        <v/>
      </c>
      <c r="W177" s="41" t="n"/>
      <c r="X177" s="41" t="n"/>
      <c r="Y177" s="40">
        <f>BD46</f>
        <v/>
      </c>
      <c r="Z177" s="41" t="n"/>
      <c r="AA177" s="40">
        <f>BE46</f>
        <v/>
      </c>
      <c r="AB177" s="41" t="n"/>
      <c r="AC177" s="53">
        <f>BG46</f>
        <v/>
      </c>
      <c r="AD177" s="41" t="n"/>
      <c r="AE177" s="41" t="n"/>
      <c r="AF177" s="15" t="n"/>
    </row>
    <row r="178">
      <c r="B178" s="9" t="n"/>
      <c r="C178" s="57" t="n">
        <v>20</v>
      </c>
      <c r="D178" s="41" t="n"/>
      <c r="E178" s="55">
        <f>AI47</f>
        <v/>
      </c>
      <c r="F178" s="41" t="n"/>
      <c r="G178" s="41" t="n"/>
      <c r="H178" s="55">
        <f>AJ47</f>
        <v/>
      </c>
      <c r="I178" s="41" t="n"/>
      <c r="J178" s="41" t="n"/>
      <c r="K178" s="52">
        <f>AM47</f>
        <v/>
      </c>
      <c r="L178" s="41" t="n"/>
      <c r="M178" s="41" t="n"/>
      <c r="N178" s="54">
        <f>AX47</f>
        <v/>
      </c>
      <c r="O178" s="41" t="n"/>
      <c r="P178" s="41" t="n"/>
      <c r="Q178" s="53">
        <f>AY47</f>
        <v/>
      </c>
      <c r="R178" s="41" t="n"/>
      <c r="S178" s="53">
        <f>AQ47</f>
        <v/>
      </c>
      <c r="T178" s="41" t="n"/>
      <c r="U178" s="41" t="n"/>
      <c r="V178" s="53">
        <f>BC47</f>
        <v/>
      </c>
      <c r="W178" s="41" t="n"/>
      <c r="X178" s="41" t="n"/>
      <c r="Y178" s="40">
        <f>BD47</f>
        <v/>
      </c>
      <c r="Z178" s="41" t="n"/>
      <c r="AA178" s="40">
        <f>BE47</f>
        <v/>
      </c>
      <c r="AB178" s="41" t="n"/>
      <c r="AC178" s="53">
        <f>BG47</f>
        <v/>
      </c>
      <c r="AD178" s="41" t="n"/>
      <c r="AE178" s="41" t="n"/>
      <c r="AF178" s="15" t="n"/>
    </row>
    <row r="179">
      <c r="B179" s="9" t="n"/>
      <c r="C179" s="57" t="n">
        <v>21</v>
      </c>
      <c r="D179" s="41" t="n"/>
      <c r="E179" s="55">
        <f>AI48</f>
        <v/>
      </c>
      <c r="F179" s="41" t="n"/>
      <c r="G179" s="41" t="n"/>
      <c r="H179" s="55">
        <f>AJ48</f>
        <v/>
      </c>
      <c r="I179" s="41" t="n"/>
      <c r="J179" s="41" t="n"/>
      <c r="K179" s="52">
        <f>AM48</f>
        <v/>
      </c>
      <c r="L179" s="41" t="n"/>
      <c r="M179" s="41" t="n"/>
      <c r="N179" s="54">
        <f>AX48</f>
        <v/>
      </c>
      <c r="O179" s="41" t="n"/>
      <c r="P179" s="41" t="n"/>
      <c r="Q179" s="53">
        <f>AY48</f>
        <v/>
      </c>
      <c r="R179" s="41" t="n"/>
      <c r="S179" s="53">
        <f>AQ48</f>
        <v/>
      </c>
      <c r="T179" s="41" t="n"/>
      <c r="U179" s="41" t="n"/>
      <c r="V179" s="53">
        <f>BC48</f>
        <v/>
      </c>
      <c r="W179" s="41" t="n"/>
      <c r="X179" s="41" t="n"/>
      <c r="Y179" s="40">
        <f>BD48</f>
        <v/>
      </c>
      <c r="Z179" s="41" t="n"/>
      <c r="AA179" s="40">
        <f>BE48</f>
        <v/>
      </c>
      <c r="AB179" s="41" t="n"/>
      <c r="AC179" s="53">
        <f>BG48</f>
        <v/>
      </c>
      <c r="AD179" s="41" t="n"/>
      <c r="AE179" s="41" t="n"/>
      <c r="AF179" s="15" t="n"/>
    </row>
    <row r="180">
      <c r="B180" s="9" t="n"/>
      <c r="C180" s="57" t="n">
        <v>22</v>
      </c>
      <c r="D180" s="41" t="n"/>
      <c r="E180" s="55">
        <f>AI49</f>
        <v/>
      </c>
      <c r="F180" s="41" t="n"/>
      <c r="G180" s="41" t="n"/>
      <c r="H180" s="55">
        <f>AJ49</f>
        <v/>
      </c>
      <c r="I180" s="41" t="n"/>
      <c r="J180" s="41" t="n"/>
      <c r="K180" s="52">
        <f>AM49</f>
        <v/>
      </c>
      <c r="L180" s="41" t="n"/>
      <c r="M180" s="41" t="n"/>
      <c r="N180" s="54">
        <f>AX49</f>
        <v/>
      </c>
      <c r="O180" s="41" t="n"/>
      <c r="P180" s="41" t="n"/>
      <c r="Q180" s="53">
        <f>AY49</f>
        <v/>
      </c>
      <c r="R180" s="41" t="n"/>
      <c r="S180" s="53">
        <f>AQ49</f>
        <v/>
      </c>
      <c r="T180" s="41" t="n"/>
      <c r="U180" s="41" t="n"/>
      <c r="V180" s="53">
        <f>BC49</f>
        <v/>
      </c>
      <c r="W180" s="41" t="n"/>
      <c r="X180" s="41" t="n"/>
      <c r="Y180" s="40">
        <f>BD49</f>
        <v/>
      </c>
      <c r="Z180" s="41" t="n"/>
      <c r="AA180" s="40">
        <f>BE49</f>
        <v/>
      </c>
      <c r="AB180" s="41" t="n"/>
      <c r="AC180" s="53">
        <f>BG49</f>
        <v/>
      </c>
      <c r="AD180" s="41" t="n"/>
      <c r="AE180" s="41" t="n"/>
      <c r="AF180" s="15" t="n"/>
    </row>
    <row r="181">
      <c r="B181" s="9" t="n"/>
      <c r="C181" s="57" t="n">
        <v>23</v>
      </c>
      <c r="D181" s="41" t="n"/>
      <c r="E181" s="55">
        <f>AI50</f>
        <v/>
      </c>
      <c r="F181" s="41" t="n"/>
      <c r="G181" s="41" t="n"/>
      <c r="H181" s="55">
        <f>AJ50</f>
        <v/>
      </c>
      <c r="I181" s="41" t="n"/>
      <c r="J181" s="41" t="n"/>
      <c r="K181" s="52">
        <f>AM50</f>
        <v/>
      </c>
      <c r="L181" s="41" t="n"/>
      <c r="M181" s="41" t="n"/>
      <c r="N181" s="54">
        <f>AX50</f>
        <v/>
      </c>
      <c r="O181" s="41" t="n"/>
      <c r="P181" s="41" t="n"/>
      <c r="Q181" s="53">
        <f>AY50</f>
        <v/>
      </c>
      <c r="R181" s="41" t="n"/>
      <c r="S181" s="53">
        <f>AQ50</f>
        <v/>
      </c>
      <c r="T181" s="41" t="n"/>
      <c r="U181" s="41" t="n"/>
      <c r="V181" s="53">
        <f>BC50</f>
        <v/>
      </c>
      <c r="W181" s="41" t="n"/>
      <c r="X181" s="41" t="n"/>
      <c r="Y181" s="40">
        <f>BD50</f>
        <v/>
      </c>
      <c r="Z181" s="41" t="n"/>
      <c r="AA181" s="40">
        <f>BE50</f>
        <v/>
      </c>
      <c r="AB181" s="41" t="n"/>
      <c r="AC181" s="53">
        <f>BG50</f>
        <v/>
      </c>
      <c r="AD181" s="41" t="n"/>
      <c r="AE181" s="41" t="n"/>
      <c r="AF181" s="15" t="n"/>
    </row>
    <row r="182">
      <c r="B182" s="9" t="n"/>
      <c r="C182" s="57" t="n">
        <v>24</v>
      </c>
      <c r="D182" s="41" t="n"/>
      <c r="E182" s="55">
        <f>AI51</f>
        <v/>
      </c>
      <c r="F182" s="41" t="n"/>
      <c r="G182" s="41" t="n"/>
      <c r="H182" s="55">
        <f>AJ51</f>
        <v/>
      </c>
      <c r="I182" s="41" t="n"/>
      <c r="J182" s="41" t="n"/>
      <c r="K182" s="52">
        <f>AM51</f>
        <v/>
      </c>
      <c r="L182" s="41" t="n"/>
      <c r="M182" s="41" t="n"/>
      <c r="N182" s="54">
        <f>AX51</f>
        <v/>
      </c>
      <c r="O182" s="41" t="n"/>
      <c r="P182" s="41" t="n"/>
      <c r="Q182" s="53">
        <f>AY51</f>
        <v/>
      </c>
      <c r="R182" s="41" t="n"/>
      <c r="S182" s="53">
        <f>AQ51</f>
        <v/>
      </c>
      <c r="T182" s="41" t="n"/>
      <c r="U182" s="41" t="n"/>
      <c r="V182" s="53">
        <f>BC51</f>
        <v/>
      </c>
      <c r="W182" s="41" t="n"/>
      <c r="X182" s="41" t="n"/>
      <c r="Y182" s="40">
        <f>BD51</f>
        <v/>
      </c>
      <c r="Z182" s="41" t="n"/>
      <c r="AA182" s="40">
        <f>BE51</f>
        <v/>
      </c>
      <c r="AB182" s="41" t="n"/>
      <c r="AC182" s="53">
        <f>BG51</f>
        <v/>
      </c>
      <c r="AD182" s="41" t="n"/>
      <c r="AE182" s="41" t="n"/>
      <c r="AF182" s="15" t="n"/>
    </row>
    <row r="183">
      <c r="B183" s="9" t="n"/>
      <c r="C183" s="57" t="n">
        <v>25</v>
      </c>
      <c r="D183" s="41" t="n"/>
      <c r="E183" s="55">
        <f>AI52</f>
        <v/>
      </c>
      <c r="F183" s="41" t="n"/>
      <c r="G183" s="41" t="n"/>
      <c r="H183" s="55">
        <f>AJ52</f>
        <v/>
      </c>
      <c r="I183" s="41" t="n"/>
      <c r="J183" s="41" t="n"/>
      <c r="K183" s="52">
        <f>AM52</f>
        <v/>
      </c>
      <c r="L183" s="41" t="n"/>
      <c r="M183" s="41" t="n"/>
      <c r="N183" s="54">
        <f>AX52</f>
        <v/>
      </c>
      <c r="O183" s="41" t="n"/>
      <c r="P183" s="41" t="n"/>
      <c r="Q183" s="53">
        <f>AY52</f>
        <v/>
      </c>
      <c r="R183" s="41" t="n"/>
      <c r="S183" s="53">
        <f>AQ52</f>
        <v/>
      </c>
      <c r="T183" s="41" t="n"/>
      <c r="U183" s="41" t="n"/>
      <c r="V183" s="53">
        <f>BC52</f>
        <v/>
      </c>
      <c r="W183" s="41" t="n"/>
      <c r="X183" s="41" t="n"/>
      <c r="Y183" s="40">
        <f>BD52</f>
        <v/>
      </c>
      <c r="Z183" s="41" t="n"/>
      <c r="AA183" s="40">
        <f>BE52</f>
        <v/>
      </c>
      <c r="AB183" s="41" t="n"/>
      <c r="AC183" s="53">
        <f>BG52</f>
        <v/>
      </c>
      <c r="AD183" s="41" t="n"/>
      <c r="AE183" s="41" t="n"/>
      <c r="AF183" s="15" t="n"/>
    </row>
    <row r="184">
      <c r="B184" s="9" t="n"/>
      <c r="C184" s="57" t="n">
        <v>26</v>
      </c>
      <c r="D184" s="41" t="n"/>
      <c r="E184" s="55">
        <f>AI53</f>
        <v/>
      </c>
      <c r="F184" s="41" t="n"/>
      <c r="G184" s="41" t="n"/>
      <c r="H184" s="55">
        <f>AJ53</f>
        <v/>
      </c>
      <c r="I184" s="41" t="n"/>
      <c r="J184" s="41" t="n"/>
      <c r="K184" s="52">
        <f>AM53</f>
        <v/>
      </c>
      <c r="L184" s="41" t="n"/>
      <c r="M184" s="41" t="n"/>
      <c r="N184" s="54">
        <f>AX53</f>
        <v/>
      </c>
      <c r="O184" s="41" t="n"/>
      <c r="P184" s="41" t="n"/>
      <c r="Q184" s="53">
        <f>AY53</f>
        <v/>
      </c>
      <c r="R184" s="41" t="n"/>
      <c r="S184" s="53">
        <f>AQ53</f>
        <v/>
      </c>
      <c r="T184" s="41" t="n"/>
      <c r="U184" s="41" t="n"/>
      <c r="V184" s="53">
        <f>BC53</f>
        <v/>
      </c>
      <c r="W184" s="41" t="n"/>
      <c r="X184" s="41" t="n"/>
      <c r="Y184" s="40">
        <f>BD53</f>
        <v/>
      </c>
      <c r="Z184" s="41" t="n"/>
      <c r="AA184" s="40">
        <f>BE53</f>
        <v/>
      </c>
      <c r="AB184" s="41" t="n"/>
      <c r="AC184" s="53">
        <f>BG53</f>
        <v/>
      </c>
      <c r="AD184" s="41" t="n"/>
      <c r="AE184" s="41" t="n"/>
      <c r="AF184" s="15" t="n"/>
    </row>
    <row r="185">
      <c r="B185" s="9" t="n"/>
      <c r="C185" s="57" t="n">
        <v>27</v>
      </c>
      <c r="D185" s="41" t="n"/>
      <c r="E185" s="55">
        <f>AI54</f>
        <v/>
      </c>
      <c r="F185" s="41" t="n"/>
      <c r="G185" s="41" t="n"/>
      <c r="H185" s="55">
        <f>AJ54</f>
        <v/>
      </c>
      <c r="I185" s="41" t="n"/>
      <c r="J185" s="41" t="n"/>
      <c r="K185" s="52">
        <f>AM54</f>
        <v/>
      </c>
      <c r="L185" s="41" t="n"/>
      <c r="M185" s="41" t="n"/>
      <c r="N185" s="54">
        <f>AX54</f>
        <v/>
      </c>
      <c r="O185" s="41" t="n"/>
      <c r="P185" s="41" t="n"/>
      <c r="Q185" s="53">
        <f>AY54</f>
        <v/>
      </c>
      <c r="R185" s="41" t="n"/>
      <c r="S185" s="53">
        <f>AQ54</f>
        <v/>
      </c>
      <c r="T185" s="41" t="n"/>
      <c r="U185" s="41" t="n"/>
      <c r="V185" s="53">
        <f>BC54</f>
        <v/>
      </c>
      <c r="W185" s="41" t="n"/>
      <c r="X185" s="41" t="n"/>
      <c r="Y185" s="40">
        <f>BD54</f>
        <v/>
      </c>
      <c r="Z185" s="41" t="n"/>
      <c r="AA185" s="40">
        <f>BE54</f>
        <v/>
      </c>
      <c r="AB185" s="41" t="n"/>
      <c r="AC185" s="53">
        <f>BG54</f>
        <v/>
      </c>
      <c r="AD185" s="41" t="n"/>
      <c r="AE185" s="41" t="n"/>
      <c r="AF185" s="15" t="n"/>
    </row>
    <row r="186">
      <c r="B186" s="9" t="n"/>
      <c r="C186" s="57" t="n">
        <v>28</v>
      </c>
      <c r="D186" s="41" t="n"/>
      <c r="E186" s="55">
        <f>AI55</f>
        <v/>
      </c>
      <c r="F186" s="41" t="n"/>
      <c r="G186" s="41" t="n"/>
      <c r="H186" s="55">
        <f>AJ55</f>
        <v/>
      </c>
      <c r="I186" s="41" t="n"/>
      <c r="J186" s="41" t="n"/>
      <c r="K186" s="52">
        <f>AM55</f>
        <v/>
      </c>
      <c r="L186" s="41" t="n"/>
      <c r="M186" s="41" t="n"/>
      <c r="N186" s="54">
        <f>AX55</f>
        <v/>
      </c>
      <c r="O186" s="41" t="n"/>
      <c r="P186" s="41" t="n"/>
      <c r="Q186" s="53">
        <f>AY55</f>
        <v/>
      </c>
      <c r="R186" s="41" t="n"/>
      <c r="S186" s="53">
        <f>AQ55</f>
        <v/>
      </c>
      <c r="T186" s="41" t="n"/>
      <c r="U186" s="41" t="n"/>
      <c r="V186" s="53">
        <f>BC55</f>
        <v/>
      </c>
      <c r="W186" s="41" t="n"/>
      <c r="X186" s="41" t="n"/>
      <c r="Y186" s="40">
        <f>BD55</f>
        <v/>
      </c>
      <c r="Z186" s="41" t="n"/>
      <c r="AA186" s="40">
        <f>BE55</f>
        <v/>
      </c>
      <c r="AB186" s="41" t="n"/>
      <c r="AC186" s="53">
        <f>BG55</f>
        <v/>
      </c>
      <c r="AD186" s="41" t="n"/>
      <c r="AE186" s="41" t="n"/>
      <c r="AF186" s="15" t="n"/>
    </row>
    <row r="187">
      <c r="B187" s="9" t="n"/>
      <c r="C187" s="57" t="n">
        <v>29</v>
      </c>
      <c r="D187" s="41" t="n"/>
      <c r="E187" s="55">
        <f>AI56</f>
        <v/>
      </c>
      <c r="F187" s="41" t="n"/>
      <c r="G187" s="41" t="n"/>
      <c r="H187" s="55">
        <f>AJ56</f>
        <v/>
      </c>
      <c r="I187" s="41" t="n"/>
      <c r="J187" s="41" t="n"/>
      <c r="K187" s="52">
        <f>AM56</f>
        <v/>
      </c>
      <c r="L187" s="41" t="n"/>
      <c r="M187" s="41" t="n"/>
      <c r="N187" s="54">
        <f>AX56</f>
        <v/>
      </c>
      <c r="O187" s="41" t="n"/>
      <c r="P187" s="41" t="n"/>
      <c r="Q187" s="53">
        <f>AY56</f>
        <v/>
      </c>
      <c r="R187" s="41" t="n"/>
      <c r="S187" s="53">
        <f>AQ56</f>
        <v/>
      </c>
      <c r="T187" s="41" t="n"/>
      <c r="U187" s="41" t="n"/>
      <c r="V187" s="53">
        <f>BC56</f>
        <v/>
      </c>
      <c r="W187" s="41" t="n"/>
      <c r="X187" s="41" t="n"/>
      <c r="Y187" s="40">
        <f>BD56</f>
        <v/>
      </c>
      <c r="Z187" s="41" t="n"/>
      <c r="AA187" s="40">
        <f>BE56</f>
        <v/>
      </c>
      <c r="AB187" s="41" t="n"/>
      <c r="AC187" s="53">
        <f>BG56</f>
        <v/>
      </c>
      <c r="AD187" s="41" t="n"/>
      <c r="AE187" s="41" t="n"/>
      <c r="AF187" s="15" t="n"/>
    </row>
    <row r="188">
      <c r="B188" s="9" t="n"/>
      <c r="C188" s="57" t="n">
        <v>30</v>
      </c>
      <c r="D188" s="41" t="n"/>
      <c r="E188" s="55">
        <f>AI57</f>
        <v/>
      </c>
      <c r="F188" s="41" t="n"/>
      <c r="G188" s="41" t="n"/>
      <c r="H188" s="55">
        <f>AJ57</f>
        <v/>
      </c>
      <c r="I188" s="41" t="n"/>
      <c r="J188" s="41" t="n"/>
      <c r="K188" s="52">
        <f>AM57</f>
        <v/>
      </c>
      <c r="L188" s="41" t="n"/>
      <c r="M188" s="41" t="n"/>
      <c r="N188" s="54">
        <f>AX57</f>
        <v/>
      </c>
      <c r="O188" s="41" t="n"/>
      <c r="P188" s="41" t="n"/>
      <c r="Q188" s="53">
        <f>AY57</f>
        <v/>
      </c>
      <c r="R188" s="41" t="n"/>
      <c r="S188" s="53">
        <f>AQ57</f>
        <v/>
      </c>
      <c r="T188" s="41" t="n"/>
      <c r="U188" s="41" t="n"/>
      <c r="V188" s="53">
        <f>BC57</f>
        <v/>
      </c>
      <c r="W188" s="41" t="n"/>
      <c r="X188" s="41" t="n"/>
      <c r="Y188" s="40">
        <f>BD57</f>
        <v/>
      </c>
      <c r="Z188" s="41" t="n"/>
      <c r="AA188" s="40">
        <f>BE57</f>
        <v/>
      </c>
      <c r="AB188" s="41" t="n"/>
      <c r="AC188" s="53">
        <f>BG57</f>
        <v/>
      </c>
      <c r="AD188" s="41" t="n"/>
      <c r="AE188" s="41" t="n"/>
      <c r="AF188" s="15" t="n"/>
    </row>
    <row r="189">
      <c r="B189" s="9" t="n"/>
      <c r="C189" s="57" t="n">
        <v>31</v>
      </c>
      <c r="D189" s="41" t="n"/>
      <c r="E189" s="55">
        <f>AI58</f>
        <v/>
      </c>
      <c r="F189" s="41" t="n"/>
      <c r="G189" s="41" t="n"/>
      <c r="H189" s="55">
        <f>AJ58</f>
        <v/>
      </c>
      <c r="I189" s="41" t="n"/>
      <c r="J189" s="41" t="n"/>
      <c r="K189" s="52">
        <f>AM58</f>
        <v/>
      </c>
      <c r="L189" s="41" t="n"/>
      <c r="M189" s="41" t="n"/>
      <c r="N189" s="54">
        <f>AX58</f>
        <v/>
      </c>
      <c r="O189" s="41" t="n"/>
      <c r="P189" s="41" t="n"/>
      <c r="Q189" s="53">
        <f>AY58</f>
        <v/>
      </c>
      <c r="R189" s="41" t="n"/>
      <c r="S189" s="53">
        <f>AQ58</f>
        <v/>
      </c>
      <c r="T189" s="41" t="n"/>
      <c r="U189" s="41" t="n"/>
      <c r="V189" s="53">
        <f>BC58</f>
        <v/>
      </c>
      <c r="W189" s="41" t="n"/>
      <c r="X189" s="41" t="n"/>
      <c r="Y189" s="40">
        <f>BD58</f>
        <v/>
      </c>
      <c r="Z189" s="41" t="n"/>
      <c r="AA189" s="40">
        <f>BE58</f>
        <v/>
      </c>
      <c r="AB189" s="41" t="n"/>
      <c r="AC189" s="53">
        <f>BG58</f>
        <v/>
      </c>
      <c r="AD189" s="41" t="n"/>
      <c r="AE189" s="41" t="n"/>
      <c r="AF189" s="15" t="n"/>
    </row>
    <row r="190">
      <c r="B190" s="9" t="n"/>
      <c r="C190" s="57" t="n">
        <v>32</v>
      </c>
      <c r="D190" s="41" t="n"/>
      <c r="E190" s="55">
        <f>AI59</f>
        <v/>
      </c>
      <c r="F190" s="41" t="n"/>
      <c r="G190" s="41" t="n"/>
      <c r="H190" s="55">
        <f>AJ59</f>
        <v/>
      </c>
      <c r="I190" s="41" t="n"/>
      <c r="J190" s="41" t="n"/>
      <c r="K190" s="52">
        <f>AM59</f>
        <v/>
      </c>
      <c r="L190" s="41" t="n"/>
      <c r="M190" s="41" t="n"/>
      <c r="N190" s="54">
        <f>AX59</f>
        <v/>
      </c>
      <c r="O190" s="41" t="n"/>
      <c r="P190" s="41" t="n"/>
      <c r="Q190" s="53">
        <f>AY59</f>
        <v/>
      </c>
      <c r="R190" s="41" t="n"/>
      <c r="S190" s="53">
        <f>AQ59</f>
        <v/>
      </c>
      <c r="T190" s="41" t="n"/>
      <c r="U190" s="41" t="n"/>
      <c r="V190" s="53">
        <f>BC59</f>
        <v/>
      </c>
      <c r="W190" s="41" t="n"/>
      <c r="X190" s="41" t="n"/>
      <c r="Y190" s="40">
        <f>BD59</f>
        <v/>
      </c>
      <c r="Z190" s="41" t="n"/>
      <c r="AA190" s="40">
        <f>BE59</f>
        <v/>
      </c>
      <c r="AB190" s="41" t="n"/>
      <c r="AC190" s="53">
        <f>BG59</f>
        <v/>
      </c>
      <c r="AD190" s="41" t="n"/>
      <c r="AE190" s="41" t="n"/>
      <c r="AF190" s="15" t="n"/>
    </row>
    <row r="191">
      <c r="B191" s="9" t="n"/>
      <c r="C191" s="57" t="n">
        <v>33</v>
      </c>
      <c r="D191" s="41" t="n"/>
      <c r="E191" s="55">
        <f>AI60</f>
        <v/>
      </c>
      <c r="F191" s="41" t="n"/>
      <c r="G191" s="41" t="n"/>
      <c r="H191" s="55">
        <f>AJ60</f>
        <v/>
      </c>
      <c r="I191" s="41" t="n"/>
      <c r="J191" s="41" t="n"/>
      <c r="K191" s="52">
        <f>AM60</f>
        <v/>
      </c>
      <c r="L191" s="41" t="n"/>
      <c r="M191" s="41" t="n"/>
      <c r="N191" s="54">
        <f>AX60</f>
        <v/>
      </c>
      <c r="O191" s="41" t="n"/>
      <c r="P191" s="41" t="n"/>
      <c r="Q191" s="53">
        <f>AY60</f>
        <v/>
      </c>
      <c r="R191" s="41" t="n"/>
      <c r="S191" s="53">
        <f>AQ60</f>
        <v/>
      </c>
      <c r="T191" s="41" t="n"/>
      <c r="U191" s="41" t="n"/>
      <c r="V191" s="53">
        <f>BC60</f>
        <v/>
      </c>
      <c r="W191" s="41" t="n"/>
      <c r="X191" s="41" t="n"/>
      <c r="Y191" s="40">
        <f>BD60</f>
        <v/>
      </c>
      <c r="Z191" s="41" t="n"/>
      <c r="AA191" s="40">
        <f>BE60</f>
        <v/>
      </c>
      <c r="AB191" s="41" t="n"/>
      <c r="AC191" s="53">
        <f>BG60</f>
        <v/>
      </c>
      <c r="AD191" s="41" t="n"/>
      <c r="AE191" s="41" t="n"/>
      <c r="AF191" s="15" t="n"/>
    </row>
    <row r="192">
      <c r="B192" s="9" t="n"/>
      <c r="C192" s="57" t="n">
        <v>34</v>
      </c>
      <c r="D192" s="41" t="n"/>
      <c r="E192" s="55">
        <f>AI61</f>
        <v/>
      </c>
      <c r="F192" s="41" t="n"/>
      <c r="G192" s="41" t="n"/>
      <c r="H192" s="55">
        <f>AJ61</f>
        <v/>
      </c>
      <c r="I192" s="41" t="n"/>
      <c r="J192" s="41" t="n"/>
      <c r="K192" s="52">
        <f>AM61</f>
        <v/>
      </c>
      <c r="L192" s="41" t="n"/>
      <c r="M192" s="41" t="n"/>
      <c r="N192" s="54">
        <f>AX61</f>
        <v/>
      </c>
      <c r="O192" s="41" t="n"/>
      <c r="P192" s="41" t="n"/>
      <c r="Q192" s="53">
        <f>AY61</f>
        <v/>
      </c>
      <c r="R192" s="41" t="n"/>
      <c r="S192" s="53">
        <f>AQ61</f>
        <v/>
      </c>
      <c r="T192" s="41" t="n"/>
      <c r="U192" s="41" t="n"/>
      <c r="V192" s="53">
        <f>BC61</f>
        <v/>
      </c>
      <c r="W192" s="41" t="n"/>
      <c r="X192" s="41" t="n"/>
      <c r="Y192" s="40">
        <f>BD61</f>
        <v/>
      </c>
      <c r="Z192" s="41" t="n"/>
      <c r="AA192" s="40">
        <f>BE61</f>
        <v/>
      </c>
      <c r="AB192" s="41" t="n"/>
      <c r="AC192" s="53">
        <f>BG61</f>
        <v/>
      </c>
      <c r="AD192" s="41" t="n"/>
      <c r="AE192" s="41" t="n"/>
      <c r="AF192" s="15" t="n"/>
    </row>
    <row r="193">
      <c r="B193" s="9" t="n"/>
      <c r="C193" s="57" t="n">
        <v>35</v>
      </c>
      <c r="D193" s="41" t="n"/>
      <c r="E193" s="55">
        <f>AI62</f>
        <v/>
      </c>
      <c r="F193" s="41" t="n"/>
      <c r="G193" s="41" t="n"/>
      <c r="H193" s="55">
        <f>AJ62</f>
        <v/>
      </c>
      <c r="I193" s="41" t="n"/>
      <c r="J193" s="41" t="n"/>
      <c r="K193" s="52">
        <f>AM62</f>
        <v/>
      </c>
      <c r="L193" s="41" t="n"/>
      <c r="M193" s="41" t="n"/>
      <c r="N193" s="54">
        <f>AX62</f>
        <v/>
      </c>
      <c r="O193" s="41" t="n"/>
      <c r="P193" s="41" t="n"/>
      <c r="Q193" s="53">
        <f>AY62</f>
        <v/>
      </c>
      <c r="R193" s="41" t="n"/>
      <c r="S193" s="53">
        <f>AQ62</f>
        <v/>
      </c>
      <c r="T193" s="41" t="n"/>
      <c r="U193" s="41" t="n"/>
      <c r="V193" s="53">
        <f>BC62</f>
        <v/>
      </c>
      <c r="W193" s="41" t="n"/>
      <c r="X193" s="41" t="n"/>
      <c r="Y193" s="40">
        <f>BD62</f>
        <v/>
      </c>
      <c r="Z193" s="41" t="n"/>
      <c r="AA193" s="40">
        <f>BE62</f>
        <v/>
      </c>
      <c r="AB193" s="41" t="n"/>
      <c r="AC193" s="53">
        <f>BG62</f>
        <v/>
      </c>
      <c r="AD193" s="41" t="n"/>
      <c r="AE193" s="41" t="n"/>
      <c r="AF193" s="15" t="n"/>
    </row>
    <row r="194">
      <c r="B194" s="9" t="n"/>
      <c r="C194" s="57" t="n">
        <v>36</v>
      </c>
      <c r="D194" s="41" t="n"/>
      <c r="E194" s="55">
        <f>AI63</f>
        <v/>
      </c>
      <c r="F194" s="41" t="n"/>
      <c r="G194" s="41" t="n"/>
      <c r="H194" s="55">
        <f>AJ63</f>
        <v/>
      </c>
      <c r="I194" s="41" t="n"/>
      <c r="J194" s="41" t="n"/>
      <c r="K194" s="52">
        <f>AM63</f>
        <v/>
      </c>
      <c r="L194" s="41" t="n"/>
      <c r="M194" s="41" t="n"/>
      <c r="N194" s="54">
        <f>AX63</f>
        <v/>
      </c>
      <c r="O194" s="41" t="n"/>
      <c r="P194" s="41" t="n"/>
      <c r="Q194" s="53">
        <f>AY63</f>
        <v/>
      </c>
      <c r="R194" s="41" t="n"/>
      <c r="S194" s="53">
        <f>AQ63</f>
        <v/>
      </c>
      <c r="T194" s="41" t="n"/>
      <c r="U194" s="41" t="n"/>
      <c r="V194" s="53">
        <f>BC63</f>
        <v/>
      </c>
      <c r="W194" s="41" t="n"/>
      <c r="X194" s="41" t="n"/>
      <c r="Y194" s="40">
        <f>BD63</f>
        <v/>
      </c>
      <c r="Z194" s="41" t="n"/>
      <c r="AA194" s="40">
        <f>BE63</f>
        <v/>
      </c>
      <c r="AB194" s="41" t="n"/>
      <c r="AC194" s="53">
        <f>BG63</f>
        <v/>
      </c>
      <c r="AD194" s="41" t="n"/>
      <c r="AE194" s="41" t="n"/>
      <c r="AF194" s="15" t="n"/>
    </row>
    <row r="195">
      <c r="B195" s="9" t="n"/>
      <c r="C195" s="57" t="n">
        <v>37</v>
      </c>
      <c r="D195" s="41" t="n"/>
      <c r="E195" s="55">
        <f>AI64</f>
        <v/>
      </c>
      <c r="F195" s="41" t="n"/>
      <c r="G195" s="41" t="n"/>
      <c r="H195" s="55">
        <f>AJ64</f>
        <v/>
      </c>
      <c r="I195" s="41" t="n"/>
      <c r="J195" s="41" t="n"/>
      <c r="K195" s="52">
        <f>AM64</f>
        <v/>
      </c>
      <c r="L195" s="41" t="n"/>
      <c r="M195" s="41" t="n"/>
      <c r="N195" s="54">
        <f>AX64</f>
        <v/>
      </c>
      <c r="O195" s="41" t="n"/>
      <c r="P195" s="41" t="n"/>
      <c r="Q195" s="53">
        <f>AY64</f>
        <v/>
      </c>
      <c r="R195" s="41" t="n"/>
      <c r="S195" s="53">
        <f>AQ64</f>
        <v/>
      </c>
      <c r="T195" s="41" t="n"/>
      <c r="U195" s="41" t="n"/>
      <c r="V195" s="53">
        <f>BC64</f>
        <v/>
      </c>
      <c r="W195" s="41" t="n"/>
      <c r="X195" s="41" t="n"/>
      <c r="Y195" s="40">
        <f>BD64</f>
        <v/>
      </c>
      <c r="Z195" s="41" t="n"/>
      <c r="AA195" s="40">
        <f>BE64</f>
        <v/>
      </c>
      <c r="AB195" s="41" t="n"/>
      <c r="AC195" s="53">
        <f>BG64</f>
        <v/>
      </c>
      <c r="AD195" s="41" t="n"/>
      <c r="AE195" s="41" t="n"/>
      <c r="AF195" s="15" t="n"/>
    </row>
    <row r="196">
      <c r="B196" s="9" t="n"/>
      <c r="C196" s="57" t="n">
        <v>38</v>
      </c>
      <c r="D196" s="41" t="n"/>
      <c r="E196" s="55">
        <f>AI65</f>
        <v/>
      </c>
      <c r="F196" s="41" t="n"/>
      <c r="G196" s="41" t="n"/>
      <c r="H196" s="55">
        <f>AJ65</f>
        <v/>
      </c>
      <c r="I196" s="41" t="n"/>
      <c r="J196" s="41" t="n"/>
      <c r="K196" s="52">
        <f>AM65</f>
        <v/>
      </c>
      <c r="L196" s="41" t="n"/>
      <c r="M196" s="41" t="n"/>
      <c r="N196" s="54">
        <f>AX65</f>
        <v/>
      </c>
      <c r="O196" s="41" t="n"/>
      <c r="P196" s="41" t="n"/>
      <c r="Q196" s="53">
        <f>AY65</f>
        <v/>
      </c>
      <c r="R196" s="41" t="n"/>
      <c r="S196" s="53">
        <f>AQ65</f>
        <v/>
      </c>
      <c r="T196" s="41" t="n"/>
      <c r="U196" s="41" t="n"/>
      <c r="V196" s="53">
        <f>BC65</f>
        <v/>
      </c>
      <c r="W196" s="41" t="n"/>
      <c r="X196" s="41" t="n"/>
      <c r="Y196" s="40">
        <f>BD65</f>
        <v/>
      </c>
      <c r="Z196" s="41" t="n"/>
      <c r="AA196" s="40">
        <f>BE65</f>
        <v/>
      </c>
      <c r="AB196" s="41" t="n"/>
      <c r="AC196" s="53">
        <f>BG65</f>
        <v/>
      </c>
      <c r="AD196" s="41" t="n"/>
      <c r="AE196" s="41" t="n"/>
      <c r="AF196" s="15" t="n"/>
    </row>
    <row r="197">
      <c r="B197" s="9" t="n"/>
      <c r="C197" s="57" t="n">
        <v>39</v>
      </c>
      <c r="D197" s="41" t="n"/>
      <c r="E197" s="55">
        <f>AI66</f>
        <v/>
      </c>
      <c r="F197" s="41" t="n"/>
      <c r="G197" s="41" t="n"/>
      <c r="H197" s="55">
        <f>AJ66</f>
        <v/>
      </c>
      <c r="I197" s="41" t="n"/>
      <c r="J197" s="41" t="n"/>
      <c r="K197" s="52">
        <f>AM66</f>
        <v/>
      </c>
      <c r="L197" s="41" t="n"/>
      <c r="M197" s="41" t="n"/>
      <c r="N197" s="54">
        <f>AX66</f>
        <v/>
      </c>
      <c r="O197" s="41" t="n"/>
      <c r="P197" s="41" t="n"/>
      <c r="Q197" s="53">
        <f>AY66</f>
        <v/>
      </c>
      <c r="R197" s="41" t="n"/>
      <c r="S197" s="53">
        <f>AQ66</f>
        <v/>
      </c>
      <c r="T197" s="41" t="n"/>
      <c r="U197" s="41" t="n"/>
      <c r="V197" s="53">
        <f>BC66</f>
        <v/>
      </c>
      <c r="W197" s="41" t="n"/>
      <c r="X197" s="41" t="n"/>
      <c r="Y197" s="40">
        <f>BD66</f>
        <v/>
      </c>
      <c r="Z197" s="41" t="n"/>
      <c r="AA197" s="40">
        <f>BE66</f>
        <v/>
      </c>
      <c r="AB197" s="41" t="n"/>
      <c r="AC197" s="53">
        <f>BG66</f>
        <v/>
      </c>
      <c r="AD197" s="41" t="n"/>
      <c r="AE197" s="41" t="n"/>
      <c r="AF197" s="15" t="n"/>
    </row>
    <row r="198">
      <c r="B198" s="9" t="n"/>
      <c r="C198" s="57" t="n">
        <v>40</v>
      </c>
      <c r="D198" s="41" t="n"/>
      <c r="E198" s="55">
        <f>AI67</f>
        <v/>
      </c>
      <c r="F198" s="41" t="n"/>
      <c r="G198" s="41" t="n"/>
      <c r="H198" s="55">
        <f>AJ67</f>
        <v/>
      </c>
      <c r="I198" s="41" t="n"/>
      <c r="J198" s="41" t="n"/>
      <c r="K198" s="52">
        <f>AM67</f>
        <v/>
      </c>
      <c r="L198" s="41" t="n"/>
      <c r="M198" s="41" t="n"/>
      <c r="N198" s="54">
        <f>AX67</f>
        <v/>
      </c>
      <c r="O198" s="41" t="n"/>
      <c r="P198" s="41" t="n"/>
      <c r="Q198" s="53">
        <f>AY67</f>
        <v/>
      </c>
      <c r="R198" s="41" t="n"/>
      <c r="S198" s="53">
        <f>AQ67</f>
        <v/>
      </c>
      <c r="T198" s="41" t="n"/>
      <c r="U198" s="41" t="n"/>
      <c r="V198" s="53">
        <f>BC67</f>
        <v/>
      </c>
      <c r="W198" s="41" t="n"/>
      <c r="X198" s="41" t="n"/>
      <c r="Y198" s="40">
        <f>BD67</f>
        <v/>
      </c>
      <c r="Z198" s="41" t="n"/>
      <c r="AA198" s="40">
        <f>BE67</f>
        <v/>
      </c>
      <c r="AB198" s="41" t="n"/>
      <c r="AC198" s="53">
        <f>BG67</f>
        <v/>
      </c>
      <c r="AD198" s="41" t="n"/>
      <c r="AE198" s="41" t="n"/>
      <c r="AF198" s="15" t="n"/>
    </row>
    <row r="199">
      <c r="B199" s="9" t="n"/>
      <c r="C199" s="69" t="n">
        <v>41</v>
      </c>
      <c r="D199" s="46" t="n"/>
      <c r="E199" s="70">
        <f>AI68</f>
        <v/>
      </c>
      <c r="F199" s="46" t="n"/>
      <c r="G199" s="46" t="n"/>
      <c r="H199" s="70">
        <f>AJ68</f>
        <v/>
      </c>
      <c r="I199" s="46" t="n"/>
      <c r="J199" s="46" t="n"/>
      <c r="K199" s="59">
        <f>AM68</f>
        <v/>
      </c>
      <c r="L199" s="46" t="n"/>
      <c r="M199" s="46" t="n"/>
      <c r="N199" s="74">
        <f>AX68</f>
        <v/>
      </c>
      <c r="O199" s="46" t="n"/>
      <c r="P199" s="46" t="n"/>
      <c r="Q199" s="60">
        <f>AY68</f>
        <v/>
      </c>
      <c r="R199" s="46" t="n"/>
      <c r="S199" s="60">
        <f>AQ68</f>
        <v/>
      </c>
      <c r="T199" s="46" t="n"/>
      <c r="U199" s="46" t="n"/>
      <c r="V199" s="60">
        <f>BC68</f>
        <v/>
      </c>
      <c r="W199" s="46" t="n"/>
      <c r="X199" s="46" t="n"/>
      <c r="Y199" s="45">
        <f>BD68</f>
        <v/>
      </c>
      <c r="Z199" s="46" t="n"/>
      <c r="AA199" s="45">
        <f>BE68</f>
        <v/>
      </c>
      <c r="AB199" s="46" t="n"/>
      <c r="AC199" s="60">
        <f>BG68</f>
        <v/>
      </c>
      <c r="AD199" s="46" t="n"/>
      <c r="AE199" s="46" t="n"/>
      <c r="AF199" s="15" t="n"/>
    </row>
    <row r="200">
      <c r="B200" s="9" t="n"/>
      <c r="AF200" s="15" t="n"/>
    </row>
    <row r="201">
      <c r="B201" s="9" t="n"/>
      <c r="C201" s="25" t="inlineStr">
        <is>
          <t>Total immediate settlement</t>
        </is>
      </c>
      <c r="O201" s="26" t="inlineStr">
        <is>
          <t>Si = Σ Si</t>
        </is>
      </c>
      <c r="X201" s="27" t="inlineStr">
        <is>
          <t>Si =</t>
        </is>
      </c>
      <c r="Y201" s="13" t="n"/>
      <c r="Z201" s="13" t="n"/>
      <c r="AA201" s="30">
        <f>SUM(BG28:BG68)</f>
        <v/>
      </c>
      <c r="AB201" s="13" t="n"/>
      <c r="AC201" s="13" t="n"/>
      <c r="AD201" s="25" t="inlineStr">
        <is>
          <t>mm</t>
        </is>
      </c>
      <c r="AF201" s="15" t="n"/>
    </row>
    <row r="202">
      <c r="B202" s="9" t="n"/>
      <c r="C202" s="25" t="inlineStr">
        <is>
          <t xml:space="preserve">   - contribution of sand layers</t>
        </is>
      </c>
      <c r="O202" s="26" t="inlineStr"/>
      <c r="X202" s="27" t="inlineStr"/>
      <c r="Y202" s="13" t="n"/>
      <c r="Z202" s="13" t="n"/>
      <c r="AA202" s="62">
        <f>SUMPRODUCT(--(AM28:AM68="Sand"),BG28:BG68)</f>
        <v/>
      </c>
      <c r="AB202" s="13" t="n"/>
      <c r="AC202" s="13" t="n"/>
      <c r="AD202" s="25" t="inlineStr">
        <is>
          <t>mm</t>
        </is>
      </c>
      <c r="AF202" s="15" t="n"/>
    </row>
    <row r="203">
      <c r="B203" s="9" t="n"/>
      <c r="C203" s="25" t="inlineStr">
        <is>
          <t xml:space="preserve">   - contribution of silt/clay layers</t>
        </is>
      </c>
      <c r="O203" s="26" t="inlineStr"/>
      <c r="X203" s="27" t="inlineStr"/>
      <c r="Y203" s="13" t="n"/>
      <c r="Z203" s="13" t="n"/>
      <c r="AA203" s="62">
        <f>$AA$201-$AA$202</f>
        <v/>
      </c>
      <c r="AB203" s="13" t="n"/>
      <c r="AC203" s="13" t="n"/>
      <c r="AD203" s="25" t="inlineStr">
        <is>
          <t>mm</t>
        </is>
      </c>
      <c r="AF203" s="15" t="n"/>
    </row>
    <row r="204">
      <c r="B204" s="9" t="n"/>
      <c r="AF204" s="15" t="n"/>
    </row>
    <row r="205">
      <c r="B205" s="9" t="n"/>
      <c r="AF205" s="15" t="n"/>
    </row>
    <row r="206">
      <c r="B206" s="9" t="n"/>
      <c r="AF206" s="15" t="n"/>
    </row>
    <row r="207">
      <c r="B207" s="9" t="n"/>
      <c r="AF207" s="15" t="n"/>
    </row>
    <row r="208">
      <c r="B208" s="9" t="n"/>
      <c r="AF208" s="15" t="n"/>
    </row>
    <row r="209">
      <c r="B209" s="9" t="n"/>
      <c r="AF209" s="15" t="n"/>
    </row>
    <row r="210">
      <c r="B210" s="9" t="n"/>
      <c r="AF210" s="15" t="n"/>
    </row>
    <row r="211">
      <c r="B211" s="9" t="n"/>
      <c r="AF211" s="15" t="n"/>
    </row>
    <row r="212">
      <c r="B212" s="9" t="n"/>
      <c r="AF212" s="15" t="n"/>
    </row>
    <row r="213">
      <c r="B213" s="9" t="n"/>
      <c r="AF213" s="15" t="n"/>
    </row>
    <row r="214">
      <c r="B214" s="9" t="n"/>
      <c r="AF214" s="15" t="n"/>
    </row>
    <row r="215">
      <c r="B215" s="9" t="n"/>
      <c r="AF215" s="15" t="n"/>
    </row>
    <row r="216">
      <c r="B216" s="9" t="n"/>
      <c r="AF216" s="15" t="n"/>
    </row>
    <row r="217">
      <c r="B217" s="47" t="n"/>
      <c r="C217" s="48" t="n"/>
      <c r="D217" s="48" t="n"/>
      <c r="E217" s="48" t="n"/>
      <c r="F217" s="48" t="n"/>
      <c r="G217" s="48" t="n"/>
      <c r="H217" s="48" t="n"/>
      <c r="I217" s="48" t="n"/>
      <c r="J217" s="48" t="n"/>
      <c r="K217" s="48" t="n"/>
      <c r="L217" s="48" t="n"/>
      <c r="M217" s="48" t="n"/>
      <c r="N217" s="48" t="n"/>
      <c r="O217" s="48" t="n"/>
      <c r="P217" s="48" t="n"/>
      <c r="Q217" s="48" t="n"/>
      <c r="R217" s="48" t="n"/>
      <c r="S217" s="48" t="n"/>
      <c r="T217" s="48" t="n"/>
      <c r="U217" s="48" t="n"/>
      <c r="V217" s="48" t="n"/>
      <c r="W217" s="48" t="n"/>
      <c r="X217" s="49" t="inlineStr">
        <is>
          <t>Sheet :</t>
        </is>
      </c>
      <c r="Y217" s="48" t="n"/>
      <c r="Z217" s="48" t="n"/>
      <c r="AA217" s="48" t="n"/>
      <c r="AB217" s="49" t="n">
        <v>3</v>
      </c>
      <c r="AC217" s="48" t="n"/>
      <c r="AD217" s="48" t="n"/>
      <c r="AE217" s="48" t="n"/>
      <c r="AF217" s="50" t="n"/>
    </row>
    <row r="218">
      <c r="B218" s="1" t="n"/>
      <c r="C218" s="2" t="inlineStr">
        <is>
          <t>PROJECT :</t>
        </is>
      </c>
      <c r="D218" s="3" t="n"/>
      <c r="E218" s="3" t="n"/>
      <c r="F218" s="3" t="n"/>
      <c r="G218" s="3" t="n"/>
      <c r="H218" s="4" t="inlineStr">
        <is>
          <t>GEOTHERMAL WELLPAD PSPE BORA PULU - SIGI, CENTRAL SULAWESI</t>
        </is>
      </c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5" t="inlineStr">
        <is>
          <t>Prepared by :</t>
        </is>
      </c>
      <c r="Y218" s="6" t="n"/>
      <c r="Z218" s="6" t="n"/>
      <c r="AA218" s="6" t="n"/>
      <c r="AB218" s="7" t="inlineStr">
        <is>
          <t>Date</t>
        </is>
      </c>
      <c r="AC218" s="6" t="n"/>
      <c r="AD218" s="6" t="n"/>
      <c r="AE218" s="6" t="n"/>
      <c r="AF218" s="8" t="n"/>
    </row>
    <row r="219">
      <c r="B219" s="9" t="n"/>
      <c r="C219" s="10" t="inlineStr">
        <is>
          <t>CLIENT :</t>
        </is>
      </c>
      <c r="H219" s="11" t="inlineStr">
        <is>
          <t>PT EDC PANAS BUMI INDONESIA</t>
        </is>
      </c>
      <c r="X219" s="12" t="inlineStr">
        <is>
          <t>DF</t>
        </is>
      </c>
      <c r="Y219" s="13" t="n"/>
      <c r="Z219" s="13" t="n"/>
      <c r="AA219" s="13" t="n"/>
      <c r="AB219" s="14" t="n">
        <v>46301</v>
      </c>
      <c r="AC219" s="13" t="n"/>
      <c r="AD219" s="13" t="n"/>
      <c r="AE219" s="13" t="n"/>
      <c r="AF219" s="15" t="n"/>
    </row>
    <row r="220">
      <c r="B220" s="9" t="n"/>
      <c r="C220" s="10" t="inlineStr">
        <is>
          <t>LOCATION :</t>
        </is>
      </c>
      <c r="H220" s="11" t="inlineStr">
        <is>
          <t>BH-05 (Wellpad A)</t>
        </is>
      </c>
      <c r="X220" s="12" t="inlineStr">
        <is>
          <t>Verified by :</t>
        </is>
      </c>
      <c r="Y220" s="13" t="n"/>
      <c r="Z220" s="13" t="n"/>
      <c r="AA220" s="13" t="n"/>
      <c r="AB220" s="14" t="inlineStr">
        <is>
          <t>Date</t>
        </is>
      </c>
      <c r="AC220" s="13" t="n"/>
      <c r="AD220" s="13" t="n"/>
      <c r="AE220" s="13" t="n"/>
      <c r="AF220" s="15" t="n"/>
    </row>
    <row r="221">
      <c r="B221" s="16" t="n"/>
      <c r="C221" s="17" t="inlineStr">
        <is>
          <t>SHEET :</t>
        </is>
      </c>
      <c r="D221" s="18" t="n"/>
      <c r="E221" s="18" t="n"/>
      <c r="F221" s="18" t="n"/>
      <c r="G221" s="18" t="n"/>
      <c r="H221" s="19" t="inlineStr">
        <is>
          <t>BEARING CAPACITY AND SETTLEMENT OF SUBGRADE</t>
        </is>
      </c>
      <c r="I221" s="18" t="n"/>
      <c r="J221" s="18" t="n"/>
      <c r="K221" s="18" t="n"/>
      <c r="L221" s="18" t="n"/>
      <c r="M221" s="18" t="n"/>
      <c r="N221" s="18" t="n"/>
      <c r="O221" s="18" t="n"/>
      <c r="P221" s="18" t="n"/>
      <c r="Q221" s="18" t="n"/>
      <c r="R221" s="18" t="n"/>
      <c r="S221" s="18" t="n"/>
      <c r="T221" s="18" t="n"/>
      <c r="U221" s="18" t="n"/>
      <c r="V221" s="18" t="n"/>
      <c r="W221" s="18" t="n"/>
      <c r="X221" s="20" t="inlineStr">
        <is>
          <t>BC</t>
        </is>
      </c>
      <c r="Y221" s="21" t="n"/>
      <c r="Z221" s="21" t="n"/>
      <c r="AA221" s="21" t="n"/>
      <c r="AB221" s="22" t="n">
        <v>46301</v>
      </c>
      <c r="AC221" s="21" t="n"/>
      <c r="AD221" s="21" t="n"/>
      <c r="AE221" s="21" t="n"/>
      <c r="AF221" s="23" t="n"/>
    </row>
    <row r="222">
      <c r="B222" s="9" t="n"/>
      <c r="AF222" s="15" t="n"/>
    </row>
    <row r="223">
      <c r="B223" s="9" t="n"/>
      <c r="C223" s="11" t="inlineStr">
        <is>
          <t>4.1. Check for granular soil - Burland &amp; Burbidge (1985), normally consolidated sand</t>
        </is>
      </c>
      <c r="AF223" s="15" t="n"/>
    </row>
    <row r="224">
      <c r="B224" s="9" t="n"/>
      <c r="C224" s="26" t="inlineStr">
        <is>
          <t xml:space="preserve">      S = fs · fl · q · B^0.7 · Ic ,   Ic = 1.71 / N̄^1.4 ,   zI = B^0.763</t>
        </is>
      </c>
      <c r="AF224" s="15" t="n"/>
    </row>
    <row r="225">
      <c r="B225" s="9" t="n"/>
      <c r="C225" s="25" t="inlineStr">
        <is>
          <t>Depth of influence</t>
        </is>
      </c>
      <c r="O225" s="26" t="inlineStr">
        <is>
          <t>zI = B^0.763</t>
        </is>
      </c>
      <c r="X225" s="27" t="inlineStr">
        <is>
          <t>zI =</t>
        </is>
      </c>
      <c r="Y225" s="13" t="n"/>
      <c r="Z225" s="13" t="n"/>
      <c r="AA225" s="61">
        <f>MIN(Input!$AA$15^0.763,AJ68)</f>
        <v/>
      </c>
      <c r="AB225" s="13" t="n"/>
      <c r="AC225" s="13" t="n"/>
      <c r="AD225" s="25" t="inlineStr">
        <is>
          <t>m</t>
        </is>
      </c>
      <c r="AF225" s="15" t="n"/>
    </row>
    <row r="226">
      <c r="B226" s="9" t="n"/>
      <c r="C226" s="25" t="inlineStr">
        <is>
          <t>Average measured N within zI</t>
        </is>
      </c>
      <c r="O226" s="26" t="inlineStr"/>
      <c r="X226" s="27" t="inlineStr">
        <is>
          <t>N̄ =</t>
        </is>
      </c>
      <c r="Y226" s="13" t="n"/>
      <c r="Z226" s="13" t="n"/>
      <c r="AA226" s="62">
        <f>SUMPRODUCT(BP28:BP68,AN28:AN68)/$AA$225</f>
        <v/>
      </c>
      <c r="AB226" s="13" t="n"/>
      <c r="AC226" s="13" t="n"/>
      <c r="AD226" s="25" t="inlineStr">
        <is>
          <t>-</t>
        </is>
      </c>
      <c r="AF226" s="15" t="n"/>
    </row>
    <row r="227">
      <c r="B227" s="9" t="n"/>
      <c r="C227" s="25" t="inlineStr">
        <is>
          <t>Compressibility index</t>
        </is>
      </c>
      <c r="O227" s="26" t="inlineStr">
        <is>
          <t>Ic = 1.71 / N̄^1.4</t>
        </is>
      </c>
      <c r="X227" s="27" t="inlineStr">
        <is>
          <t>Ic =</t>
        </is>
      </c>
      <c r="Y227" s="13" t="n"/>
      <c r="Z227" s="13" t="n"/>
      <c r="AA227" s="75">
        <f>1.71/$AA$226^1.4</f>
        <v/>
      </c>
      <c r="AB227" s="13" t="n"/>
      <c r="AC227" s="13" t="n"/>
      <c r="AD227" s="25" t="inlineStr">
        <is>
          <t>-</t>
        </is>
      </c>
      <c r="AF227" s="15" t="n"/>
    </row>
    <row r="228">
      <c r="B228" s="9" t="n"/>
      <c r="C228" s="25" t="inlineStr">
        <is>
          <t>Shape factor</t>
        </is>
      </c>
      <c r="O228" s="26" t="inlineStr">
        <is>
          <t>fs = [1.25(L/B)/(L/B+0.25)]²</t>
        </is>
      </c>
      <c r="X228" s="27" t="inlineStr">
        <is>
          <t>fs =</t>
        </is>
      </c>
      <c r="Y228" s="13" t="n"/>
      <c r="Z228" s="13" t="n"/>
      <c r="AA228" s="61">
        <f>(1.25*Input!$AA$16/Input!$AA$15/(Input!$AA$16/Input!$AA$15+0.25))^2</f>
        <v/>
      </c>
      <c r="AB228" s="13" t="n"/>
      <c r="AC228" s="13" t="n"/>
      <c r="AD228" s="25" t="inlineStr">
        <is>
          <t>-</t>
        </is>
      </c>
      <c r="AF228" s="15" t="n"/>
    </row>
    <row r="229">
      <c r="B229" s="9" t="n"/>
      <c r="C229" s="25" t="inlineStr">
        <is>
          <t>Settlement of sand (fl = 1)</t>
        </is>
      </c>
      <c r="O229" s="26" t="inlineStr">
        <is>
          <t>S = fs·q·B^0.7·Ic</t>
        </is>
      </c>
      <c r="X229" s="27" t="inlineStr">
        <is>
          <t>S =</t>
        </is>
      </c>
      <c r="Y229" s="13" t="n"/>
      <c r="Z229" s="13" t="n"/>
      <c r="AA229" s="30">
        <f>$AA$228*Input!$AA$14*Input!$AA$15^0.7*$AA$227</f>
        <v/>
      </c>
      <c r="AB229" s="13" t="n"/>
      <c r="AC229" s="13" t="n"/>
      <c r="AD229" s="25" t="inlineStr">
        <is>
          <t>mm</t>
        </is>
      </c>
      <c r="AF229" s="15" t="n"/>
    </row>
    <row r="230">
      <c r="B230" s="9" t="n"/>
      <c r="C230" s="24" t="inlineStr">
        <is>
          <t>Burland &amp; Burbidge assumes the whole influence zone is sand; where silt/clay is present the layered elastic value governs.</t>
        </is>
      </c>
      <c r="AF230" s="15" t="n"/>
    </row>
    <row r="231">
      <c r="B231" s="9" t="n"/>
      <c r="AF231" s="15" t="n"/>
    </row>
    <row r="232">
      <c r="B232" s="9" t="n"/>
      <c r="C232" s="11" t="inlineStr">
        <is>
          <t>5. PRIMARY CONSOLIDATION SETTLEMENT (silt/clay layers, design condition)</t>
        </is>
      </c>
      <c r="AF232" s="15" t="n"/>
    </row>
    <row r="233">
      <c r="B233" s="9" t="n"/>
      <c r="C233" s="25" t="inlineStr">
        <is>
          <t>Sc = h/(1+e0) · [Cr·log(σ'p/σ'v0) + Cc·log((σ'v0+Δσz)/σ'p)]  (Das 2019); Δσz from Boussinesq at the centre of the area;</t>
        </is>
      </c>
      <c r="AF233" s="15" t="n"/>
    </row>
    <row r="234">
      <c r="B234" s="9" t="n"/>
      <c r="C234" s="25" t="inlineStr">
        <is>
          <t>σ'p = max(cu/0.22 ; σ'v0) (Mesri 1975); t90 = Tv·Hdr²/Cv with double drainage (Hdr = h/2), layers bounded by sand.</t>
        </is>
      </c>
      <c r="AF234" s="15" t="n"/>
    </row>
    <row r="235">
      <c r="B235" s="9" t="n"/>
      <c r="C235" s="25" t="inlineStr">
        <is>
          <t>Table 3. Consolidation settlement of BH-05</t>
        </is>
      </c>
      <c r="AF235" s="15" t="n"/>
    </row>
    <row r="236" ht="27" customHeight="1">
      <c r="B236" s="9" t="n"/>
      <c r="C236" s="33" t="inlineStr">
        <is>
          <t>No</t>
        </is>
      </c>
      <c r="D236" s="34" t="n"/>
      <c r="E236" s="33" t="inlineStr">
        <is>
          <t>Top</t>
        </is>
      </c>
      <c r="F236" s="34" t="n"/>
      <c r="G236" s="34" t="n"/>
      <c r="H236" s="33" t="inlineStr">
        <is>
          <t>Soil</t>
        </is>
      </c>
      <c r="I236" s="34" t="n"/>
      <c r="J236" s="34" t="n"/>
      <c r="K236" s="33" t="inlineStr">
        <is>
          <t>σ'v0</t>
        </is>
      </c>
      <c r="L236" s="34" t="n"/>
      <c r="M236" s="34" t="n"/>
      <c r="N236" s="33" t="inlineStr">
        <is>
          <t>Δσz</t>
        </is>
      </c>
      <c r="O236" s="34" t="n"/>
      <c r="P236" s="34" t="n"/>
      <c r="Q236" s="33" t="inlineStr">
        <is>
          <t>σ'p</t>
        </is>
      </c>
      <c r="R236" s="34" t="n"/>
      <c r="S236" s="34" t="n"/>
      <c r="T236" s="33" t="inlineStr">
        <is>
          <t>e0</t>
        </is>
      </c>
      <c r="U236" s="34" t="n"/>
      <c r="V236" s="33" t="inlineStr">
        <is>
          <t>Cc</t>
        </is>
      </c>
      <c r="W236" s="34" t="n"/>
      <c r="X236" s="33" t="inlineStr">
        <is>
          <t>Cr</t>
        </is>
      </c>
      <c r="Y236" s="34" t="n"/>
      <c r="Z236" s="33" t="inlineStr">
        <is>
          <t>Sc</t>
        </is>
      </c>
      <c r="AA236" s="34" t="n"/>
      <c r="AB236" s="34" t="n"/>
      <c r="AC236" s="33" t="inlineStr">
        <is>
          <t>t90</t>
        </is>
      </c>
      <c r="AD236" s="34" t="n"/>
      <c r="AE236" s="34" t="n"/>
      <c r="AF236" s="15" t="n"/>
    </row>
    <row r="237">
      <c r="B237" s="9" t="n"/>
      <c r="C237" s="35" t="inlineStr"/>
      <c r="D237" s="36" t="n"/>
      <c r="E237" s="35" t="inlineStr">
        <is>
          <t>m</t>
        </is>
      </c>
      <c r="F237" s="36" t="n"/>
      <c r="G237" s="36" t="n"/>
      <c r="H237" s="35" t="inlineStr"/>
      <c r="I237" s="36" t="n"/>
      <c r="J237" s="36" t="n"/>
      <c r="K237" s="35" t="inlineStr">
        <is>
          <t>kPa</t>
        </is>
      </c>
      <c r="L237" s="36" t="n"/>
      <c r="M237" s="36" t="n"/>
      <c r="N237" s="35" t="inlineStr">
        <is>
          <t>kPa</t>
        </is>
      </c>
      <c r="O237" s="36" t="n"/>
      <c r="P237" s="36" t="n"/>
      <c r="Q237" s="35" t="inlineStr">
        <is>
          <t>kPa</t>
        </is>
      </c>
      <c r="R237" s="36" t="n"/>
      <c r="S237" s="36" t="n"/>
      <c r="T237" s="35" t="inlineStr">
        <is>
          <t>-</t>
        </is>
      </c>
      <c r="U237" s="36" t="n"/>
      <c r="V237" s="35" t="inlineStr">
        <is>
          <t>-</t>
        </is>
      </c>
      <c r="W237" s="36" t="n"/>
      <c r="X237" s="35" t="inlineStr">
        <is>
          <t>-</t>
        </is>
      </c>
      <c r="Y237" s="36" t="n"/>
      <c r="Z237" s="35" t="inlineStr">
        <is>
          <t>mm</t>
        </is>
      </c>
      <c r="AA237" s="36" t="n"/>
      <c r="AB237" s="36" t="n"/>
      <c r="AC237" s="35" t="inlineStr">
        <is>
          <t>year</t>
        </is>
      </c>
      <c r="AD237" s="36" t="n"/>
      <c r="AE237" s="36" t="n"/>
      <c r="AF237" s="15" t="n"/>
    </row>
    <row r="238">
      <c r="B238" s="9" t="n"/>
      <c r="C238" s="57" t="n">
        <v>1</v>
      </c>
      <c r="D238" s="41" t="n"/>
      <c r="E238" s="55">
        <f>AI28</f>
        <v/>
      </c>
      <c r="F238" s="41" t="n"/>
      <c r="G238" s="41" t="n"/>
      <c r="H238" s="52">
        <f>AM28</f>
        <v/>
      </c>
      <c r="I238" s="41" t="n"/>
      <c r="J238" s="41" t="n"/>
      <c r="K238" s="53">
        <f>AQ28</f>
        <v/>
      </c>
      <c r="L238" s="41" t="n"/>
      <c r="M238" s="41" t="n"/>
      <c r="N238" s="53">
        <f>BC28</f>
        <v/>
      </c>
      <c r="O238" s="41" t="n"/>
      <c r="P238" s="41" t="n"/>
      <c r="Q238" s="66">
        <f>BJ28</f>
        <v/>
      </c>
      <c r="R238" s="41" t="n"/>
      <c r="S238" s="41" t="n"/>
      <c r="T238" s="55">
        <f>AU28</f>
        <v/>
      </c>
      <c r="U238" s="41" t="n"/>
      <c r="V238" s="76">
        <f>BH28</f>
        <v/>
      </c>
      <c r="W238" s="41" t="n"/>
      <c r="X238" s="76">
        <f>BI28</f>
        <v/>
      </c>
      <c r="Y238" s="41" t="n"/>
      <c r="Z238" s="77">
        <f>BK28</f>
        <v/>
      </c>
      <c r="AA238" s="41" t="n"/>
      <c r="AB238" s="41" t="n"/>
      <c r="AC238" s="78">
        <f>BM28</f>
        <v/>
      </c>
      <c r="AD238" s="41" t="n"/>
      <c r="AE238" s="41" t="n"/>
      <c r="AF238" s="15" t="n"/>
    </row>
    <row r="239">
      <c r="B239" s="9" t="n"/>
      <c r="C239" s="57" t="n">
        <v>2</v>
      </c>
      <c r="D239" s="41" t="n"/>
      <c r="E239" s="55">
        <f>AI29</f>
        <v/>
      </c>
      <c r="F239" s="41" t="n"/>
      <c r="G239" s="41" t="n"/>
      <c r="H239" s="52">
        <f>AM29</f>
        <v/>
      </c>
      <c r="I239" s="41" t="n"/>
      <c r="J239" s="41" t="n"/>
      <c r="K239" s="53">
        <f>AQ29</f>
        <v/>
      </c>
      <c r="L239" s="41" t="n"/>
      <c r="M239" s="41" t="n"/>
      <c r="N239" s="53">
        <f>BC29</f>
        <v/>
      </c>
      <c r="O239" s="41" t="n"/>
      <c r="P239" s="41" t="n"/>
      <c r="Q239" s="66">
        <f>BJ29</f>
        <v/>
      </c>
      <c r="R239" s="41" t="n"/>
      <c r="S239" s="41" t="n"/>
      <c r="T239" s="55">
        <f>AU29</f>
        <v/>
      </c>
      <c r="U239" s="41" t="n"/>
      <c r="V239" s="76">
        <f>BH29</f>
        <v/>
      </c>
      <c r="W239" s="41" t="n"/>
      <c r="X239" s="76">
        <f>BI29</f>
        <v/>
      </c>
      <c r="Y239" s="41" t="n"/>
      <c r="Z239" s="77">
        <f>BK29</f>
        <v/>
      </c>
      <c r="AA239" s="41" t="n"/>
      <c r="AB239" s="41" t="n"/>
      <c r="AC239" s="78">
        <f>BM29</f>
        <v/>
      </c>
      <c r="AD239" s="41" t="n"/>
      <c r="AE239" s="41" t="n"/>
      <c r="AF239" s="15" t="n"/>
    </row>
    <row r="240">
      <c r="B240" s="9" t="n"/>
      <c r="C240" s="57" t="n">
        <v>3</v>
      </c>
      <c r="D240" s="41" t="n"/>
      <c r="E240" s="55">
        <f>AI30</f>
        <v/>
      </c>
      <c r="F240" s="41" t="n"/>
      <c r="G240" s="41" t="n"/>
      <c r="H240" s="52">
        <f>AM30</f>
        <v/>
      </c>
      <c r="I240" s="41" t="n"/>
      <c r="J240" s="41" t="n"/>
      <c r="K240" s="53">
        <f>AQ30</f>
        <v/>
      </c>
      <c r="L240" s="41" t="n"/>
      <c r="M240" s="41" t="n"/>
      <c r="N240" s="53">
        <f>BC30</f>
        <v/>
      </c>
      <c r="O240" s="41" t="n"/>
      <c r="P240" s="41" t="n"/>
      <c r="Q240" s="66">
        <f>BJ30</f>
        <v/>
      </c>
      <c r="R240" s="41" t="n"/>
      <c r="S240" s="41" t="n"/>
      <c r="T240" s="55">
        <f>AU30</f>
        <v/>
      </c>
      <c r="U240" s="41" t="n"/>
      <c r="V240" s="76">
        <f>BH30</f>
        <v/>
      </c>
      <c r="W240" s="41" t="n"/>
      <c r="X240" s="76">
        <f>BI30</f>
        <v/>
      </c>
      <c r="Y240" s="41" t="n"/>
      <c r="Z240" s="77">
        <f>BK30</f>
        <v/>
      </c>
      <c r="AA240" s="41" t="n"/>
      <c r="AB240" s="41" t="n"/>
      <c r="AC240" s="78">
        <f>BM30</f>
        <v/>
      </c>
      <c r="AD240" s="41" t="n"/>
      <c r="AE240" s="41" t="n"/>
      <c r="AF240" s="15" t="n"/>
    </row>
    <row r="241">
      <c r="B241" s="9" t="n"/>
      <c r="C241" s="57" t="n">
        <v>4</v>
      </c>
      <c r="D241" s="41" t="n"/>
      <c r="E241" s="55">
        <f>AI31</f>
        <v/>
      </c>
      <c r="F241" s="41" t="n"/>
      <c r="G241" s="41" t="n"/>
      <c r="H241" s="52">
        <f>AM31</f>
        <v/>
      </c>
      <c r="I241" s="41" t="n"/>
      <c r="J241" s="41" t="n"/>
      <c r="K241" s="53">
        <f>AQ31</f>
        <v/>
      </c>
      <c r="L241" s="41" t="n"/>
      <c r="M241" s="41" t="n"/>
      <c r="N241" s="53">
        <f>BC31</f>
        <v/>
      </c>
      <c r="O241" s="41" t="n"/>
      <c r="P241" s="41" t="n"/>
      <c r="Q241" s="66">
        <f>BJ31</f>
        <v/>
      </c>
      <c r="R241" s="41" t="n"/>
      <c r="S241" s="41" t="n"/>
      <c r="T241" s="55">
        <f>AU31</f>
        <v/>
      </c>
      <c r="U241" s="41" t="n"/>
      <c r="V241" s="76">
        <f>BH31</f>
        <v/>
      </c>
      <c r="W241" s="41" t="n"/>
      <c r="X241" s="76">
        <f>BI31</f>
        <v/>
      </c>
      <c r="Y241" s="41" t="n"/>
      <c r="Z241" s="77">
        <f>BK31</f>
        <v/>
      </c>
      <c r="AA241" s="41" t="n"/>
      <c r="AB241" s="41" t="n"/>
      <c r="AC241" s="78">
        <f>BM31</f>
        <v/>
      </c>
      <c r="AD241" s="41" t="n"/>
      <c r="AE241" s="41" t="n"/>
      <c r="AF241" s="15" t="n"/>
    </row>
    <row r="242">
      <c r="B242" s="9" t="n"/>
      <c r="C242" s="57" t="n">
        <v>5</v>
      </c>
      <c r="D242" s="41" t="n"/>
      <c r="E242" s="55">
        <f>AI32</f>
        <v/>
      </c>
      <c r="F242" s="41" t="n"/>
      <c r="G242" s="41" t="n"/>
      <c r="H242" s="52">
        <f>AM32</f>
        <v/>
      </c>
      <c r="I242" s="41" t="n"/>
      <c r="J242" s="41" t="n"/>
      <c r="K242" s="53">
        <f>AQ32</f>
        <v/>
      </c>
      <c r="L242" s="41" t="n"/>
      <c r="M242" s="41" t="n"/>
      <c r="N242" s="53">
        <f>BC32</f>
        <v/>
      </c>
      <c r="O242" s="41" t="n"/>
      <c r="P242" s="41" t="n"/>
      <c r="Q242" s="66">
        <f>BJ32</f>
        <v/>
      </c>
      <c r="R242" s="41" t="n"/>
      <c r="S242" s="41" t="n"/>
      <c r="T242" s="55">
        <f>AU32</f>
        <v/>
      </c>
      <c r="U242" s="41" t="n"/>
      <c r="V242" s="76">
        <f>BH32</f>
        <v/>
      </c>
      <c r="W242" s="41" t="n"/>
      <c r="X242" s="76">
        <f>BI32</f>
        <v/>
      </c>
      <c r="Y242" s="41" t="n"/>
      <c r="Z242" s="77">
        <f>BK32</f>
        <v/>
      </c>
      <c r="AA242" s="41" t="n"/>
      <c r="AB242" s="41" t="n"/>
      <c r="AC242" s="78">
        <f>BM32</f>
        <v/>
      </c>
      <c r="AD242" s="41" t="n"/>
      <c r="AE242" s="41" t="n"/>
      <c r="AF242" s="15" t="n"/>
    </row>
    <row r="243">
      <c r="B243" s="9" t="n"/>
      <c r="C243" s="57" t="n">
        <v>6</v>
      </c>
      <c r="D243" s="41" t="n"/>
      <c r="E243" s="55">
        <f>AI33</f>
        <v/>
      </c>
      <c r="F243" s="41" t="n"/>
      <c r="G243" s="41" t="n"/>
      <c r="H243" s="52">
        <f>AM33</f>
        <v/>
      </c>
      <c r="I243" s="41" t="n"/>
      <c r="J243" s="41" t="n"/>
      <c r="K243" s="53">
        <f>AQ33</f>
        <v/>
      </c>
      <c r="L243" s="41" t="n"/>
      <c r="M243" s="41" t="n"/>
      <c r="N243" s="53">
        <f>BC33</f>
        <v/>
      </c>
      <c r="O243" s="41" t="n"/>
      <c r="P243" s="41" t="n"/>
      <c r="Q243" s="66">
        <f>BJ33</f>
        <v/>
      </c>
      <c r="R243" s="41" t="n"/>
      <c r="S243" s="41" t="n"/>
      <c r="T243" s="55">
        <f>AU33</f>
        <v/>
      </c>
      <c r="U243" s="41" t="n"/>
      <c r="V243" s="76">
        <f>BH33</f>
        <v/>
      </c>
      <c r="W243" s="41" t="n"/>
      <c r="X243" s="76">
        <f>BI33</f>
        <v/>
      </c>
      <c r="Y243" s="41" t="n"/>
      <c r="Z243" s="77">
        <f>BK33</f>
        <v/>
      </c>
      <c r="AA243" s="41" t="n"/>
      <c r="AB243" s="41" t="n"/>
      <c r="AC243" s="78">
        <f>BM33</f>
        <v/>
      </c>
      <c r="AD243" s="41" t="n"/>
      <c r="AE243" s="41" t="n"/>
      <c r="AF243" s="15" t="n"/>
    </row>
    <row r="244">
      <c r="B244" s="9" t="n"/>
      <c r="C244" s="57" t="n">
        <v>7</v>
      </c>
      <c r="D244" s="41" t="n"/>
      <c r="E244" s="55">
        <f>AI34</f>
        <v/>
      </c>
      <c r="F244" s="41" t="n"/>
      <c r="G244" s="41" t="n"/>
      <c r="H244" s="52">
        <f>AM34</f>
        <v/>
      </c>
      <c r="I244" s="41" t="n"/>
      <c r="J244" s="41" t="n"/>
      <c r="K244" s="53">
        <f>AQ34</f>
        <v/>
      </c>
      <c r="L244" s="41" t="n"/>
      <c r="M244" s="41" t="n"/>
      <c r="N244" s="53">
        <f>BC34</f>
        <v/>
      </c>
      <c r="O244" s="41" t="n"/>
      <c r="P244" s="41" t="n"/>
      <c r="Q244" s="66">
        <f>BJ34</f>
        <v/>
      </c>
      <c r="R244" s="41" t="n"/>
      <c r="S244" s="41" t="n"/>
      <c r="T244" s="55">
        <f>AU34</f>
        <v/>
      </c>
      <c r="U244" s="41" t="n"/>
      <c r="V244" s="76">
        <f>BH34</f>
        <v/>
      </c>
      <c r="W244" s="41" t="n"/>
      <c r="X244" s="76">
        <f>BI34</f>
        <v/>
      </c>
      <c r="Y244" s="41" t="n"/>
      <c r="Z244" s="77">
        <f>BK34</f>
        <v/>
      </c>
      <c r="AA244" s="41" t="n"/>
      <c r="AB244" s="41" t="n"/>
      <c r="AC244" s="78">
        <f>BM34</f>
        <v/>
      </c>
      <c r="AD244" s="41" t="n"/>
      <c r="AE244" s="41" t="n"/>
      <c r="AF244" s="15" t="n"/>
    </row>
    <row r="245">
      <c r="B245" s="9" t="n"/>
      <c r="C245" s="57" t="n">
        <v>8</v>
      </c>
      <c r="D245" s="41" t="n"/>
      <c r="E245" s="55">
        <f>AI35</f>
        <v/>
      </c>
      <c r="F245" s="41" t="n"/>
      <c r="G245" s="41" t="n"/>
      <c r="H245" s="52">
        <f>AM35</f>
        <v/>
      </c>
      <c r="I245" s="41" t="n"/>
      <c r="J245" s="41" t="n"/>
      <c r="K245" s="53">
        <f>AQ35</f>
        <v/>
      </c>
      <c r="L245" s="41" t="n"/>
      <c r="M245" s="41" t="n"/>
      <c r="N245" s="53">
        <f>BC35</f>
        <v/>
      </c>
      <c r="O245" s="41" t="n"/>
      <c r="P245" s="41" t="n"/>
      <c r="Q245" s="66">
        <f>BJ35</f>
        <v/>
      </c>
      <c r="R245" s="41" t="n"/>
      <c r="S245" s="41" t="n"/>
      <c r="T245" s="55">
        <f>AU35</f>
        <v/>
      </c>
      <c r="U245" s="41" t="n"/>
      <c r="V245" s="76">
        <f>BH35</f>
        <v/>
      </c>
      <c r="W245" s="41" t="n"/>
      <c r="X245" s="76">
        <f>BI35</f>
        <v/>
      </c>
      <c r="Y245" s="41" t="n"/>
      <c r="Z245" s="77">
        <f>BK35</f>
        <v/>
      </c>
      <c r="AA245" s="41" t="n"/>
      <c r="AB245" s="41" t="n"/>
      <c r="AC245" s="78">
        <f>BM35</f>
        <v/>
      </c>
      <c r="AD245" s="41" t="n"/>
      <c r="AE245" s="41" t="n"/>
      <c r="AF245" s="15" t="n"/>
    </row>
    <row r="246">
      <c r="B246" s="9" t="n"/>
      <c r="C246" s="57" t="n">
        <v>9</v>
      </c>
      <c r="D246" s="41" t="n"/>
      <c r="E246" s="55">
        <f>AI36</f>
        <v/>
      </c>
      <c r="F246" s="41" t="n"/>
      <c r="G246" s="41" t="n"/>
      <c r="H246" s="52">
        <f>AM36</f>
        <v/>
      </c>
      <c r="I246" s="41" t="n"/>
      <c r="J246" s="41" t="n"/>
      <c r="K246" s="53">
        <f>AQ36</f>
        <v/>
      </c>
      <c r="L246" s="41" t="n"/>
      <c r="M246" s="41" t="n"/>
      <c r="N246" s="53">
        <f>BC36</f>
        <v/>
      </c>
      <c r="O246" s="41" t="n"/>
      <c r="P246" s="41" t="n"/>
      <c r="Q246" s="66">
        <f>BJ36</f>
        <v/>
      </c>
      <c r="R246" s="41" t="n"/>
      <c r="S246" s="41" t="n"/>
      <c r="T246" s="55">
        <f>AU36</f>
        <v/>
      </c>
      <c r="U246" s="41" t="n"/>
      <c r="V246" s="76">
        <f>BH36</f>
        <v/>
      </c>
      <c r="W246" s="41" t="n"/>
      <c r="X246" s="76">
        <f>BI36</f>
        <v/>
      </c>
      <c r="Y246" s="41" t="n"/>
      <c r="Z246" s="77">
        <f>BK36</f>
        <v/>
      </c>
      <c r="AA246" s="41" t="n"/>
      <c r="AB246" s="41" t="n"/>
      <c r="AC246" s="78">
        <f>BM36</f>
        <v/>
      </c>
      <c r="AD246" s="41" t="n"/>
      <c r="AE246" s="41" t="n"/>
      <c r="AF246" s="15" t="n"/>
    </row>
    <row r="247">
      <c r="B247" s="9" t="n"/>
      <c r="C247" s="57" t="n">
        <v>10</v>
      </c>
      <c r="D247" s="41" t="n"/>
      <c r="E247" s="55">
        <f>AI37</f>
        <v/>
      </c>
      <c r="F247" s="41" t="n"/>
      <c r="G247" s="41" t="n"/>
      <c r="H247" s="52">
        <f>AM37</f>
        <v/>
      </c>
      <c r="I247" s="41" t="n"/>
      <c r="J247" s="41" t="n"/>
      <c r="K247" s="53">
        <f>AQ37</f>
        <v/>
      </c>
      <c r="L247" s="41" t="n"/>
      <c r="M247" s="41" t="n"/>
      <c r="N247" s="53">
        <f>BC37</f>
        <v/>
      </c>
      <c r="O247" s="41" t="n"/>
      <c r="P247" s="41" t="n"/>
      <c r="Q247" s="66">
        <f>BJ37</f>
        <v/>
      </c>
      <c r="R247" s="41" t="n"/>
      <c r="S247" s="41" t="n"/>
      <c r="T247" s="55">
        <f>AU37</f>
        <v/>
      </c>
      <c r="U247" s="41" t="n"/>
      <c r="V247" s="76">
        <f>BH37</f>
        <v/>
      </c>
      <c r="W247" s="41" t="n"/>
      <c r="X247" s="76">
        <f>BI37</f>
        <v/>
      </c>
      <c r="Y247" s="41" t="n"/>
      <c r="Z247" s="77">
        <f>BK37</f>
        <v/>
      </c>
      <c r="AA247" s="41" t="n"/>
      <c r="AB247" s="41" t="n"/>
      <c r="AC247" s="78">
        <f>BM37</f>
        <v/>
      </c>
      <c r="AD247" s="41" t="n"/>
      <c r="AE247" s="41" t="n"/>
      <c r="AF247" s="15" t="n"/>
    </row>
    <row r="248">
      <c r="B248" s="9" t="n"/>
      <c r="C248" s="57" t="n">
        <v>11</v>
      </c>
      <c r="D248" s="41" t="n"/>
      <c r="E248" s="55">
        <f>AI38</f>
        <v/>
      </c>
      <c r="F248" s="41" t="n"/>
      <c r="G248" s="41" t="n"/>
      <c r="H248" s="52">
        <f>AM38</f>
        <v/>
      </c>
      <c r="I248" s="41" t="n"/>
      <c r="J248" s="41" t="n"/>
      <c r="K248" s="53">
        <f>AQ38</f>
        <v/>
      </c>
      <c r="L248" s="41" t="n"/>
      <c r="M248" s="41" t="n"/>
      <c r="N248" s="53">
        <f>BC38</f>
        <v/>
      </c>
      <c r="O248" s="41" t="n"/>
      <c r="P248" s="41" t="n"/>
      <c r="Q248" s="66">
        <f>BJ38</f>
        <v/>
      </c>
      <c r="R248" s="41" t="n"/>
      <c r="S248" s="41" t="n"/>
      <c r="T248" s="55">
        <f>AU38</f>
        <v/>
      </c>
      <c r="U248" s="41" t="n"/>
      <c r="V248" s="76">
        <f>BH38</f>
        <v/>
      </c>
      <c r="W248" s="41" t="n"/>
      <c r="X248" s="76">
        <f>BI38</f>
        <v/>
      </c>
      <c r="Y248" s="41" t="n"/>
      <c r="Z248" s="77">
        <f>BK38</f>
        <v/>
      </c>
      <c r="AA248" s="41" t="n"/>
      <c r="AB248" s="41" t="n"/>
      <c r="AC248" s="78">
        <f>BM38</f>
        <v/>
      </c>
      <c r="AD248" s="41" t="n"/>
      <c r="AE248" s="41" t="n"/>
      <c r="AF248" s="15" t="n"/>
    </row>
    <row r="249">
      <c r="B249" s="9" t="n"/>
      <c r="C249" s="57" t="n">
        <v>12</v>
      </c>
      <c r="D249" s="41" t="n"/>
      <c r="E249" s="55">
        <f>AI39</f>
        <v/>
      </c>
      <c r="F249" s="41" t="n"/>
      <c r="G249" s="41" t="n"/>
      <c r="H249" s="52">
        <f>AM39</f>
        <v/>
      </c>
      <c r="I249" s="41" t="n"/>
      <c r="J249" s="41" t="n"/>
      <c r="K249" s="53">
        <f>AQ39</f>
        <v/>
      </c>
      <c r="L249" s="41" t="n"/>
      <c r="M249" s="41" t="n"/>
      <c r="N249" s="53">
        <f>BC39</f>
        <v/>
      </c>
      <c r="O249" s="41" t="n"/>
      <c r="P249" s="41" t="n"/>
      <c r="Q249" s="66">
        <f>BJ39</f>
        <v/>
      </c>
      <c r="R249" s="41" t="n"/>
      <c r="S249" s="41" t="n"/>
      <c r="T249" s="55">
        <f>AU39</f>
        <v/>
      </c>
      <c r="U249" s="41" t="n"/>
      <c r="V249" s="76">
        <f>BH39</f>
        <v/>
      </c>
      <c r="W249" s="41" t="n"/>
      <c r="X249" s="76">
        <f>BI39</f>
        <v/>
      </c>
      <c r="Y249" s="41" t="n"/>
      <c r="Z249" s="77">
        <f>BK39</f>
        <v/>
      </c>
      <c r="AA249" s="41" t="n"/>
      <c r="AB249" s="41" t="n"/>
      <c r="AC249" s="78">
        <f>BM39</f>
        <v/>
      </c>
      <c r="AD249" s="41" t="n"/>
      <c r="AE249" s="41" t="n"/>
      <c r="AF249" s="15" t="n"/>
    </row>
    <row r="250">
      <c r="B250" s="9" t="n"/>
      <c r="C250" s="57" t="n">
        <v>13</v>
      </c>
      <c r="D250" s="41" t="n"/>
      <c r="E250" s="55">
        <f>AI40</f>
        <v/>
      </c>
      <c r="F250" s="41" t="n"/>
      <c r="G250" s="41" t="n"/>
      <c r="H250" s="52">
        <f>AM40</f>
        <v/>
      </c>
      <c r="I250" s="41" t="n"/>
      <c r="J250" s="41" t="n"/>
      <c r="K250" s="53">
        <f>AQ40</f>
        <v/>
      </c>
      <c r="L250" s="41" t="n"/>
      <c r="M250" s="41" t="n"/>
      <c r="N250" s="53">
        <f>BC40</f>
        <v/>
      </c>
      <c r="O250" s="41" t="n"/>
      <c r="P250" s="41" t="n"/>
      <c r="Q250" s="66">
        <f>BJ40</f>
        <v/>
      </c>
      <c r="R250" s="41" t="n"/>
      <c r="S250" s="41" t="n"/>
      <c r="T250" s="55">
        <f>AU40</f>
        <v/>
      </c>
      <c r="U250" s="41" t="n"/>
      <c r="V250" s="76">
        <f>BH40</f>
        <v/>
      </c>
      <c r="W250" s="41" t="n"/>
      <c r="X250" s="76">
        <f>BI40</f>
        <v/>
      </c>
      <c r="Y250" s="41" t="n"/>
      <c r="Z250" s="77">
        <f>BK40</f>
        <v/>
      </c>
      <c r="AA250" s="41" t="n"/>
      <c r="AB250" s="41" t="n"/>
      <c r="AC250" s="78">
        <f>BM40</f>
        <v/>
      </c>
      <c r="AD250" s="41" t="n"/>
      <c r="AE250" s="41" t="n"/>
      <c r="AF250" s="15" t="n"/>
    </row>
    <row r="251">
      <c r="B251" s="9" t="n"/>
      <c r="C251" s="57" t="n">
        <v>14</v>
      </c>
      <c r="D251" s="41" t="n"/>
      <c r="E251" s="55">
        <f>AI41</f>
        <v/>
      </c>
      <c r="F251" s="41" t="n"/>
      <c r="G251" s="41" t="n"/>
      <c r="H251" s="52">
        <f>AM41</f>
        <v/>
      </c>
      <c r="I251" s="41" t="n"/>
      <c r="J251" s="41" t="n"/>
      <c r="K251" s="53">
        <f>AQ41</f>
        <v/>
      </c>
      <c r="L251" s="41" t="n"/>
      <c r="M251" s="41" t="n"/>
      <c r="N251" s="53">
        <f>BC41</f>
        <v/>
      </c>
      <c r="O251" s="41" t="n"/>
      <c r="P251" s="41" t="n"/>
      <c r="Q251" s="66">
        <f>BJ41</f>
        <v/>
      </c>
      <c r="R251" s="41" t="n"/>
      <c r="S251" s="41" t="n"/>
      <c r="T251" s="55">
        <f>AU41</f>
        <v/>
      </c>
      <c r="U251" s="41" t="n"/>
      <c r="V251" s="76">
        <f>BH41</f>
        <v/>
      </c>
      <c r="W251" s="41" t="n"/>
      <c r="X251" s="76">
        <f>BI41</f>
        <v/>
      </c>
      <c r="Y251" s="41" t="n"/>
      <c r="Z251" s="77">
        <f>BK41</f>
        <v/>
      </c>
      <c r="AA251" s="41" t="n"/>
      <c r="AB251" s="41" t="n"/>
      <c r="AC251" s="78">
        <f>BM41</f>
        <v/>
      </c>
      <c r="AD251" s="41" t="n"/>
      <c r="AE251" s="41" t="n"/>
      <c r="AF251" s="15" t="n"/>
    </row>
    <row r="252">
      <c r="B252" s="9" t="n"/>
      <c r="C252" s="57" t="n">
        <v>15</v>
      </c>
      <c r="D252" s="41" t="n"/>
      <c r="E252" s="55">
        <f>AI42</f>
        <v/>
      </c>
      <c r="F252" s="41" t="n"/>
      <c r="G252" s="41" t="n"/>
      <c r="H252" s="52">
        <f>AM42</f>
        <v/>
      </c>
      <c r="I252" s="41" t="n"/>
      <c r="J252" s="41" t="n"/>
      <c r="K252" s="53">
        <f>AQ42</f>
        <v/>
      </c>
      <c r="L252" s="41" t="n"/>
      <c r="M252" s="41" t="n"/>
      <c r="N252" s="53">
        <f>BC42</f>
        <v/>
      </c>
      <c r="O252" s="41" t="n"/>
      <c r="P252" s="41" t="n"/>
      <c r="Q252" s="66">
        <f>BJ42</f>
        <v/>
      </c>
      <c r="R252" s="41" t="n"/>
      <c r="S252" s="41" t="n"/>
      <c r="T252" s="55">
        <f>AU42</f>
        <v/>
      </c>
      <c r="U252" s="41" t="n"/>
      <c r="V252" s="76">
        <f>BH42</f>
        <v/>
      </c>
      <c r="W252" s="41" t="n"/>
      <c r="X252" s="76">
        <f>BI42</f>
        <v/>
      </c>
      <c r="Y252" s="41" t="n"/>
      <c r="Z252" s="77">
        <f>BK42</f>
        <v/>
      </c>
      <c r="AA252" s="41" t="n"/>
      <c r="AB252" s="41" t="n"/>
      <c r="AC252" s="78">
        <f>BM42</f>
        <v/>
      </c>
      <c r="AD252" s="41" t="n"/>
      <c r="AE252" s="41" t="n"/>
      <c r="AF252" s="15" t="n"/>
    </row>
    <row r="253">
      <c r="B253" s="9" t="n"/>
      <c r="C253" s="57" t="n">
        <v>16</v>
      </c>
      <c r="D253" s="41" t="n"/>
      <c r="E253" s="55">
        <f>AI43</f>
        <v/>
      </c>
      <c r="F253" s="41" t="n"/>
      <c r="G253" s="41" t="n"/>
      <c r="H253" s="52">
        <f>AM43</f>
        <v/>
      </c>
      <c r="I253" s="41" t="n"/>
      <c r="J253" s="41" t="n"/>
      <c r="K253" s="53">
        <f>AQ43</f>
        <v/>
      </c>
      <c r="L253" s="41" t="n"/>
      <c r="M253" s="41" t="n"/>
      <c r="N253" s="53">
        <f>BC43</f>
        <v/>
      </c>
      <c r="O253" s="41" t="n"/>
      <c r="P253" s="41" t="n"/>
      <c r="Q253" s="66">
        <f>BJ43</f>
        <v/>
      </c>
      <c r="R253" s="41" t="n"/>
      <c r="S253" s="41" t="n"/>
      <c r="T253" s="55">
        <f>AU43</f>
        <v/>
      </c>
      <c r="U253" s="41" t="n"/>
      <c r="V253" s="76">
        <f>BH43</f>
        <v/>
      </c>
      <c r="W253" s="41" t="n"/>
      <c r="X253" s="76">
        <f>BI43</f>
        <v/>
      </c>
      <c r="Y253" s="41" t="n"/>
      <c r="Z253" s="77">
        <f>BK43</f>
        <v/>
      </c>
      <c r="AA253" s="41" t="n"/>
      <c r="AB253" s="41" t="n"/>
      <c r="AC253" s="78">
        <f>BM43</f>
        <v/>
      </c>
      <c r="AD253" s="41" t="n"/>
      <c r="AE253" s="41" t="n"/>
      <c r="AF253" s="15" t="n"/>
    </row>
    <row r="254">
      <c r="B254" s="9" t="n"/>
      <c r="C254" s="57" t="n">
        <v>17</v>
      </c>
      <c r="D254" s="41" t="n"/>
      <c r="E254" s="55">
        <f>AI44</f>
        <v/>
      </c>
      <c r="F254" s="41" t="n"/>
      <c r="G254" s="41" t="n"/>
      <c r="H254" s="52">
        <f>AM44</f>
        <v/>
      </c>
      <c r="I254" s="41" t="n"/>
      <c r="J254" s="41" t="n"/>
      <c r="K254" s="53">
        <f>AQ44</f>
        <v/>
      </c>
      <c r="L254" s="41" t="n"/>
      <c r="M254" s="41" t="n"/>
      <c r="N254" s="53">
        <f>BC44</f>
        <v/>
      </c>
      <c r="O254" s="41" t="n"/>
      <c r="P254" s="41" t="n"/>
      <c r="Q254" s="66">
        <f>BJ44</f>
        <v/>
      </c>
      <c r="R254" s="41" t="n"/>
      <c r="S254" s="41" t="n"/>
      <c r="T254" s="55">
        <f>AU44</f>
        <v/>
      </c>
      <c r="U254" s="41" t="n"/>
      <c r="V254" s="76">
        <f>BH44</f>
        <v/>
      </c>
      <c r="W254" s="41" t="n"/>
      <c r="X254" s="76">
        <f>BI44</f>
        <v/>
      </c>
      <c r="Y254" s="41" t="n"/>
      <c r="Z254" s="77">
        <f>BK44</f>
        <v/>
      </c>
      <c r="AA254" s="41" t="n"/>
      <c r="AB254" s="41" t="n"/>
      <c r="AC254" s="78">
        <f>BM44</f>
        <v/>
      </c>
      <c r="AD254" s="41" t="n"/>
      <c r="AE254" s="41" t="n"/>
      <c r="AF254" s="15" t="n"/>
    </row>
    <row r="255">
      <c r="B255" s="9" t="n"/>
      <c r="C255" s="57" t="n">
        <v>18</v>
      </c>
      <c r="D255" s="41" t="n"/>
      <c r="E255" s="55">
        <f>AI45</f>
        <v/>
      </c>
      <c r="F255" s="41" t="n"/>
      <c r="G255" s="41" t="n"/>
      <c r="H255" s="52">
        <f>AM45</f>
        <v/>
      </c>
      <c r="I255" s="41" t="n"/>
      <c r="J255" s="41" t="n"/>
      <c r="K255" s="53">
        <f>AQ45</f>
        <v/>
      </c>
      <c r="L255" s="41" t="n"/>
      <c r="M255" s="41" t="n"/>
      <c r="N255" s="53">
        <f>BC45</f>
        <v/>
      </c>
      <c r="O255" s="41" t="n"/>
      <c r="P255" s="41" t="n"/>
      <c r="Q255" s="66">
        <f>BJ45</f>
        <v/>
      </c>
      <c r="R255" s="41" t="n"/>
      <c r="S255" s="41" t="n"/>
      <c r="T255" s="55">
        <f>AU45</f>
        <v/>
      </c>
      <c r="U255" s="41" t="n"/>
      <c r="V255" s="76">
        <f>BH45</f>
        <v/>
      </c>
      <c r="W255" s="41" t="n"/>
      <c r="X255" s="76">
        <f>BI45</f>
        <v/>
      </c>
      <c r="Y255" s="41" t="n"/>
      <c r="Z255" s="77">
        <f>BK45</f>
        <v/>
      </c>
      <c r="AA255" s="41" t="n"/>
      <c r="AB255" s="41" t="n"/>
      <c r="AC255" s="78">
        <f>BM45</f>
        <v/>
      </c>
      <c r="AD255" s="41" t="n"/>
      <c r="AE255" s="41" t="n"/>
      <c r="AF255" s="15" t="n"/>
    </row>
    <row r="256">
      <c r="B256" s="9" t="n"/>
      <c r="C256" s="57" t="n">
        <v>19</v>
      </c>
      <c r="D256" s="41" t="n"/>
      <c r="E256" s="55">
        <f>AI46</f>
        <v/>
      </c>
      <c r="F256" s="41" t="n"/>
      <c r="G256" s="41" t="n"/>
      <c r="H256" s="52">
        <f>AM46</f>
        <v/>
      </c>
      <c r="I256" s="41" t="n"/>
      <c r="J256" s="41" t="n"/>
      <c r="K256" s="53">
        <f>AQ46</f>
        <v/>
      </c>
      <c r="L256" s="41" t="n"/>
      <c r="M256" s="41" t="n"/>
      <c r="N256" s="53">
        <f>BC46</f>
        <v/>
      </c>
      <c r="O256" s="41" t="n"/>
      <c r="P256" s="41" t="n"/>
      <c r="Q256" s="66">
        <f>BJ46</f>
        <v/>
      </c>
      <c r="R256" s="41" t="n"/>
      <c r="S256" s="41" t="n"/>
      <c r="T256" s="55">
        <f>AU46</f>
        <v/>
      </c>
      <c r="U256" s="41" t="n"/>
      <c r="V256" s="76">
        <f>BH46</f>
        <v/>
      </c>
      <c r="W256" s="41" t="n"/>
      <c r="X256" s="76">
        <f>BI46</f>
        <v/>
      </c>
      <c r="Y256" s="41" t="n"/>
      <c r="Z256" s="77">
        <f>BK46</f>
        <v/>
      </c>
      <c r="AA256" s="41" t="n"/>
      <c r="AB256" s="41" t="n"/>
      <c r="AC256" s="78">
        <f>BM46</f>
        <v/>
      </c>
      <c r="AD256" s="41" t="n"/>
      <c r="AE256" s="41" t="n"/>
      <c r="AF256" s="15" t="n"/>
    </row>
    <row r="257">
      <c r="B257" s="9" t="n"/>
      <c r="C257" s="57" t="n">
        <v>20</v>
      </c>
      <c r="D257" s="41" t="n"/>
      <c r="E257" s="55">
        <f>AI47</f>
        <v/>
      </c>
      <c r="F257" s="41" t="n"/>
      <c r="G257" s="41" t="n"/>
      <c r="H257" s="52">
        <f>AM47</f>
        <v/>
      </c>
      <c r="I257" s="41" t="n"/>
      <c r="J257" s="41" t="n"/>
      <c r="K257" s="53">
        <f>AQ47</f>
        <v/>
      </c>
      <c r="L257" s="41" t="n"/>
      <c r="M257" s="41" t="n"/>
      <c r="N257" s="53">
        <f>BC47</f>
        <v/>
      </c>
      <c r="O257" s="41" t="n"/>
      <c r="P257" s="41" t="n"/>
      <c r="Q257" s="66">
        <f>BJ47</f>
        <v/>
      </c>
      <c r="R257" s="41" t="n"/>
      <c r="S257" s="41" t="n"/>
      <c r="T257" s="55">
        <f>AU47</f>
        <v/>
      </c>
      <c r="U257" s="41" t="n"/>
      <c r="V257" s="76">
        <f>BH47</f>
        <v/>
      </c>
      <c r="W257" s="41" t="n"/>
      <c r="X257" s="76">
        <f>BI47</f>
        <v/>
      </c>
      <c r="Y257" s="41" t="n"/>
      <c r="Z257" s="77">
        <f>BK47</f>
        <v/>
      </c>
      <c r="AA257" s="41" t="n"/>
      <c r="AB257" s="41" t="n"/>
      <c r="AC257" s="78">
        <f>BM47</f>
        <v/>
      </c>
      <c r="AD257" s="41" t="n"/>
      <c r="AE257" s="41" t="n"/>
      <c r="AF257" s="15" t="n"/>
    </row>
    <row r="258">
      <c r="B258" s="9" t="n"/>
      <c r="C258" s="57" t="n">
        <v>21</v>
      </c>
      <c r="D258" s="41" t="n"/>
      <c r="E258" s="55">
        <f>AI48</f>
        <v/>
      </c>
      <c r="F258" s="41" t="n"/>
      <c r="G258" s="41" t="n"/>
      <c r="H258" s="52">
        <f>AM48</f>
        <v/>
      </c>
      <c r="I258" s="41" t="n"/>
      <c r="J258" s="41" t="n"/>
      <c r="K258" s="53">
        <f>AQ48</f>
        <v/>
      </c>
      <c r="L258" s="41" t="n"/>
      <c r="M258" s="41" t="n"/>
      <c r="N258" s="53">
        <f>BC48</f>
        <v/>
      </c>
      <c r="O258" s="41" t="n"/>
      <c r="P258" s="41" t="n"/>
      <c r="Q258" s="66">
        <f>BJ48</f>
        <v/>
      </c>
      <c r="R258" s="41" t="n"/>
      <c r="S258" s="41" t="n"/>
      <c r="T258" s="55">
        <f>AU48</f>
        <v/>
      </c>
      <c r="U258" s="41" t="n"/>
      <c r="V258" s="76">
        <f>BH48</f>
        <v/>
      </c>
      <c r="W258" s="41" t="n"/>
      <c r="X258" s="76">
        <f>BI48</f>
        <v/>
      </c>
      <c r="Y258" s="41" t="n"/>
      <c r="Z258" s="77">
        <f>BK48</f>
        <v/>
      </c>
      <c r="AA258" s="41" t="n"/>
      <c r="AB258" s="41" t="n"/>
      <c r="AC258" s="78">
        <f>BM48</f>
        <v/>
      </c>
      <c r="AD258" s="41" t="n"/>
      <c r="AE258" s="41" t="n"/>
      <c r="AF258" s="15" t="n"/>
    </row>
    <row r="259">
      <c r="B259" s="9" t="n"/>
      <c r="C259" s="57" t="n">
        <v>22</v>
      </c>
      <c r="D259" s="41" t="n"/>
      <c r="E259" s="55">
        <f>AI49</f>
        <v/>
      </c>
      <c r="F259" s="41" t="n"/>
      <c r="G259" s="41" t="n"/>
      <c r="H259" s="52">
        <f>AM49</f>
        <v/>
      </c>
      <c r="I259" s="41" t="n"/>
      <c r="J259" s="41" t="n"/>
      <c r="K259" s="53">
        <f>AQ49</f>
        <v/>
      </c>
      <c r="L259" s="41" t="n"/>
      <c r="M259" s="41" t="n"/>
      <c r="N259" s="53">
        <f>BC49</f>
        <v/>
      </c>
      <c r="O259" s="41" t="n"/>
      <c r="P259" s="41" t="n"/>
      <c r="Q259" s="66">
        <f>BJ49</f>
        <v/>
      </c>
      <c r="R259" s="41" t="n"/>
      <c r="S259" s="41" t="n"/>
      <c r="T259" s="55">
        <f>AU49</f>
        <v/>
      </c>
      <c r="U259" s="41" t="n"/>
      <c r="V259" s="76">
        <f>BH49</f>
        <v/>
      </c>
      <c r="W259" s="41" t="n"/>
      <c r="X259" s="76">
        <f>BI49</f>
        <v/>
      </c>
      <c r="Y259" s="41" t="n"/>
      <c r="Z259" s="77">
        <f>BK49</f>
        <v/>
      </c>
      <c r="AA259" s="41" t="n"/>
      <c r="AB259" s="41" t="n"/>
      <c r="AC259" s="78">
        <f>BM49</f>
        <v/>
      </c>
      <c r="AD259" s="41" t="n"/>
      <c r="AE259" s="41" t="n"/>
      <c r="AF259" s="15" t="n"/>
    </row>
    <row r="260">
      <c r="B260" s="9" t="n"/>
      <c r="C260" s="57" t="n">
        <v>23</v>
      </c>
      <c r="D260" s="41" t="n"/>
      <c r="E260" s="55">
        <f>AI50</f>
        <v/>
      </c>
      <c r="F260" s="41" t="n"/>
      <c r="G260" s="41" t="n"/>
      <c r="H260" s="52">
        <f>AM50</f>
        <v/>
      </c>
      <c r="I260" s="41" t="n"/>
      <c r="J260" s="41" t="n"/>
      <c r="K260" s="53">
        <f>AQ50</f>
        <v/>
      </c>
      <c r="L260" s="41" t="n"/>
      <c r="M260" s="41" t="n"/>
      <c r="N260" s="53">
        <f>BC50</f>
        <v/>
      </c>
      <c r="O260" s="41" t="n"/>
      <c r="P260" s="41" t="n"/>
      <c r="Q260" s="66">
        <f>BJ50</f>
        <v/>
      </c>
      <c r="R260" s="41" t="n"/>
      <c r="S260" s="41" t="n"/>
      <c r="T260" s="55">
        <f>AU50</f>
        <v/>
      </c>
      <c r="U260" s="41" t="n"/>
      <c r="V260" s="76">
        <f>BH50</f>
        <v/>
      </c>
      <c r="W260" s="41" t="n"/>
      <c r="X260" s="76">
        <f>BI50</f>
        <v/>
      </c>
      <c r="Y260" s="41" t="n"/>
      <c r="Z260" s="77">
        <f>BK50</f>
        <v/>
      </c>
      <c r="AA260" s="41" t="n"/>
      <c r="AB260" s="41" t="n"/>
      <c r="AC260" s="78">
        <f>BM50</f>
        <v/>
      </c>
      <c r="AD260" s="41" t="n"/>
      <c r="AE260" s="41" t="n"/>
      <c r="AF260" s="15" t="n"/>
    </row>
    <row r="261">
      <c r="B261" s="9" t="n"/>
      <c r="C261" s="57" t="n">
        <v>24</v>
      </c>
      <c r="D261" s="41" t="n"/>
      <c r="E261" s="55">
        <f>AI51</f>
        <v/>
      </c>
      <c r="F261" s="41" t="n"/>
      <c r="G261" s="41" t="n"/>
      <c r="H261" s="52">
        <f>AM51</f>
        <v/>
      </c>
      <c r="I261" s="41" t="n"/>
      <c r="J261" s="41" t="n"/>
      <c r="K261" s="53">
        <f>AQ51</f>
        <v/>
      </c>
      <c r="L261" s="41" t="n"/>
      <c r="M261" s="41" t="n"/>
      <c r="N261" s="53">
        <f>BC51</f>
        <v/>
      </c>
      <c r="O261" s="41" t="n"/>
      <c r="P261" s="41" t="n"/>
      <c r="Q261" s="66">
        <f>BJ51</f>
        <v/>
      </c>
      <c r="R261" s="41" t="n"/>
      <c r="S261" s="41" t="n"/>
      <c r="T261" s="55">
        <f>AU51</f>
        <v/>
      </c>
      <c r="U261" s="41" t="n"/>
      <c r="V261" s="76">
        <f>BH51</f>
        <v/>
      </c>
      <c r="W261" s="41" t="n"/>
      <c r="X261" s="76">
        <f>BI51</f>
        <v/>
      </c>
      <c r="Y261" s="41" t="n"/>
      <c r="Z261" s="77">
        <f>BK51</f>
        <v/>
      </c>
      <c r="AA261" s="41" t="n"/>
      <c r="AB261" s="41" t="n"/>
      <c r="AC261" s="78">
        <f>BM51</f>
        <v/>
      </c>
      <c r="AD261" s="41" t="n"/>
      <c r="AE261" s="41" t="n"/>
      <c r="AF261" s="15" t="n"/>
    </row>
    <row r="262">
      <c r="B262" s="9" t="n"/>
      <c r="C262" s="57" t="n">
        <v>25</v>
      </c>
      <c r="D262" s="41" t="n"/>
      <c r="E262" s="55">
        <f>AI52</f>
        <v/>
      </c>
      <c r="F262" s="41" t="n"/>
      <c r="G262" s="41" t="n"/>
      <c r="H262" s="52">
        <f>AM52</f>
        <v/>
      </c>
      <c r="I262" s="41" t="n"/>
      <c r="J262" s="41" t="n"/>
      <c r="K262" s="53">
        <f>AQ52</f>
        <v/>
      </c>
      <c r="L262" s="41" t="n"/>
      <c r="M262" s="41" t="n"/>
      <c r="N262" s="53">
        <f>BC52</f>
        <v/>
      </c>
      <c r="O262" s="41" t="n"/>
      <c r="P262" s="41" t="n"/>
      <c r="Q262" s="66">
        <f>BJ52</f>
        <v/>
      </c>
      <c r="R262" s="41" t="n"/>
      <c r="S262" s="41" t="n"/>
      <c r="T262" s="55">
        <f>AU52</f>
        <v/>
      </c>
      <c r="U262" s="41" t="n"/>
      <c r="V262" s="76">
        <f>BH52</f>
        <v/>
      </c>
      <c r="W262" s="41" t="n"/>
      <c r="X262" s="76">
        <f>BI52</f>
        <v/>
      </c>
      <c r="Y262" s="41" t="n"/>
      <c r="Z262" s="77">
        <f>BK52</f>
        <v/>
      </c>
      <c r="AA262" s="41" t="n"/>
      <c r="AB262" s="41" t="n"/>
      <c r="AC262" s="78">
        <f>BM52</f>
        <v/>
      </c>
      <c r="AD262" s="41" t="n"/>
      <c r="AE262" s="41" t="n"/>
      <c r="AF262" s="15" t="n"/>
    </row>
    <row r="263">
      <c r="B263" s="9" t="n"/>
      <c r="C263" s="57" t="n">
        <v>26</v>
      </c>
      <c r="D263" s="41" t="n"/>
      <c r="E263" s="55">
        <f>AI53</f>
        <v/>
      </c>
      <c r="F263" s="41" t="n"/>
      <c r="G263" s="41" t="n"/>
      <c r="H263" s="52">
        <f>AM53</f>
        <v/>
      </c>
      <c r="I263" s="41" t="n"/>
      <c r="J263" s="41" t="n"/>
      <c r="K263" s="53">
        <f>AQ53</f>
        <v/>
      </c>
      <c r="L263" s="41" t="n"/>
      <c r="M263" s="41" t="n"/>
      <c r="N263" s="53">
        <f>BC53</f>
        <v/>
      </c>
      <c r="O263" s="41" t="n"/>
      <c r="P263" s="41" t="n"/>
      <c r="Q263" s="66">
        <f>BJ53</f>
        <v/>
      </c>
      <c r="R263" s="41" t="n"/>
      <c r="S263" s="41" t="n"/>
      <c r="T263" s="55">
        <f>AU53</f>
        <v/>
      </c>
      <c r="U263" s="41" t="n"/>
      <c r="V263" s="76">
        <f>BH53</f>
        <v/>
      </c>
      <c r="W263" s="41" t="n"/>
      <c r="X263" s="76">
        <f>BI53</f>
        <v/>
      </c>
      <c r="Y263" s="41" t="n"/>
      <c r="Z263" s="77">
        <f>BK53</f>
        <v/>
      </c>
      <c r="AA263" s="41" t="n"/>
      <c r="AB263" s="41" t="n"/>
      <c r="AC263" s="78">
        <f>BM53</f>
        <v/>
      </c>
      <c r="AD263" s="41" t="n"/>
      <c r="AE263" s="41" t="n"/>
      <c r="AF263" s="15" t="n"/>
    </row>
    <row r="264">
      <c r="B264" s="9" t="n"/>
      <c r="C264" s="57" t="n">
        <v>27</v>
      </c>
      <c r="D264" s="41" t="n"/>
      <c r="E264" s="55">
        <f>AI54</f>
        <v/>
      </c>
      <c r="F264" s="41" t="n"/>
      <c r="G264" s="41" t="n"/>
      <c r="H264" s="52">
        <f>AM54</f>
        <v/>
      </c>
      <c r="I264" s="41" t="n"/>
      <c r="J264" s="41" t="n"/>
      <c r="K264" s="53">
        <f>AQ54</f>
        <v/>
      </c>
      <c r="L264" s="41" t="n"/>
      <c r="M264" s="41" t="n"/>
      <c r="N264" s="53">
        <f>BC54</f>
        <v/>
      </c>
      <c r="O264" s="41" t="n"/>
      <c r="P264" s="41" t="n"/>
      <c r="Q264" s="66">
        <f>BJ54</f>
        <v/>
      </c>
      <c r="R264" s="41" t="n"/>
      <c r="S264" s="41" t="n"/>
      <c r="T264" s="55">
        <f>AU54</f>
        <v/>
      </c>
      <c r="U264" s="41" t="n"/>
      <c r="V264" s="76">
        <f>BH54</f>
        <v/>
      </c>
      <c r="W264" s="41" t="n"/>
      <c r="X264" s="76">
        <f>BI54</f>
        <v/>
      </c>
      <c r="Y264" s="41" t="n"/>
      <c r="Z264" s="77">
        <f>BK54</f>
        <v/>
      </c>
      <c r="AA264" s="41" t="n"/>
      <c r="AB264" s="41" t="n"/>
      <c r="AC264" s="78">
        <f>BM54</f>
        <v/>
      </c>
      <c r="AD264" s="41" t="n"/>
      <c r="AE264" s="41" t="n"/>
      <c r="AF264" s="15" t="n"/>
    </row>
    <row r="265">
      <c r="B265" s="9" t="n"/>
      <c r="C265" s="57" t="n">
        <v>28</v>
      </c>
      <c r="D265" s="41" t="n"/>
      <c r="E265" s="55">
        <f>AI55</f>
        <v/>
      </c>
      <c r="F265" s="41" t="n"/>
      <c r="G265" s="41" t="n"/>
      <c r="H265" s="52">
        <f>AM55</f>
        <v/>
      </c>
      <c r="I265" s="41" t="n"/>
      <c r="J265" s="41" t="n"/>
      <c r="K265" s="53">
        <f>AQ55</f>
        <v/>
      </c>
      <c r="L265" s="41" t="n"/>
      <c r="M265" s="41" t="n"/>
      <c r="N265" s="53">
        <f>BC55</f>
        <v/>
      </c>
      <c r="O265" s="41" t="n"/>
      <c r="P265" s="41" t="n"/>
      <c r="Q265" s="66">
        <f>BJ55</f>
        <v/>
      </c>
      <c r="R265" s="41" t="n"/>
      <c r="S265" s="41" t="n"/>
      <c r="T265" s="55">
        <f>AU55</f>
        <v/>
      </c>
      <c r="U265" s="41" t="n"/>
      <c r="V265" s="76">
        <f>BH55</f>
        <v/>
      </c>
      <c r="W265" s="41" t="n"/>
      <c r="X265" s="76">
        <f>BI55</f>
        <v/>
      </c>
      <c r="Y265" s="41" t="n"/>
      <c r="Z265" s="77">
        <f>BK55</f>
        <v/>
      </c>
      <c r="AA265" s="41" t="n"/>
      <c r="AB265" s="41" t="n"/>
      <c r="AC265" s="78">
        <f>BM55</f>
        <v/>
      </c>
      <c r="AD265" s="41" t="n"/>
      <c r="AE265" s="41" t="n"/>
      <c r="AF265" s="15" t="n"/>
    </row>
    <row r="266">
      <c r="B266" s="9" t="n"/>
      <c r="C266" s="57" t="n">
        <v>29</v>
      </c>
      <c r="D266" s="41" t="n"/>
      <c r="E266" s="55">
        <f>AI56</f>
        <v/>
      </c>
      <c r="F266" s="41" t="n"/>
      <c r="G266" s="41" t="n"/>
      <c r="H266" s="52">
        <f>AM56</f>
        <v/>
      </c>
      <c r="I266" s="41" t="n"/>
      <c r="J266" s="41" t="n"/>
      <c r="K266" s="53">
        <f>AQ56</f>
        <v/>
      </c>
      <c r="L266" s="41" t="n"/>
      <c r="M266" s="41" t="n"/>
      <c r="N266" s="53">
        <f>BC56</f>
        <v/>
      </c>
      <c r="O266" s="41" t="n"/>
      <c r="P266" s="41" t="n"/>
      <c r="Q266" s="66">
        <f>BJ56</f>
        <v/>
      </c>
      <c r="R266" s="41" t="n"/>
      <c r="S266" s="41" t="n"/>
      <c r="T266" s="55">
        <f>AU56</f>
        <v/>
      </c>
      <c r="U266" s="41" t="n"/>
      <c r="V266" s="76">
        <f>BH56</f>
        <v/>
      </c>
      <c r="W266" s="41" t="n"/>
      <c r="X266" s="76">
        <f>BI56</f>
        <v/>
      </c>
      <c r="Y266" s="41" t="n"/>
      <c r="Z266" s="77">
        <f>BK56</f>
        <v/>
      </c>
      <c r="AA266" s="41" t="n"/>
      <c r="AB266" s="41" t="n"/>
      <c r="AC266" s="78">
        <f>BM56</f>
        <v/>
      </c>
      <c r="AD266" s="41" t="n"/>
      <c r="AE266" s="41" t="n"/>
      <c r="AF266" s="15" t="n"/>
    </row>
    <row r="267">
      <c r="B267" s="9" t="n"/>
      <c r="C267" s="57" t="n">
        <v>30</v>
      </c>
      <c r="D267" s="41" t="n"/>
      <c r="E267" s="55">
        <f>AI57</f>
        <v/>
      </c>
      <c r="F267" s="41" t="n"/>
      <c r="G267" s="41" t="n"/>
      <c r="H267" s="52">
        <f>AM57</f>
        <v/>
      </c>
      <c r="I267" s="41" t="n"/>
      <c r="J267" s="41" t="n"/>
      <c r="K267" s="53">
        <f>AQ57</f>
        <v/>
      </c>
      <c r="L267" s="41" t="n"/>
      <c r="M267" s="41" t="n"/>
      <c r="N267" s="53">
        <f>BC57</f>
        <v/>
      </c>
      <c r="O267" s="41" t="n"/>
      <c r="P267" s="41" t="n"/>
      <c r="Q267" s="66">
        <f>BJ57</f>
        <v/>
      </c>
      <c r="R267" s="41" t="n"/>
      <c r="S267" s="41" t="n"/>
      <c r="T267" s="55">
        <f>AU57</f>
        <v/>
      </c>
      <c r="U267" s="41" t="n"/>
      <c r="V267" s="76">
        <f>BH57</f>
        <v/>
      </c>
      <c r="W267" s="41" t="n"/>
      <c r="X267" s="76">
        <f>BI57</f>
        <v/>
      </c>
      <c r="Y267" s="41" t="n"/>
      <c r="Z267" s="77">
        <f>BK57</f>
        <v/>
      </c>
      <c r="AA267" s="41" t="n"/>
      <c r="AB267" s="41" t="n"/>
      <c r="AC267" s="78">
        <f>BM57</f>
        <v/>
      </c>
      <c r="AD267" s="41" t="n"/>
      <c r="AE267" s="41" t="n"/>
      <c r="AF267" s="15" t="n"/>
    </row>
    <row r="268">
      <c r="B268" s="9" t="n"/>
      <c r="C268" s="57" t="n">
        <v>31</v>
      </c>
      <c r="D268" s="41" t="n"/>
      <c r="E268" s="55">
        <f>AI58</f>
        <v/>
      </c>
      <c r="F268" s="41" t="n"/>
      <c r="G268" s="41" t="n"/>
      <c r="H268" s="52">
        <f>AM58</f>
        <v/>
      </c>
      <c r="I268" s="41" t="n"/>
      <c r="J268" s="41" t="n"/>
      <c r="K268" s="53">
        <f>AQ58</f>
        <v/>
      </c>
      <c r="L268" s="41" t="n"/>
      <c r="M268" s="41" t="n"/>
      <c r="N268" s="53">
        <f>BC58</f>
        <v/>
      </c>
      <c r="O268" s="41" t="n"/>
      <c r="P268" s="41" t="n"/>
      <c r="Q268" s="66">
        <f>BJ58</f>
        <v/>
      </c>
      <c r="R268" s="41" t="n"/>
      <c r="S268" s="41" t="n"/>
      <c r="T268" s="55">
        <f>AU58</f>
        <v/>
      </c>
      <c r="U268" s="41" t="n"/>
      <c r="V268" s="76">
        <f>BH58</f>
        <v/>
      </c>
      <c r="W268" s="41" t="n"/>
      <c r="X268" s="76">
        <f>BI58</f>
        <v/>
      </c>
      <c r="Y268" s="41" t="n"/>
      <c r="Z268" s="77">
        <f>BK58</f>
        <v/>
      </c>
      <c r="AA268" s="41" t="n"/>
      <c r="AB268" s="41" t="n"/>
      <c r="AC268" s="78">
        <f>BM58</f>
        <v/>
      </c>
      <c r="AD268" s="41" t="n"/>
      <c r="AE268" s="41" t="n"/>
      <c r="AF268" s="15" t="n"/>
    </row>
    <row r="269">
      <c r="B269" s="9" t="n"/>
      <c r="C269" s="57" t="n">
        <v>32</v>
      </c>
      <c r="D269" s="41" t="n"/>
      <c r="E269" s="55">
        <f>AI59</f>
        <v/>
      </c>
      <c r="F269" s="41" t="n"/>
      <c r="G269" s="41" t="n"/>
      <c r="H269" s="52">
        <f>AM59</f>
        <v/>
      </c>
      <c r="I269" s="41" t="n"/>
      <c r="J269" s="41" t="n"/>
      <c r="K269" s="53">
        <f>AQ59</f>
        <v/>
      </c>
      <c r="L269" s="41" t="n"/>
      <c r="M269" s="41" t="n"/>
      <c r="N269" s="53">
        <f>BC59</f>
        <v/>
      </c>
      <c r="O269" s="41" t="n"/>
      <c r="P269" s="41" t="n"/>
      <c r="Q269" s="66">
        <f>BJ59</f>
        <v/>
      </c>
      <c r="R269" s="41" t="n"/>
      <c r="S269" s="41" t="n"/>
      <c r="T269" s="55">
        <f>AU59</f>
        <v/>
      </c>
      <c r="U269" s="41" t="n"/>
      <c r="V269" s="76">
        <f>BH59</f>
        <v/>
      </c>
      <c r="W269" s="41" t="n"/>
      <c r="X269" s="76">
        <f>BI59</f>
        <v/>
      </c>
      <c r="Y269" s="41" t="n"/>
      <c r="Z269" s="77">
        <f>BK59</f>
        <v/>
      </c>
      <c r="AA269" s="41" t="n"/>
      <c r="AB269" s="41" t="n"/>
      <c r="AC269" s="78">
        <f>BM59</f>
        <v/>
      </c>
      <c r="AD269" s="41" t="n"/>
      <c r="AE269" s="41" t="n"/>
      <c r="AF269" s="15" t="n"/>
    </row>
    <row r="270">
      <c r="B270" s="9" t="n"/>
      <c r="C270" s="57" t="n">
        <v>33</v>
      </c>
      <c r="D270" s="41" t="n"/>
      <c r="E270" s="55">
        <f>AI60</f>
        <v/>
      </c>
      <c r="F270" s="41" t="n"/>
      <c r="G270" s="41" t="n"/>
      <c r="H270" s="52">
        <f>AM60</f>
        <v/>
      </c>
      <c r="I270" s="41" t="n"/>
      <c r="J270" s="41" t="n"/>
      <c r="K270" s="53">
        <f>AQ60</f>
        <v/>
      </c>
      <c r="L270" s="41" t="n"/>
      <c r="M270" s="41" t="n"/>
      <c r="N270" s="53">
        <f>BC60</f>
        <v/>
      </c>
      <c r="O270" s="41" t="n"/>
      <c r="P270" s="41" t="n"/>
      <c r="Q270" s="66">
        <f>BJ60</f>
        <v/>
      </c>
      <c r="R270" s="41" t="n"/>
      <c r="S270" s="41" t="n"/>
      <c r="T270" s="55">
        <f>AU60</f>
        <v/>
      </c>
      <c r="U270" s="41" t="n"/>
      <c r="V270" s="76">
        <f>BH60</f>
        <v/>
      </c>
      <c r="W270" s="41" t="n"/>
      <c r="X270" s="76">
        <f>BI60</f>
        <v/>
      </c>
      <c r="Y270" s="41" t="n"/>
      <c r="Z270" s="77">
        <f>BK60</f>
        <v/>
      </c>
      <c r="AA270" s="41" t="n"/>
      <c r="AB270" s="41" t="n"/>
      <c r="AC270" s="78">
        <f>BM60</f>
        <v/>
      </c>
      <c r="AD270" s="41" t="n"/>
      <c r="AE270" s="41" t="n"/>
      <c r="AF270" s="15" t="n"/>
    </row>
    <row r="271">
      <c r="B271" s="9" t="n"/>
      <c r="C271" s="57" t="n">
        <v>34</v>
      </c>
      <c r="D271" s="41" t="n"/>
      <c r="E271" s="55">
        <f>AI61</f>
        <v/>
      </c>
      <c r="F271" s="41" t="n"/>
      <c r="G271" s="41" t="n"/>
      <c r="H271" s="52">
        <f>AM61</f>
        <v/>
      </c>
      <c r="I271" s="41" t="n"/>
      <c r="J271" s="41" t="n"/>
      <c r="K271" s="53">
        <f>AQ61</f>
        <v/>
      </c>
      <c r="L271" s="41" t="n"/>
      <c r="M271" s="41" t="n"/>
      <c r="N271" s="53">
        <f>BC61</f>
        <v/>
      </c>
      <c r="O271" s="41" t="n"/>
      <c r="P271" s="41" t="n"/>
      <c r="Q271" s="66">
        <f>BJ61</f>
        <v/>
      </c>
      <c r="R271" s="41" t="n"/>
      <c r="S271" s="41" t="n"/>
      <c r="T271" s="55">
        <f>AU61</f>
        <v/>
      </c>
      <c r="U271" s="41" t="n"/>
      <c r="V271" s="76">
        <f>BH61</f>
        <v/>
      </c>
      <c r="W271" s="41" t="n"/>
      <c r="X271" s="76">
        <f>BI61</f>
        <v/>
      </c>
      <c r="Y271" s="41" t="n"/>
      <c r="Z271" s="77">
        <f>BK61</f>
        <v/>
      </c>
      <c r="AA271" s="41" t="n"/>
      <c r="AB271" s="41" t="n"/>
      <c r="AC271" s="78">
        <f>BM61</f>
        <v/>
      </c>
      <c r="AD271" s="41" t="n"/>
      <c r="AE271" s="41" t="n"/>
      <c r="AF271" s="15" t="n"/>
    </row>
    <row r="272">
      <c r="B272" s="9" t="n"/>
      <c r="C272" s="57" t="n">
        <v>35</v>
      </c>
      <c r="D272" s="41" t="n"/>
      <c r="E272" s="55">
        <f>AI62</f>
        <v/>
      </c>
      <c r="F272" s="41" t="n"/>
      <c r="G272" s="41" t="n"/>
      <c r="H272" s="52">
        <f>AM62</f>
        <v/>
      </c>
      <c r="I272" s="41" t="n"/>
      <c r="J272" s="41" t="n"/>
      <c r="K272" s="53">
        <f>AQ62</f>
        <v/>
      </c>
      <c r="L272" s="41" t="n"/>
      <c r="M272" s="41" t="n"/>
      <c r="N272" s="53">
        <f>BC62</f>
        <v/>
      </c>
      <c r="O272" s="41" t="n"/>
      <c r="P272" s="41" t="n"/>
      <c r="Q272" s="66">
        <f>BJ62</f>
        <v/>
      </c>
      <c r="R272" s="41" t="n"/>
      <c r="S272" s="41" t="n"/>
      <c r="T272" s="55">
        <f>AU62</f>
        <v/>
      </c>
      <c r="U272" s="41" t="n"/>
      <c r="V272" s="76">
        <f>BH62</f>
        <v/>
      </c>
      <c r="W272" s="41" t="n"/>
      <c r="X272" s="76">
        <f>BI62</f>
        <v/>
      </c>
      <c r="Y272" s="41" t="n"/>
      <c r="Z272" s="77">
        <f>BK62</f>
        <v/>
      </c>
      <c r="AA272" s="41" t="n"/>
      <c r="AB272" s="41" t="n"/>
      <c r="AC272" s="78">
        <f>BM62</f>
        <v/>
      </c>
      <c r="AD272" s="41" t="n"/>
      <c r="AE272" s="41" t="n"/>
      <c r="AF272" s="15" t="n"/>
    </row>
    <row r="273">
      <c r="B273" s="9" t="n"/>
      <c r="C273" s="57" t="n">
        <v>36</v>
      </c>
      <c r="D273" s="41" t="n"/>
      <c r="E273" s="55">
        <f>AI63</f>
        <v/>
      </c>
      <c r="F273" s="41" t="n"/>
      <c r="G273" s="41" t="n"/>
      <c r="H273" s="52">
        <f>AM63</f>
        <v/>
      </c>
      <c r="I273" s="41" t="n"/>
      <c r="J273" s="41" t="n"/>
      <c r="K273" s="53">
        <f>AQ63</f>
        <v/>
      </c>
      <c r="L273" s="41" t="n"/>
      <c r="M273" s="41" t="n"/>
      <c r="N273" s="53">
        <f>BC63</f>
        <v/>
      </c>
      <c r="O273" s="41" t="n"/>
      <c r="P273" s="41" t="n"/>
      <c r="Q273" s="66">
        <f>BJ63</f>
        <v/>
      </c>
      <c r="R273" s="41" t="n"/>
      <c r="S273" s="41" t="n"/>
      <c r="T273" s="55">
        <f>AU63</f>
        <v/>
      </c>
      <c r="U273" s="41" t="n"/>
      <c r="V273" s="76">
        <f>BH63</f>
        <v/>
      </c>
      <c r="W273" s="41" t="n"/>
      <c r="X273" s="76">
        <f>BI63</f>
        <v/>
      </c>
      <c r="Y273" s="41" t="n"/>
      <c r="Z273" s="77">
        <f>BK63</f>
        <v/>
      </c>
      <c r="AA273" s="41" t="n"/>
      <c r="AB273" s="41" t="n"/>
      <c r="AC273" s="78">
        <f>BM63</f>
        <v/>
      </c>
      <c r="AD273" s="41" t="n"/>
      <c r="AE273" s="41" t="n"/>
      <c r="AF273" s="15" t="n"/>
    </row>
    <row r="274">
      <c r="B274" s="9" t="n"/>
      <c r="C274" s="57" t="n">
        <v>37</v>
      </c>
      <c r="D274" s="41" t="n"/>
      <c r="E274" s="55">
        <f>AI64</f>
        <v/>
      </c>
      <c r="F274" s="41" t="n"/>
      <c r="G274" s="41" t="n"/>
      <c r="H274" s="52">
        <f>AM64</f>
        <v/>
      </c>
      <c r="I274" s="41" t="n"/>
      <c r="J274" s="41" t="n"/>
      <c r="K274" s="53">
        <f>AQ64</f>
        <v/>
      </c>
      <c r="L274" s="41" t="n"/>
      <c r="M274" s="41" t="n"/>
      <c r="N274" s="53">
        <f>BC64</f>
        <v/>
      </c>
      <c r="O274" s="41" t="n"/>
      <c r="P274" s="41" t="n"/>
      <c r="Q274" s="66">
        <f>BJ64</f>
        <v/>
      </c>
      <c r="R274" s="41" t="n"/>
      <c r="S274" s="41" t="n"/>
      <c r="T274" s="55">
        <f>AU64</f>
        <v/>
      </c>
      <c r="U274" s="41" t="n"/>
      <c r="V274" s="76">
        <f>BH64</f>
        <v/>
      </c>
      <c r="W274" s="41" t="n"/>
      <c r="X274" s="76">
        <f>BI64</f>
        <v/>
      </c>
      <c r="Y274" s="41" t="n"/>
      <c r="Z274" s="77">
        <f>BK64</f>
        <v/>
      </c>
      <c r="AA274" s="41" t="n"/>
      <c r="AB274" s="41" t="n"/>
      <c r="AC274" s="78">
        <f>BM64</f>
        <v/>
      </c>
      <c r="AD274" s="41" t="n"/>
      <c r="AE274" s="41" t="n"/>
      <c r="AF274" s="15" t="n"/>
    </row>
    <row r="275">
      <c r="B275" s="9" t="n"/>
      <c r="C275" s="57" t="n">
        <v>38</v>
      </c>
      <c r="D275" s="41" t="n"/>
      <c r="E275" s="55">
        <f>AI65</f>
        <v/>
      </c>
      <c r="F275" s="41" t="n"/>
      <c r="G275" s="41" t="n"/>
      <c r="H275" s="52">
        <f>AM65</f>
        <v/>
      </c>
      <c r="I275" s="41" t="n"/>
      <c r="J275" s="41" t="n"/>
      <c r="K275" s="53">
        <f>AQ65</f>
        <v/>
      </c>
      <c r="L275" s="41" t="n"/>
      <c r="M275" s="41" t="n"/>
      <c r="N275" s="53">
        <f>BC65</f>
        <v/>
      </c>
      <c r="O275" s="41" t="n"/>
      <c r="P275" s="41" t="n"/>
      <c r="Q275" s="66">
        <f>BJ65</f>
        <v/>
      </c>
      <c r="R275" s="41" t="n"/>
      <c r="S275" s="41" t="n"/>
      <c r="T275" s="55">
        <f>AU65</f>
        <v/>
      </c>
      <c r="U275" s="41" t="n"/>
      <c r="V275" s="76">
        <f>BH65</f>
        <v/>
      </c>
      <c r="W275" s="41" t="n"/>
      <c r="X275" s="76">
        <f>BI65</f>
        <v/>
      </c>
      <c r="Y275" s="41" t="n"/>
      <c r="Z275" s="77">
        <f>BK65</f>
        <v/>
      </c>
      <c r="AA275" s="41" t="n"/>
      <c r="AB275" s="41" t="n"/>
      <c r="AC275" s="78">
        <f>BM65</f>
        <v/>
      </c>
      <c r="AD275" s="41" t="n"/>
      <c r="AE275" s="41" t="n"/>
      <c r="AF275" s="15" t="n"/>
    </row>
    <row r="276">
      <c r="B276" s="9" t="n"/>
      <c r="C276" s="57" t="n">
        <v>39</v>
      </c>
      <c r="D276" s="41" t="n"/>
      <c r="E276" s="55">
        <f>AI66</f>
        <v/>
      </c>
      <c r="F276" s="41" t="n"/>
      <c r="G276" s="41" t="n"/>
      <c r="H276" s="52">
        <f>AM66</f>
        <v/>
      </c>
      <c r="I276" s="41" t="n"/>
      <c r="J276" s="41" t="n"/>
      <c r="K276" s="53">
        <f>AQ66</f>
        <v/>
      </c>
      <c r="L276" s="41" t="n"/>
      <c r="M276" s="41" t="n"/>
      <c r="N276" s="53">
        <f>BC66</f>
        <v/>
      </c>
      <c r="O276" s="41" t="n"/>
      <c r="P276" s="41" t="n"/>
      <c r="Q276" s="66">
        <f>BJ66</f>
        <v/>
      </c>
      <c r="R276" s="41" t="n"/>
      <c r="S276" s="41" t="n"/>
      <c r="T276" s="55">
        <f>AU66</f>
        <v/>
      </c>
      <c r="U276" s="41" t="n"/>
      <c r="V276" s="76">
        <f>BH66</f>
        <v/>
      </c>
      <c r="W276" s="41" t="n"/>
      <c r="X276" s="76">
        <f>BI66</f>
        <v/>
      </c>
      <c r="Y276" s="41" t="n"/>
      <c r="Z276" s="77">
        <f>BK66</f>
        <v/>
      </c>
      <c r="AA276" s="41" t="n"/>
      <c r="AB276" s="41" t="n"/>
      <c r="AC276" s="78">
        <f>BM66</f>
        <v/>
      </c>
      <c r="AD276" s="41" t="n"/>
      <c r="AE276" s="41" t="n"/>
      <c r="AF276" s="15" t="n"/>
    </row>
    <row r="277">
      <c r="B277" s="9" t="n"/>
      <c r="C277" s="57" t="n">
        <v>40</v>
      </c>
      <c r="D277" s="41" t="n"/>
      <c r="E277" s="55">
        <f>AI67</f>
        <v/>
      </c>
      <c r="F277" s="41" t="n"/>
      <c r="G277" s="41" t="n"/>
      <c r="H277" s="52">
        <f>AM67</f>
        <v/>
      </c>
      <c r="I277" s="41" t="n"/>
      <c r="J277" s="41" t="n"/>
      <c r="K277" s="53">
        <f>AQ67</f>
        <v/>
      </c>
      <c r="L277" s="41" t="n"/>
      <c r="M277" s="41" t="n"/>
      <c r="N277" s="53">
        <f>BC67</f>
        <v/>
      </c>
      <c r="O277" s="41" t="n"/>
      <c r="P277" s="41" t="n"/>
      <c r="Q277" s="66">
        <f>BJ67</f>
        <v/>
      </c>
      <c r="R277" s="41" t="n"/>
      <c r="S277" s="41" t="n"/>
      <c r="T277" s="55">
        <f>AU67</f>
        <v/>
      </c>
      <c r="U277" s="41" t="n"/>
      <c r="V277" s="76">
        <f>BH67</f>
        <v/>
      </c>
      <c r="W277" s="41" t="n"/>
      <c r="X277" s="76">
        <f>BI67</f>
        <v/>
      </c>
      <c r="Y277" s="41" t="n"/>
      <c r="Z277" s="77">
        <f>BK67</f>
        <v/>
      </c>
      <c r="AA277" s="41" t="n"/>
      <c r="AB277" s="41" t="n"/>
      <c r="AC277" s="78">
        <f>BM67</f>
        <v/>
      </c>
      <c r="AD277" s="41" t="n"/>
      <c r="AE277" s="41" t="n"/>
      <c r="AF277" s="15" t="n"/>
    </row>
    <row r="278">
      <c r="B278" s="9" t="n"/>
      <c r="C278" s="69" t="n">
        <v>41</v>
      </c>
      <c r="D278" s="46" t="n"/>
      <c r="E278" s="70">
        <f>AI68</f>
        <v/>
      </c>
      <c r="F278" s="46" t="n"/>
      <c r="G278" s="46" t="n"/>
      <c r="H278" s="59">
        <f>AM68</f>
        <v/>
      </c>
      <c r="I278" s="46" t="n"/>
      <c r="J278" s="46" t="n"/>
      <c r="K278" s="60">
        <f>AQ68</f>
        <v/>
      </c>
      <c r="L278" s="46" t="n"/>
      <c r="M278" s="46" t="n"/>
      <c r="N278" s="60">
        <f>BC68</f>
        <v/>
      </c>
      <c r="O278" s="46" t="n"/>
      <c r="P278" s="46" t="n"/>
      <c r="Q278" s="71">
        <f>BJ68</f>
        <v/>
      </c>
      <c r="R278" s="46" t="n"/>
      <c r="S278" s="46" t="n"/>
      <c r="T278" s="70">
        <f>AU68</f>
        <v/>
      </c>
      <c r="U278" s="46" t="n"/>
      <c r="V278" s="79">
        <f>BH68</f>
        <v/>
      </c>
      <c r="W278" s="46" t="n"/>
      <c r="X278" s="79">
        <f>BI68</f>
        <v/>
      </c>
      <c r="Y278" s="46" t="n"/>
      <c r="Z278" s="80">
        <f>BK68</f>
        <v/>
      </c>
      <c r="AA278" s="46" t="n"/>
      <c r="AB278" s="46" t="n"/>
      <c r="AC278" s="81">
        <f>BM68</f>
        <v/>
      </c>
      <c r="AD278" s="46" t="n"/>
      <c r="AE278" s="46" t="n"/>
      <c r="AF278" s="15" t="n"/>
    </row>
    <row r="279">
      <c r="B279" s="9" t="n"/>
      <c r="AF279" s="15" t="n"/>
    </row>
    <row r="280">
      <c r="B280" s="9" t="n"/>
      <c r="C280" s="25" t="inlineStr">
        <is>
          <t>Total consolidation settlement</t>
        </is>
      </c>
      <c r="O280" s="26" t="inlineStr">
        <is>
          <t>Sc = Σ Sc</t>
        </is>
      </c>
      <c r="X280" s="27" t="inlineStr">
        <is>
          <t>Sc =</t>
        </is>
      </c>
      <c r="Y280" s="13" t="n"/>
      <c r="Z280" s="13" t="n"/>
      <c r="AA280" s="30">
        <f>SUM(BK28:BK68)</f>
        <v/>
      </c>
      <c r="AB280" s="13" t="n"/>
      <c r="AC280" s="13" t="n"/>
      <c r="AD280" s="25" t="inlineStr">
        <is>
          <t>mm</t>
        </is>
      </c>
      <c r="AF280" s="15" t="n"/>
    </row>
    <row r="281">
      <c r="B281" s="9" t="n"/>
      <c r="C281" s="25" t="inlineStr">
        <is>
          <t>Time for 90 % consolidation (slowest layer)</t>
        </is>
      </c>
      <c r="O281" s="26" t="inlineStr">
        <is>
          <t>t90 = max</t>
        </is>
      </c>
      <c r="X281" s="27" t="inlineStr">
        <is>
          <t>t90 =</t>
        </is>
      </c>
      <c r="Y281" s="13" t="n"/>
      <c r="Z281" s="13" t="n"/>
      <c r="AA281" s="61">
        <f>MAX(BM28:BM68)</f>
        <v/>
      </c>
      <c r="AB281" s="13" t="n"/>
      <c r="AC281" s="13" t="n"/>
      <c r="AD281" s="25" t="inlineStr">
        <is>
          <t>year</t>
        </is>
      </c>
      <c r="AF281" s="15" t="n"/>
    </row>
    <row r="282">
      <c r="B282" s="9" t="n"/>
      <c r="AF282" s="15" t="n"/>
    </row>
    <row r="283">
      <c r="B283" s="9" t="n"/>
      <c r="AF283" s="15" t="n"/>
    </row>
    <row r="284">
      <c r="B284" s="9" t="n"/>
      <c r="AF284" s="15" t="n"/>
    </row>
    <row r="285">
      <c r="B285" s="9" t="n"/>
      <c r="AF285" s="15" t="n"/>
    </row>
    <row r="286">
      <c r="B286" s="9" t="n"/>
      <c r="AF286" s="15" t="n"/>
    </row>
    <row r="287">
      <c r="B287" s="9" t="n"/>
      <c r="AF287" s="15" t="n"/>
    </row>
    <row r="288">
      <c r="B288" s="9" t="n"/>
      <c r="AF288" s="15" t="n"/>
    </row>
    <row r="289">
      <c r="B289" s="47" t="n"/>
      <c r="C289" s="48" t="n"/>
      <c r="D289" s="48" t="n"/>
      <c r="E289" s="48" t="n"/>
      <c r="F289" s="48" t="n"/>
      <c r="G289" s="48" t="n"/>
      <c r="H289" s="48" t="n"/>
      <c r="I289" s="48" t="n"/>
      <c r="J289" s="48" t="n"/>
      <c r="K289" s="48" t="n"/>
      <c r="L289" s="48" t="n"/>
      <c r="M289" s="48" t="n"/>
      <c r="N289" s="48" t="n"/>
      <c r="O289" s="48" t="n"/>
      <c r="P289" s="48" t="n"/>
      <c r="Q289" s="48" t="n"/>
      <c r="R289" s="48" t="n"/>
      <c r="S289" s="48" t="n"/>
      <c r="T289" s="48" t="n"/>
      <c r="U289" s="48" t="n"/>
      <c r="V289" s="48" t="n"/>
      <c r="W289" s="48" t="n"/>
      <c r="X289" s="49" t="inlineStr">
        <is>
          <t>Sheet :</t>
        </is>
      </c>
      <c r="Y289" s="48" t="n"/>
      <c r="Z289" s="48" t="n"/>
      <c r="AA289" s="48" t="n"/>
      <c r="AB289" s="49" t="n">
        <v>4</v>
      </c>
      <c r="AC289" s="48" t="n"/>
      <c r="AD289" s="48" t="n"/>
      <c r="AE289" s="48" t="n"/>
      <c r="AF289" s="50" t="n"/>
    </row>
    <row r="290">
      <c r="B290" s="1" t="n"/>
      <c r="C290" s="2" t="inlineStr">
        <is>
          <t>PROJECT :</t>
        </is>
      </c>
      <c r="D290" s="3" t="n"/>
      <c r="E290" s="3" t="n"/>
      <c r="F290" s="3" t="n"/>
      <c r="G290" s="3" t="n"/>
      <c r="H290" s="4" t="inlineStr">
        <is>
          <t>GEOTHERMAL WELLPAD PSPE BORA PULU - SIGI, CENTRAL SULAWESI</t>
        </is>
      </c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5" t="inlineStr">
        <is>
          <t>Prepared by :</t>
        </is>
      </c>
      <c r="Y290" s="6" t="n"/>
      <c r="Z290" s="6" t="n"/>
      <c r="AA290" s="6" t="n"/>
      <c r="AB290" s="7" t="inlineStr">
        <is>
          <t>Date</t>
        </is>
      </c>
      <c r="AC290" s="6" t="n"/>
      <c r="AD290" s="6" t="n"/>
      <c r="AE290" s="6" t="n"/>
      <c r="AF290" s="8" t="n"/>
    </row>
    <row r="291">
      <c r="B291" s="9" t="n"/>
      <c r="C291" s="10" t="inlineStr">
        <is>
          <t>CLIENT :</t>
        </is>
      </c>
      <c r="H291" s="11" t="inlineStr">
        <is>
          <t>PT EDC PANAS BUMI INDONESIA</t>
        </is>
      </c>
      <c r="X291" s="12" t="inlineStr">
        <is>
          <t>DF</t>
        </is>
      </c>
      <c r="Y291" s="13" t="n"/>
      <c r="Z291" s="13" t="n"/>
      <c r="AA291" s="13" t="n"/>
      <c r="AB291" s="14" t="n">
        <v>46301</v>
      </c>
      <c r="AC291" s="13" t="n"/>
      <c r="AD291" s="13" t="n"/>
      <c r="AE291" s="13" t="n"/>
      <c r="AF291" s="15" t="n"/>
    </row>
    <row r="292">
      <c r="B292" s="9" t="n"/>
      <c r="C292" s="10" t="inlineStr">
        <is>
          <t>LOCATION :</t>
        </is>
      </c>
      <c r="H292" s="11" t="inlineStr">
        <is>
          <t>BH-05 (Wellpad A)</t>
        </is>
      </c>
      <c r="X292" s="12" t="inlineStr">
        <is>
          <t>Verified by :</t>
        </is>
      </c>
      <c r="Y292" s="13" t="n"/>
      <c r="Z292" s="13" t="n"/>
      <c r="AA292" s="13" t="n"/>
      <c r="AB292" s="14" t="inlineStr">
        <is>
          <t>Date</t>
        </is>
      </c>
      <c r="AC292" s="13" t="n"/>
      <c r="AD292" s="13" t="n"/>
      <c r="AE292" s="13" t="n"/>
      <c r="AF292" s="15" t="n"/>
    </row>
    <row r="293">
      <c r="B293" s="16" t="n"/>
      <c r="C293" s="17" t="inlineStr">
        <is>
          <t>SHEET :</t>
        </is>
      </c>
      <c r="D293" s="18" t="n"/>
      <c r="E293" s="18" t="n"/>
      <c r="F293" s="18" t="n"/>
      <c r="G293" s="18" t="n"/>
      <c r="H293" s="19" t="inlineStr">
        <is>
          <t>BEARING CAPACITY AND SETTLEMENT OF SUBGRADE</t>
        </is>
      </c>
      <c r="I293" s="18" t="n"/>
      <c r="J293" s="18" t="n"/>
      <c r="K293" s="18" t="n"/>
      <c r="L293" s="18" t="n"/>
      <c r="M293" s="18" t="n"/>
      <c r="N293" s="18" t="n"/>
      <c r="O293" s="18" t="n"/>
      <c r="P293" s="18" t="n"/>
      <c r="Q293" s="18" t="n"/>
      <c r="R293" s="18" t="n"/>
      <c r="S293" s="18" t="n"/>
      <c r="T293" s="18" t="n"/>
      <c r="U293" s="18" t="n"/>
      <c r="V293" s="18" t="n"/>
      <c r="W293" s="18" t="n"/>
      <c r="X293" s="20" t="inlineStr">
        <is>
          <t>BC</t>
        </is>
      </c>
      <c r="Y293" s="21" t="n"/>
      <c r="Z293" s="21" t="n"/>
      <c r="AA293" s="21" t="n"/>
      <c r="AB293" s="22" t="n">
        <v>46301</v>
      </c>
      <c r="AC293" s="21" t="n"/>
      <c r="AD293" s="21" t="n"/>
      <c r="AE293" s="21" t="n"/>
      <c r="AF293" s="23" t="n"/>
    </row>
    <row r="294">
      <c r="B294" s="9" t="n"/>
      <c r="AF294" s="15" t="n"/>
    </row>
    <row r="295">
      <c r="B295" s="9" t="n"/>
      <c r="C295" s="11" t="inlineStr">
        <is>
          <t>6. SUMMARY</t>
        </is>
      </c>
      <c r="AF295" s="15" t="n"/>
    </row>
    <row r="296">
      <c r="B296" s="9" t="n"/>
      <c r="AF296" s="15" t="n"/>
    </row>
    <row r="297">
      <c r="B297" s="9" t="n"/>
      <c r="C297" s="25" t="inlineStr">
        <is>
          <t>Allowable bearing capacity - without improvement</t>
        </is>
      </c>
      <c r="O297" s="26" t="inlineStr"/>
      <c r="X297" s="27" t="inlineStr">
        <is>
          <t>qall =</t>
        </is>
      </c>
      <c r="Y297" s="13" t="n"/>
      <c r="Z297" s="13" t="n"/>
      <c r="AA297" s="62">
        <f>$AA$97</f>
        <v/>
      </c>
      <c r="AB297" s="13" t="n"/>
      <c r="AC297" s="13" t="n"/>
      <c r="AD297" s="25" t="inlineStr">
        <is>
          <t>kPa</t>
        </is>
      </c>
      <c r="AF297" s="15" t="n"/>
    </row>
    <row r="298">
      <c r="B298" s="9" t="n"/>
      <c r="C298" s="25" t="inlineStr">
        <is>
          <t xml:space="preserve">   check</t>
        </is>
      </c>
      <c r="X298" s="82">
        <f>$X$101</f>
        <v/>
      </c>
      <c r="AF298" s="15" t="n"/>
    </row>
    <row r="299">
      <c r="B299" s="9" t="n"/>
      <c r="C299" s="25" t="inlineStr">
        <is>
          <t>Allowable bearing capacity - design condition</t>
        </is>
      </c>
      <c r="O299" s="26" t="inlineStr">
        <is>
          <t>Dr from Section 1.2</t>
        </is>
      </c>
      <c r="X299" s="27" t="inlineStr">
        <is>
          <t>qall =</t>
        </is>
      </c>
      <c r="Y299" s="13" t="n"/>
      <c r="Z299" s="13" t="n"/>
      <c r="AA299" s="62">
        <f>$AA$115</f>
        <v/>
      </c>
      <c r="AB299" s="13" t="n"/>
      <c r="AC299" s="13" t="n"/>
      <c r="AD299" s="25" t="inlineStr">
        <is>
          <t>kPa</t>
        </is>
      </c>
      <c r="AF299" s="15" t="n"/>
    </row>
    <row r="300">
      <c r="B300" s="9" t="n"/>
      <c r="C300" s="25" t="inlineStr">
        <is>
          <t xml:space="preserve">   check</t>
        </is>
      </c>
      <c r="X300" s="82">
        <f>$X$119</f>
        <v/>
      </c>
      <c r="AF300" s="15" t="n"/>
    </row>
    <row r="301">
      <c r="B301" s="9" t="n"/>
      <c r="C301" s="25" t="inlineStr">
        <is>
          <t>Immediate settlement (layered elastic)</t>
        </is>
      </c>
      <c r="O301" s="26" t="inlineStr">
        <is>
          <t>Section 4</t>
        </is>
      </c>
      <c r="X301" s="27" t="inlineStr">
        <is>
          <t>Si =</t>
        </is>
      </c>
      <c r="Y301" s="13" t="n"/>
      <c r="Z301" s="13" t="n"/>
      <c r="AA301" s="62">
        <f>$AA$201</f>
        <v/>
      </c>
      <c r="AB301" s="13" t="n"/>
      <c r="AC301" s="13" t="n"/>
      <c r="AD301" s="25" t="inlineStr">
        <is>
          <t>mm</t>
        </is>
      </c>
      <c r="AF301" s="15" t="n"/>
    </row>
    <row r="302">
      <c r="B302" s="9" t="n"/>
      <c r="C302" s="25" t="inlineStr">
        <is>
          <t>Immediate settlement of sand (B&amp;B check)</t>
        </is>
      </c>
      <c r="O302" s="26" t="inlineStr">
        <is>
          <t>Section 4.1</t>
        </is>
      </c>
      <c r="X302" s="27" t="inlineStr">
        <is>
          <t>S =</t>
        </is>
      </c>
      <c r="Y302" s="13" t="n"/>
      <c r="Z302" s="13" t="n"/>
      <c r="AA302" s="62">
        <f>$AA$229</f>
        <v/>
      </c>
      <c r="AB302" s="13" t="n"/>
      <c r="AC302" s="13" t="n"/>
      <c r="AD302" s="25" t="inlineStr">
        <is>
          <t>mm</t>
        </is>
      </c>
      <c r="AF302" s="15" t="n"/>
    </row>
    <row r="303">
      <c r="B303" s="9" t="n"/>
      <c r="C303" s="25" t="inlineStr">
        <is>
          <t>Consolidation settlement</t>
        </is>
      </c>
      <c r="O303" s="26" t="inlineStr">
        <is>
          <t>Section 5</t>
        </is>
      </c>
      <c r="X303" s="27" t="inlineStr">
        <is>
          <t>Sc =</t>
        </is>
      </c>
      <c r="Y303" s="13" t="n"/>
      <c r="Z303" s="13" t="n"/>
      <c r="AA303" s="62">
        <f>$AA$280</f>
        <v/>
      </c>
      <c r="AB303" s="13" t="n"/>
      <c r="AC303" s="13" t="n"/>
      <c r="AD303" s="25" t="inlineStr">
        <is>
          <t>mm</t>
        </is>
      </c>
      <c r="AF303" s="15" t="n"/>
    </row>
    <row r="304">
      <c r="B304" s="9" t="n"/>
      <c r="C304" s="25" t="inlineStr">
        <is>
          <t>Time for 90 % consolidation</t>
        </is>
      </c>
      <c r="O304" s="26" t="inlineStr">
        <is>
          <t>Section 5</t>
        </is>
      </c>
      <c r="X304" s="27" t="inlineStr">
        <is>
          <t>t90 =</t>
        </is>
      </c>
      <c r="Y304" s="13" t="n"/>
      <c r="Z304" s="13" t="n"/>
      <c r="AA304" s="61">
        <f>$AA$281</f>
        <v/>
      </c>
      <c r="AB304" s="13" t="n"/>
      <c r="AC304" s="13" t="n"/>
      <c r="AD304" s="25" t="inlineStr">
        <is>
          <t>year</t>
        </is>
      </c>
      <c r="AF304" s="15" t="n"/>
    </row>
    <row r="305">
      <c r="B305" s="9" t="n"/>
      <c r="C305" s="25" t="inlineStr">
        <is>
          <t>Total long-term settlement</t>
        </is>
      </c>
      <c r="O305" s="26" t="inlineStr">
        <is>
          <t>S = Si + Sc</t>
        </is>
      </c>
      <c r="X305" s="27" t="inlineStr">
        <is>
          <t>S =</t>
        </is>
      </c>
      <c r="Y305" s="13" t="n"/>
      <c r="Z305" s="13" t="n"/>
      <c r="AA305" s="30">
        <f>$AA$201+$AA$280</f>
        <v/>
      </c>
      <c r="AB305" s="13" t="n"/>
      <c r="AC305" s="13" t="n"/>
      <c r="AD305" s="25" t="inlineStr">
        <is>
          <t>mm</t>
        </is>
      </c>
      <c r="AF305" s="15" t="n"/>
    </row>
    <row r="306">
      <c r="B306" s="9" t="n"/>
      <c r="C306" s="11" t="inlineStr">
        <is>
          <t>Settlement check</t>
        </is>
      </c>
      <c r="X306" s="73">
        <f>IF($AA$305&lt;=Input!$AA$22,"S ≤ S all …. OK!!","S &gt; S all …. NG!!")</f>
        <v/>
      </c>
      <c r="Y306" s="13" t="n"/>
      <c r="Z306" s="13" t="n"/>
      <c r="AA306" s="13" t="n"/>
      <c r="AB306" s="13" t="n"/>
      <c r="AC306" s="13" t="n"/>
      <c r="AD306" s="13" t="n"/>
      <c r="AE306" s="13" t="n"/>
      <c r="AF306" s="15" t="n"/>
    </row>
    <row r="307">
      <c r="B307" s="9" t="n"/>
      <c r="AF307" s="15" t="n"/>
    </row>
    <row r="308">
      <c r="B308" s="9" t="n"/>
      <c r="C308" s="24" t="inlineStr">
        <is>
          <t>Post-liquefaction settlement during the design earthquake (liquefaction report, Table 5.4: 100 - 383 mm) is not included</t>
        </is>
      </c>
      <c r="AF308" s="15" t="n"/>
    </row>
    <row r="309">
      <c r="B309" s="9" t="n"/>
      <c r="C309" s="24" t="inlineStr">
        <is>
          <t>and shall be assessed separately.</t>
        </is>
      </c>
      <c r="AF309" s="15" t="n"/>
    </row>
    <row r="310">
      <c r="B310" s="9" t="n"/>
      <c r="AF310" s="15" t="n"/>
    </row>
    <row r="311">
      <c r="B311" s="9" t="n"/>
      <c r="C311" s="11" t="inlineStr">
        <is>
          <t>Figure 1. Settlement per sub-layer - BH-05</t>
        </is>
      </c>
      <c r="AF311" s="15" t="n"/>
    </row>
    <row r="312">
      <c r="B312" s="9" t="n"/>
      <c r="AF312" s="15" t="n"/>
    </row>
    <row r="313">
      <c r="B313" s="9" t="n"/>
      <c r="AF313" s="15" t="n"/>
    </row>
    <row r="314">
      <c r="B314" s="9" t="n"/>
      <c r="AF314" s="15" t="n"/>
    </row>
    <row r="315">
      <c r="B315" s="9" t="n"/>
      <c r="AF315" s="15" t="n"/>
    </row>
    <row r="316">
      <c r="B316" s="9" t="n"/>
      <c r="AF316" s="15" t="n"/>
    </row>
    <row r="317">
      <c r="B317" s="9" t="n"/>
      <c r="AF317" s="15" t="n"/>
    </row>
    <row r="318">
      <c r="B318" s="9" t="n"/>
      <c r="AF318" s="15" t="n"/>
    </row>
    <row r="319">
      <c r="B319" s="9" t="n"/>
      <c r="AF319" s="15" t="n"/>
    </row>
    <row r="320">
      <c r="B320" s="9" t="n"/>
      <c r="AF320" s="15" t="n"/>
    </row>
    <row r="321">
      <c r="B321" s="9" t="n"/>
      <c r="AF321" s="15" t="n"/>
    </row>
    <row r="322">
      <c r="B322" s="9" t="n"/>
      <c r="AF322" s="15" t="n"/>
    </row>
    <row r="323">
      <c r="B323" s="9" t="n"/>
      <c r="AF323" s="15" t="n"/>
    </row>
    <row r="324">
      <c r="B324" s="9" t="n"/>
      <c r="AF324" s="15" t="n"/>
    </row>
    <row r="325">
      <c r="B325" s="9" t="n"/>
      <c r="AF325" s="15" t="n"/>
    </row>
    <row r="326">
      <c r="B326" s="9" t="n"/>
      <c r="AF326" s="15" t="n"/>
    </row>
    <row r="327">
      <c r="B327" s="9" t="n"/>
      <c r="AF327" s="15" t="n"/>
    </row>
    <row r="328">
      <c r="B328" s="9" t="n"/>
      <c r="AF328" s="15" t="n"/>
    </row>
    <row r="329">
      <c r="B329" s="9" t="n"/>
      <c r="AF329" s="15" t="n"/>
    </row>
    <row r="330">
      <c r="B330" s="9" t="n"/>
      <c r="AF330" s="15" t="n"/>
    </row>
    <row r="331">
      <c r="B331" s="9" t="n"/>
      <c r="AF331" s="15" t="n"/>
    </row>
    <row r="332">
      <c r="B332" s="9" t="n"/>
      <c r="AF332" s="15" t="n"/>
    </row>
    <row r="333">
      <c r="B333" s="9" t="n"/>
      <c r="AF333" s="15" t="n"/>
    </row>
    <row r="334">
      <c r="B334" s="9" t="n"/>
      <c r="AF334" s="15" t="n"/>
    </row>
    <row r="335">
      <c r="B335" s="9" t="n"/>
      <c r="AF335" s="15" t="n"/>
    </row>
    <row r="336">
      <c r="B336" s="9" t="n"/>
      <c r="AF336" s="15" t="n"/>
    </row>
    <row r="337">
      <c r="B337" s="9" t="n"/>
      <c r="AF337" s="15" t="n"/>
    </row>
    <row r="338">
      <c r="B338" s="9" t="n"/>
      <c r="AF338" s="15" t="n"/>
    </row>
    <row r="339">
      <c r="B339" s="9" t="n"/>
      <c r="AF339" s="15" t="n"/>
    </row>
    <row r="340">
      <c r="B340" s="9" t="n"/>
      <c r="AF340" s="15" t="n"/>
    </row>
    <row r="341">
      <c r="B341" s="9" t="n"/>
      <c r="AF341" s="15" t="n"/>
    </row>
    <row r="342">
      <c r="B342" s="9" t="n"/>
      <c r="AF342" s="15" t="n"/>
    </row>
    <row r="343">
      <c r="B343" s="9" t="n"/>
      <c r="AF343" s="15" t="n"/>
    </row>
    <row r="344">
      <c r="B344" s="9" t="n"/>
      <c r="AF344" s="15" t="n"/>
    </row>
    <row r="345">
      <c r="B345" s="9" t="n"/>
      <c r="AF345" s="15" t="n"/>
    </row>
    <row r="346">
      <c r="B346" s="9" t="n"/>
      <c r="AF346" s="15" t="n"/>
    </row>
    <row r="347">
      <c r="B347" s="9" t="n"/>
      <c r="AF347" s="15" t="n"/>
    </row>
    <row r="348">
      <c r="B348" s="9" t="n"/>
      <c r="AF348" s="15" t="n"/>
    </row>
    <row r="349">
      <c r="B349" s="9" t="n"/>
      <c r="AF349" s="15" t="n"/>
    </row>
    <row r="350">
      <c r="B350" s="9" t="n"/>
      <c r="AF350" s="15" t="n"/>
    </row>
    <row r="351">
      <c r="B351" s="9" t="n"/>
      <c r="AF351" s="15" t="n"/>
    </row>
    <row r="352">
      <c r="B352" s="9" t="n"/>
      <c r="AF352" s="15" t="n"/>
    </row>
    <row r="353">
      <c r="B353" s="9" t="n"/>
      <c r="AF353" s="15" t="n"/>
    </row>
    <row r="354">
      <c r="B354" s="9" t="n"/>
      <c r="AF354" s="15" t="n"/>
    </row>
    <row r="355">
      <c r="B355" s="9" t="n"/>
      <c r="AF355" s="15" t="n"/>
    </row>
    <row r="356">
      <c r="B356" s="9" t="n"/>
      <c r="AF356" s="15" t="n"/>
    </row>
    <row r="357">
      <c r="B357" s="9" t="n"/>
      <c r="AF357" s="15" t="n"/>
    </row>
    <row r="358">
      <c r="B358" s="9" t="n"/>
      <c r="AF358" s="15" t="n"/>
    </row>
    <row r="359">
      <c r="B359" s="9" t="n"/>
      <c r="AF359" s="15" t="n"/>
    </row>
    <row r="360">
      <c r="B360" s="9" t="n"/>
      <c r="AF360" s="15" t="n"/>
    </row>
    <row r="361">
      <c r="B361" s="47" t="n"/>
      <c r="C361" s="48" t="n"/>
      <c r="D361" s="48" t="n"/>
      <c r="E361" s="48" t="n"/>
      <c r="F361" s="48" t="n"/>
      <c r="G361" s="48" t="n"/>
      <c r="H361" s="48" t="n"/>
      <c r="I361" s="48" t="n"/>
      <c r="J361" s="48" t="n"/>
      <c r="K361" s="48" t="n"/>
      <c r="L361" s="48" t="n"/>
      <c r="M361" s="48" t="n"/>
      <c r="N361" s="48" t="n"/>
      <c r="O361" s="48" t="n"/>
      <c r="P361" s="48" t="n"/>
      <c r="Q361" s="48" t="n"/>
      <c r="R361" s="48" t="n"/>
      <c r="S361" s="48" t="n"/>
      <c r="T361" s="48" t="n"/>
      <c r="U361" s="48" t="n"/>
      <c r="V361" s="48" t="n"/>
      <c r="W361" s="48" t="n"/>
      <c r="X361" s="49" t="inlineStr">
        <is>
          <t>Sheet :</t>
        </is>
      </c>
      <c r="Y361" s="48" t="n"/>
      <c r="Z361" s="48" t="n"/>
      <c r="AA361" s="48" t="n"/>
      <c r="AB361" s="49" t="n">
        <v>5</v>
      </c>
      <c r="AC361" s="48" t="n"/>
      <c r="AD361" s="48" t="n"/>
      <c r="AE361" s="48" t="n"/>
      <c r="AF361" s="50" t="n"/>
    </row>
  </sheetData>
  <mergeCells count="1844">
    <mergeCell ref="Z43:AB43"/>
    <mergeCell ref="N189:P189"/>
    <mergeCell ref="V244:W244"/>
    <mergeCell ref="Q164:R164"/>
    <mergeCell ref="C191:D191"/>
    <mergeCell ref="AA161:AB161"/>
    <mergeCell ref="H238:J238"/>
    <mergeCell ref="AB293:AE293"/>
    <mergeCell ref="C184:D184"/>
    <mergeCell ref="Z68:AB68"/>
    <mergeCell ref="N190:P190"/>
    <mergeCell ref="Z67:AB67"/>
    <mergeCell ref="E250:G250"/>
    <mergeCell ref="C110:N110"/>
    <mergeCell ref="Q197:R197"/>
    <mergeCell ref="C121:AE121"/>
    <mergeCell ref="Q180:R180"/>
    <mergeCell ref="T51:U51"/>
    <mergeCell ref="AA187:AB187"/>
    <mergeCell ref="AB4:AE4"/>
    <mergeCell ref="Q188:R188"/>
    <mergeCell ref="AA91:AC91"/>
    <mergeCell ref="X21:Z21"/>
    <mergeCell ref="V255:W255"/>
    <mergeCell ref="AA189:AB189"/>
    <mergeCell ref="E278:G278"/>
    <mergeCell ref="N32:P32"/>
    <mergeCell ref="Q33:S33"/>
    <mergeCell ref="AA93:AC93"/>
    <mergeCell ref="C237:D237"/>
    <mergeCell ref="C28:D28"/>
    <mergeCell ref="K173:M173"/>
    <mergeCell ref="AA86:AC86"/>
    <mergeCell ref="T67:U67"/>
    <mergeCell ref="X16:Z16"/>
    <mergeCell ref="C239:D239"/>
    <mergeCell ref="H164:J164"/>
    <mergeCell ref="K165:M165"/>
    <mergeCell ref="C100:N100"/>
    <mergeCell ref="C30:D30"/>
    <mergeCell ref="H75:W75"/>
    <mergeCell ref="K44:M44"/>
    <mergeCell ref="T33:U33"/>
    <mergeCell ref="C94:N94"/>
    <mergeCell ref="Y167:Z167"/>
    <mergeCell ref="X119:AE119"/>
    <mergeCell ref="T35:U35"/>
    <mergeCell ref="Q59:S59"/>
    <mergeCell ref="T252:U252"/>
    <mergeCell ref="Y169:Z169"/>
    <mergeCell ref="Q61:S61"/>
    <mergeCell ref="V187:X187"/>
    <mergeCell ref="K191:M191"/>
    <mergeCell ref="V39:W39"/>
    <mergeCell ref="AA104:AC104"/>
    <mergeCell ref="X68:Y68"/>
    <mergeCell ref="O91:W91"/>
    <mergeCell ref="AA114:AC114"/>
    <mergeCell ref="N254:P254"/>
    <mergeCell ref="V189:X189"/>
    <mergeCell ref="K184:M184"/>
    <mergeCell ref="N45:P45"/>
    <mergeCell ref="AA106:AC106"/>
    <mergeCell ref="AA228:AC228"/>
    <mergeCell ref="H175:J175"/>
    <mergeCell ref="V188:X188"/>
    <mergeCell ref="N256:P256"/>
    <mergeCell ref="AC178:AE178"/>
    <mergeCell ref="AA105:AC105"/>
    <mergeCell ref="N47:P47"/>
    <mergeCell ref="S173:U173"/>
    <mergeCell ref="O86:W86"/>
    <mergeCell ref="AC170:AE170"/>
    <mergeCell ref="Y195:Z195"/>
    <mergeCell ref="AD112:AE112"/>
    <mergeCell ref="AC163:AE163"/>
    <mergeCell ref="H176:J176"/>
    <mergeCell ref="V65:W65"/>
    <mergeCell ref="T263:U263"/>
    <mergeCell ref="Y197:Z197"/>
    <mergeCell ref="AD114:AE114"/>
    <mergeCell ref="H178:J178"/>
    <mergeCell ref="T265:U265"/>
    <mergeCell ref="AC196:AE196"/>
    <mergeCell ref="X89:Z89"/>
    <mergeCell ref="O104:W104"/>
    <mergeCell ref="S171:U171"/>
    <mergeCell ref="K245:M245"/>
    <mergeCell ref="X245:Y245"/>
    <mergeCell ref="X88:Z88"/>
    <mergeCell ref="S163:U163"/>
    <mergeCell ref="E246:G246"/>
    <mergeCell ref="X90:Z90"/>
    <mergeCell ref="N269:P269"/>
    <mergeCell ref="E37:G37"/>
    <mergeCell ref="V49:W49"/>
    <mergeCell ref="Z65:AB65"/>
    <mergeCell ref="X292:AA292"/>
    <mergeCell ref="E248:G248"/>
    <mergeCell ref="AA183:AB183"/>
    <mergeCell ref="E247:G247"/>
    <mergeCell ref="AA185:AB185"/>
    <mergeCell ref="AC249:AE249"/>
    <mergeCell ref="AB2:AE2"/>
    <mergeCell ref="X19:Z19"/>
    <mergeCell ref="S191:U191"/>
    <mergeCell ref="H247:J247"/>
    <mergeCell ref="AC244:AE244"/>
    <mergeCell ref="K258:M258"/>
    <mergeCell ref="C26:D26"/>
    <mergeCell ref="C90:N90"/>
    <mergeCell ref="X20:Z20"/>
    <mergeCell ref="T65:U65"/>
    <mergeCell ref="X14:Z14"/>
    <mergeCell ref="AC252:AE252"/>
    <mergeCell ref="K260:M260"/>
    <mergeCell ref="C55:D55"/>
    <mergeCell ref="C119:N119"/>
    <mergeCell ref="AA196:AB196"/>
    <mergeCell ref="Q57:S57"/>
    <mergeCell ref="O299:W299"/>
    <mergeCell ref="C52:D52"/>
    <mergeCell ref="AA198:AB198"/>
    <mergeCell ref="AC262:AE262"/>
    <mergeCell ref="H275:J275"/>
    <mergeCell ref="N41:P41"/>
    <mergeCell ref="C70:AE70"/>
    <mergeCell ref="C37:D37"/>
    <mergeCell ref="N51:P51"/>
    <mergeCell ref="Q52:S52"/>
    <mergeCell ref="K188:M188"/>
    <mergeCell ref="K182:M182"/>
    <mergeCell ref="N43:P43"/>
    <mergeCell ref="AC263:AE263"/>
    <mergeCell ref="C109:N109"/>
    <mergeCell ref="Y193:Z193"/>
    <mergeCell ref="X101:AE101"/>
    <mergeCell ref="AD110:AE110"/>
    <mergeCell ref="H174:J174"/>
    <mergeCell ref="N67:P67"/>
    <mergeCell ref="C63:D63"/>
    <mergeCell ref="AB74:AE74"/>
    <mergeCell ref="AC192:AE192"/>
    <mergeCell ref="AB76:AE76"/>
    <mergeCell ref="O100:W100"/>
    <mergeCell ref="H146:W146"/>
    <mergeCell ref="S197:U197"/>
    <mergeCell ref="X86:Z86"/>
    <mergeCell ref="AC187:AE187"/>
    <mergeCell ref="Y179:Z179"/>
    <mergeCell ref="H44:J44"/>
    <mergeCell ref="AC189:AE189"/>
    <mergeCell ref="E35:G35"/>
    <mergeCell ref="V47:W47"/>
    <mergeCell ref="O97:W97"/>
    <mergeCell ref="E28:G28"/>
    <mergeCell ref="E30:G30"/>
    <mergeCell ref="V48:W48"/>
    <mergeCell ref="X112:Z112"/>
    <mergeCell ref="E59:G59"/>
    <mergeCell ref="AC29:AE29"/>
    <mergeCell ref="X104:Z104"/>
    <mergeCell ref="K254:M254"/>
    <mergeCell ref="E61:G61"/>
    <mergeCell ref="AC31:AE31"/>
    <mergeCell ref="X106:Z106"/>
    <mergeCell ref="O123:W123"/>
    <mergeCell ref="X264:Y264"/>
    <mergeCell ref="E54:G54"/>
    <mergeCell ref="X293:AA293"/>
    <mergeCell ref="E56:G56"/>
    <mergeCell ref="Q170:R170"/>
    <mergeCell ref="V66:W66"/>
    <mergeCell ref="T31:U31"/>
    <mergeCell ref="C165:D165"/>
    <mergeCell ref="Q172:R172"/>
    <mergeCell ref="H271:J271"/>
    <mergeCell ref="V61:W61"/>
    <mergeCell ref="C166:D166"/>
    <mergeCell ref="X4:AA4"/>
    <mergeCell ref="C160:D160"/>
    <mergeCell ref="AC259:AE259"/>
    <mergeCell ref="H266:J266"/>
    <mergeCell ref="K267:M267"/>
    <mergeCell ref="C118:N118"/>
    <mergeCell ref="AC261:AE261"/>
    <mergeCell ref="H268:J268"/>
    <mergeCell ref="K269:M269"/>
    <mergeCell ref="C221:G221"/>
    <mergeCell ref="C59:D59"/>
    <mergeCell ref="N65:P65"/>
    <mergeCell ref="V237:W237"/>
    <mergeCell ref="C61:D61"/>
    <mergeCell ref="Z276:AB276"/>
    <mergeCell ref="K51:M51"/>
    <mergeCell ref="K26:M26"/>
    <mergeCell ref="Z271:AB271"/>
    <mergeCell ref="AC272:AE272"/>
    <mergeCell ref="AD92:AE92"/>
    <mergeCell ref="Z273:AB273"/>
    <mergeCell ref="Y177:Z177"/>
    <mergeCell ref="V167:X167"/>
    <mergeCell ref="AD94:AE94"/>
    <mergeCell ref="E157:G157"/>
    <mergeCell ref="Q252:S252"/>
    <mergeCell ref="V169:X169"/>
    <mergeCell ref="K42:M42"/>
    <mergeCell ref="Y172:Z172"/>
    <mergeCell ref="V162:X162"/>
    <mergeCell ref="Q237:S237"/>
    <mergeCell ref="AD89:AE89"/>
    <mergeCell ref="X227:Z227"/>
    <mergeCell ref="C238:D238"/>
    <mergeCell ref="C148:G148"/>
    <mergeCell ref="AC27:AE27"/>
    <mergeCell ref="V164:X164"/>
    <mergeCell ref="X226:Z226"/>
    <mergeCell ref="K37:M37"/>
    <mergeCell ref="E50:G50"/>
    <mergeCell ref="C304:N304"/>
    <mergeCell ref="H184:J184"/>
    <mergeCell ref="X250:Y250"/>
    <mergeCell ref="X228:Z228"/>
    <mergeCell ref="E175:G175"/>
    <mergeCell ref="E52:G52"/>
    <mergeCell ref="Q263:S263"/>
    <mergeCell ref="X276:Y276"/>
    <mergeCell ref="V180:X180"/>
    <mergeCell ref="X251:Y251"/>
    <mergeCell ref="AC53:AE53"/>
    <mergeCell ref="E170:G170"/>
    <mergeCell ref="Q265:S265"/>
    <mergeCell ref="X278:Y278"/>
    <mergeCell ref="X253:Y253"/>
    <mergeCell ref="AC55:AE55"/>
    <mergeCell ref="AA280:AC280"/>
    <mergeCell ref="AC38:AE38"/>
    <mergeCell ref="C290:G290"/>
    <mergeCell ref="C162:D162"/>
    <mergeCell ref="C201:N201"/>
    <mergeCell ref="X123:Z123"/>
    <mergeCell ref="H237:J237"/>
    <mergeCell ref="AC46:AE46"/>
    <mergeCell ref="AC40:AE40"/>
    <mergeCell ref="C164:D164"/>
    <mergeCell ref="X2:AA2"/>
    <mergeCell ref="C203:N203"/>
    <mergeCell ref="C228:N228"/>
    <mergeCell ref="H239:J239"/>
    <mergeCell ref="AC41:AE41"/>
    <mergeCell ref="X297:Z297"/>
    <mergeCell ref="AC66:AE66"/>
    <mergeCell ref="C190:D190"/>
    <mergeCell ref="Z241:AB241"/>
    <mergeCell ref="E254:G254"/>
    <mergeCell ref="H255:J255"/>
    <mergeCell ref="X299:Z299"/>
    <mergeCell ref="O281:W281"/>
    <mergeCell ref="AC68:AE68"/>
    <mergeCell ref="Z243:AB243"/>
    <mergeCell ref="C175:D175"/>
    <mergeCell ref="N181:P181"/>
    <mergeCell ref="C185:D185"/>
    <mergeCell ref="H250:J250"/>
    <mergeCell ref="Z58:AB58"/>
    <mergeCell ref="C235:AE235"/>
    <mergeCell ref="E241:G241"/>
    <mergeCell ref="V259:W259"/>
    <mergeCell ref="AA176:AB176"/>
    <mergeCell ref="Z244:AB244"/>
    <mergeCell ref="O305:W305"/>
    <mergeCell ref="H277:J277"/>
    <mergeCell ref="T68:U68"/>
    <mergeCell ref="V261:W261"/>
    <mergeCell ref="AA178:AB178"/>
    <mergeCell ref="N178:P178"/>
    <mergeCell ref="AA21:AC21"/>
    <mergeCell ref="AA171:AB171"/>
    <mergeCell ref="N49:P49"/>
    <mergeCell ref="Q32:S32"/>
    <mergeCell ref="K162:M162"/>
    <mergeCell ref="N163:P163"/>
    <mergeCell ref="V256:W256"/>
    <mergeCell ref="E267:G267"/>
    <mergeCell ref="N173:P173"/>
    <mergeCell ref="K33:M33"/>
    <mergeCell ref="K164:M164"/>
    <mergeCell ref="X74:AA74"/>
    <mergeCell ref="E269:G269"/>
    <mergeCell ref="H180:J180"/>
    <mergeCell ref="K35:M35"/>
    <mergeCell ref="E171:G171"/>
    <mergeCell ref="Z255:AB255"/>
    <mergeCell ref="X76:AA76"/>
    <mergeCell ref="C302:N302"/>
    <mergeCell ref="V272:W272"/>
    <mergeCell ref="E173:G173"/>
    <mergeCell ref="AD111:AE111"/>
    <mergeCell ref="Q50:S50"/>
    <mergeCell ref="K180:M180"/>
    <mergeCell ref="V274:W274"/>
    <mergeCell ref="V186:X186"/>
    <mergeCell ref="E166:G166"/>
    <mergeCell ref="K59:M59"/>
    <mergeCell ref="K190:M190"/>
    <mergeCell ref="N191:P191"/>
    <mergeCell ref="X249:Y249"/>
    <mergeCell ref="X243:Y243"/>
    <mergeCell ref="C256:D256"/>
    <mergeCell ref="E168:G168"/>
    <mergeCell ref="K61:M61"/>
    <mergeCell ref="N245:P245"/>
    <mergeCell ref="AC167:AE167"/>
    <mergeCell ref="C247:D247"/>
    <mergeCell ref="E199:G199"/>
    <mergeCell ref="X244:Y244"/>
    <mergeCell ref="C257:D257"/>
    <mergeCell ref="AC169:AE169"/>
    <mergeCell ref="V27:W27"/>
    <mergeCell ref="AA92:AC92"/>
    <mergeCell ref="E192:G192"/>
    <mergeCell ref="H26:J26"/>
    <mergeCell ref="C272:D272"/>
    <mergeCell ref="H53:J53"/>
    <mergeCell ref="E194:G194"/>
    <mergeCell ref="H55:J55"/>
    <mergeCell ref="Q272:S272"/>
    <mergeCell ref="T264:U264"/>
    <mergeCell ref="AA87:AC87"/>
    <mergeCell ref="C267:D267"/>
    <mergeCell ref="AA304:AC304"/>
    <mergeCell ref="V199:X199"/>
    <mergeCell ref="N273:P273"/>
    <mergeCell ref="Q274:S274"/>
    <mergeCell ref="X262:Y262"/>
    <mergeCell ref="C275:D275"/>
    <mergeCell ref="C269:D269"/>
    <mergeCell ref="AC64:AE64"/>
    <mergeCell ref="E252:G252"/>
    <mergeCell ref="H246:J246"/>
    <mergeCell ref="Z29:AB29"/>
    <mergeCell ref="H37:J37"/>
    <mergeCell ref="C270:D270"/>
    <mergeCell ref="AC65:AE65"/>
    <mergeCell ref="V40:W40"/>
    <mergeCell ref="H248:J248"/>
    <mergeCell ref="V257:W257"/>
    <mergeCell ref="AA174:AB174"/>
    <mergeCell ref="O303:W303"/>
    <mergeCell ref="E238:G238"/>
    <mergeCell ref="V41:W41"/>
    <mergeCell ref="AA19:AC19"/>
    <mergeCell ref="AB291:AE291"/>
    <mergeCell ref="V252:W252"/>
    <mergeCell ref="C199:D199"/>
    <mergeCell ref="O304:W304"/>
    <mergeCell ref="AA169:AB169"/>
    <mergeCell ref="C224:AE224"/>
    <mergeCell ref="Z258:AB258"/>
    <mergeCell ref="E265:G265"/>
    <mergeCell ref="AD201:AE201"/>
    <mergeCell ref="Z251:AB251"/>
    <mergeCell ref="O16:W16"/>
    <mergeCell ref="Z253:AB253"/>
    <mergeCell ref="E266:G266"/>
    <mergeCell ref="E260:G260"/>
    <mergeCell ref="X34:Y34"/>
    <mergeCell ref="AA195:AB195"/>
    <mergeCell ref="V270:W270"/>
    <mergeCell ref="X28:Y28"/>
    <mergeCell ref="C41:D41"/>
    <mergeCell ref="Q165:R165"/>
    <mergeCell ref="AA197:AB197"/>
    <mergeCell ref="K275:M275"/>
    <mergeCell ref="X30:Y30"/>
    <mergeCell ref="C43:D43"/>
    <mergeCell ref="K57:M57"/>
    <mergeCell ref="Q41:S41"/>
    <mergeCell ref="X29:Y29"/>
    <mergeCell ref="C36:D36"/>
    <mergeCell ref="Q43:S43"/>
    <mergeCell ref="X54:Y54"/>
    <mergeCell ref="C67:D67"/>
    <mergeCell ref="E188:G188"/>
    <mergeCell ref="K60:M60"/>
    <mergeCell ref="X56:Y56"/>
    <mergeCell ref="E190:G190"/>
    <mergeCell ref="H51:J51"/>
    <mergeCell ref="Q67:S67"/>
    <mergeCell ref="K174:M174"/>
    <mergeCell ref="N58:P58"/>
    <mergeCell ref="H163:J163"/>
    <mergeCell ref="V170:X170"/>
    <mergeCell ref="N244:P244"/>
    <mergeCell ref="K199:M199"/>
    <mergeCell ref="X57:Y57"/>
    <mergeCell ref="C12:N12"/>
    <mergeCell ref="V197:X197"/>
    <mergeCell ref="V172:X172"/>
    <mergeCell ref="AC193:AE193"/>
    <mergeCell ref="AA89:AC89"/>
    <mergeCell ref="AC176:AE176"/>
    <mergeCell ref="T251:U251"/>
    <mergeCell ref="H147:W147"/>
    <mergeCell ref="E32:G32"/>
    <mergeCell ref="H33:J33"/>
    <mergeCell ref="AA122:AC122"/>
    <mergeCell ref="AD304:AE304"/>
    <mergeCell ref="Y170:Z170"/>
    <mergeCell ref="H35:J35"/>
    <mergeCell ref="C268:D268"/>
    <mergeCell ref="Q245:S245"/>
    <mergeCell ref="Y163:Z163"/>
    <mergeCell ref="O117:W117"/>
    <mergeCell ref="N255:P255"/>
    <mergeCell ref="AD297:AE297"/>
    <mergeCell ref="H59:J59"/>
    <mergeCell ref="O112:W112"/>
    <mergeCell ref="Z47:AB47"/>
    <mergeCell ref="H61:J61"/>
    <mergeCell ref="H77:W77"/>
    <mergeCell ref="V64:W64"/>
    <mergeCell ref="O114:W114"/>
    <mergeCell ref="Z38:AB38"/>
    <mergeCell ref="E45:G45"/>
    <mergeCell ref="AD19:AE19"/>
    <mergeCell ref="O109:W109"/>
    <mergeCell ref="Q159:R159"/>
    <mergeCell ref="X305:Z305"/>
    <mergeCell ref="Z63:AB63"/>
    <mergeCell ref="Q167:R167"/>
    <mergeCell ref="Q161:R161"/>
    <mergeCell ref="AA158:AB158"/>
    <mergeCell ref="E264:G264"/>
    <mergeCell ref="AA193:AB193"/>
    <mergeCell ref="Q192:R192"/>
    <mergeCell ref="C32:D32"/>
    <mergeCell ref="C107:N107"/>
    <mergeCell ref="T46:U46"/>
    <mergeCell ref="H219:W219"/>
    <mergeCell ref="Z66:AB66"/>
    <mergeCell ref="Q187:R187"/>
    <mergeCell ref="T48:U48"/>
    <mergeCell ref="AA184:AB184"/>
    <mergeCell ref="Q195:R195"/>
    <mergeCell ref="Q189:R189"/>
    <mergeCell ref="E275:G275"/>
    <mergeCell ref="N29:P29"/>
    <mergeCell ref="H159:J159"/>
    <mergeCell ref="Q65:S65"/>
    <mergeCell ref="X53:Y53"/>
    <mergeCell ref="N31:P31"/>
    <mergeCell ref="X47:Y47"/>
    <mergeCell ref="C236:D236"/>
    <mergeCell ref="AC276:AE276"/>
    <mergeCell ref="C85:AE85"/>
    <mergeCell ref="Z236:AB236"/>
    <mergeCell ref="X55:Y55"/>
    <mergeCell ref="K172:M172"/>
    <mergeCell ref="AC278:AE278"/>
    <mergeCell ref="T247:U247"/>
    <mergeCell ref="N26:P26"/>
    <mergeCell ref="X217:AA217"/>
    <mergeCell ref="H162:J162"/>
    <mergeCell ref="T249:U249"/>
    <mergeCell ref="C92:N92"/>
    <mergeCell ref="AD91:AE91"/>
    <mergeCell ref="Y166:Z166"/>
    <mergeCell ref="AC273:AE273"/>
    <mergeCell ref="V184:X184"/>
    <mergeCell ref="AD302:AE302"/>
    <mergeCell ref="N171:P171"/>
    <mergeCell ref="AD93:AE93"/>
    <mergeCell ref="H157:J157"/>
    <mergeCell ref="N251:P251"/>
    <mergeCell ref="S185:U185"/>
    <mergeCell ref="T244:U244"/>
    <mergeCell ref="N42:P42"/>
    <mergeCell ref="Y161:Z161"/>
    <mergeCell ref="AA225:AC225"/>
    <mergeCell ref="N253:P253"/>
    <mergeCell ref="X66:Y66"/>
    <mergeCell ref="C21:N21"/>
    <mergeCell ref="N44:P44"/>
    <mergeCell ref="AA227:AC227"/>
    <mergeCell ref="Y192:Z192"/>
    <mergeCell ref="AD109:AE109"/>
    <mergeCell ref="AC177:AE177"/>
    <mergeCell ref="S172:U172"/>
    <mergeCell ref="Y187:Z187"/>
    <mergeCell ref="T262:U262"/>
    <mergeCell ref="AD104:AE104"/>
    <mergeCell ref="AB75:AE75"/>
    <mergeCell ref="Y189:Z189"/>
    <mergeCell ref="X242:Y242"/>
    <mergeCell ref="S198:U198"/>
    <mergeCell ref="S170:U170"/>
    <mergeCell ref="K244:M244"/>
    <mergeCell ref="K271:M271"/>
    <mergeCell ref="X87:Z87"/>
    <mergeCell ref="Z62:AB62"/>
    <mergeCell ref="K237:M237"/>
    <mergeCell ref="Z56:AB56"/>
    <mergeCell ref="S199:U199"/>
    <mergeCell ref="AC39:AE39"/>
    <mergeCell ref="K273:M273"/>
    <mergeCell ref="Z64:AB64"/>
    <mergeCell ref="K239:M239"/>
    <mergeCell ref="Q185:R185"/>
    <mergeCell ref="AA182:AB182"/>
    <mergeCell ref="AD305:AE305"/>
    <mergeCell ref="Q193:R193"/>
    <mergeCell ref="AA175:AB175"/>
    <mergeCell ref="AA297:AC297"/>
    <mergeCell ref="Q186:R186"/>
    <mergeCell ref="AA177:AB177"/>
    <mergeCell ref="AC241:AE241"/>
    <mergeCell ref="H254:J254"/>
    <mergeCell ref="K255:M255"/>
    <mergeCell ref="C181:D181"/>
    <mergeCell ref="AC243:AE243"/>
    <mergeCell ref="H256:J256"/>
    <mergeCell ref="C89:N89"/>
    <mergeCell ref="C174:D174"/>
    <mergeCell ref="C116:N116"/>
    <mergeCell ref="AC242:AE242"/>
    <mergeCell ref="C88:N88"/>
    <mergeCell ref="E240:G240"/>
    <mergeCell ref="T57:U57"/>
    <mergeCell ref="T29:U29"/>
    <mergeCell ref="C117:N117"/>
    <mergeCell ref="N167:P167"/>
    <mergeCell ref="Q198:R198"/>
    <mergeCell ref="T58:U58"/>
    <mergeCell ref="C115:N115"/>
    <mergeCell ref="T54:U54"/>
    <mergeCell ref="Q49:S49"/>
    <mergeCell ref="O297:W297"/>
    <mergeCell ref="K39:M39"/>
    <mergeCell ref="N40:P40"/>
    <mergeCell ref="C44:D44"/>
    <mergeCell ref="N162:P162"/>
    <mergeCell ref="V276:W276"/>
    <mergeCell ref="N35:P35"/>
    <mergeCell ref="H171:J171"/>
    <mergeCell ref="H165:J165"/>
    <mergeCell ref="Y183:Z183"/>
    <mergeCell ref="AD100:AE100"/>
    <mergeCell ref="H181:J181"/>
    <mergeCell ref="N66:P66"/>
    <mergeCell ref="Y185:Z185"/>
    <mergeCell ref="C245:D245"/>
    <mergeCell ref="V55:W55"/>
    <mergeCell ref="N68:P68"/>
    <mergeCell ref="K50:M50"/>
    <mergeCell ref="C155:AE155"/>
    <mergeCell ref="K181:M181"/>
    <mergeCell ref="X240:Y240"/>
    <mergeCell ref="S160:U160"/>
    <mergeCell ref="N61:P61"/>
    <mergeCell ref="AC184:AE184"/>
    <mergeCell ref="K58:M58"/>
    <mergeCell ref="K52:M52"/>
    <mergeCell ref="C151:AE151"/>
    <mergeCell ref="S195:U195"/>
    <mergeCell ref="H199:J199"/>
    <mergeCell ref="Q276:S276"/>
    <mergeCell ref="O94:W94"/>
    <mergeCell ref="C146:G146"/>
    <mergeCell ref="K53:M53"/>
    <mergeCell ref="X114:Z114"/>
    <mergeCell ref="X49:Y49"/>
    <mergeCell ref="E183:G183"/>
    <mergeCell ref="Q278:S278"/>
    <mergeCell ref="X260:Y260"/>
    <mergeCell ref="C273:D273"/>
    <mergeCell ref="V45:W45"/>
    <mergeCell ref="Q271:S271"/>
    <mergeCell ref="Y198:Z198"/>
    <mergeCell ref="X259:Y259"/>
    <mergeCell ref="X111:Z111"/>
    <mergeCell ref="C149:G149"/>
    <mergeCell ref="Q273:S273"/>
    <mergeCell ref="AC28:AE28"/>
    <mergeCell ref="H41:J41"/>
    <mergeCell ref="X261:Y261"/>
    <mergeCell ref="S179:U179"/>
    <mergeCell ref="AC239:AE239"/>
    <mergeCell ref="H252:J252"/>
    <mergeCell ref="C81:AE81"/>
    <mergeCell ref="AC30:AE30"/>
    <mergeCell ref="AC238:AE238"/>
    <mergeCell ref="AC240:AE240"/>
    <mergeCell ref="O302:W302"/>
    <mergeCell ref="C163:D163"/>
    <mergeCell ref="AB290:AE290"/>
    <mergeCell ref="AC250:AE250"/>
    <mergeCell ref="H263:J263"/>
    <mergeCell ref="C223:AE223"/>
    <mergeCell ref="X274:Y274"/>
    <mergeCell ref="C229:N229"/>
    <mergeCell ref="V241:W241"/>
    <mergeCell ref="Z257:AB257"/>
    <mergeCell ref="H265:J265"/>
    <mergeCell ref="T56:U56"/>
    <mergeCell ref="C158:D158"/>
    <mergeCell ref="N164:P164"/>
    <mergeCell ref="Z242:AB242"/>
    <mergeCell ref="C220:G220"/>
    <mergeCell ref="AD202:AE202"/>
    <mergeCell ref="Z252:AB252"/>
    <mergeCell ref="N57:P57"/>
    <mergeCell ref="Z269:AB269"/>
    <mergeCell ref="C234:AE234"/>
    <mergeCell ref="Z270:AB270"/>
    <mergeCell ref="E277:G277"/>
    <mergeCell ref="X45:Y45"/>
    <mergeCell ref="T66:U66"/>
    <mergeCell ref="Q243:S243"/>
    <mergeCell ref="Q242:S242"/>
    <mergeCell ref="E181:G181"/>
    <mergeCell ref="V159:X159"/>
    <mergeCell ref="X46:Y46"/>
    <mergeCell ref="K163:M163"/>
    <mergeCell ref="C53:D53"/>
    <mergeCell ref="Q244:S244"/>
    <mergeCell ref="X257:Y257"/>
    <mergeCell ref="V161:X161"/>
    <mergeCell ref="X48:Y48"/>
    <mergeCell ref="H293:W293"/>
    <mergeCell ref="X75:AA75"/>
    <mergeCell ref="C301:N301"/>
    <mergeCell ref="K67:M67"/>
    <mergeCell ref="O118:W118"/>
    <mergeCell ref="X225:Z225"/>
    <mergeCell ref="C303:N303"/>
    <mergeCell ref="H32:J32"/>
    <mergeCell ref="T242:U242"/>
    <mergeCell ref="N259:P259"/>
    <mergeCell ref="C255:D255"/>
    <mergeCell ref="N261:P261"/>
    <mergeCell ref="Q262:S262"/>
    <mergeCell ref="S178:U178"/>
    <mergeCell ref="V179:X179"/>
    <mergeCell ref="H4:W4"/>
    <mergeCell ref="AC52:AE52"/>
    <mergeCell ref="Q255:S255"/>
    <mergeCell ref="AB217:AE217"/>
    <mergeCell ref="AC45:AE45"/>
    <mergeCell ref="AC37:AE37"/>
    <mergeCell ref="H50:J50"/>
    <mergeCell ref="C161:D161"/>
    <mergeCell ref="X270:Y270"/>
    <mergeCell ref="C225:N225"/>
    <mergeCell ref="AC47:AE47"/>
    <mergeCell ref="H236:J236"/>
    <mergeCell ref="E51:G51"/>
    <mergeCell ref="C227:N227"/>
    <mergeCell ref="V239:W239"/>
    <mergeCell ref="C226:N226"/>
    <mergeCell ref="N272:P272"/>
    <mergeCell ref="Z39:AB39"/>
    <mergeCell ref="T47:U47"/>
    <mergeCell ref="V240:W240"/>
    <mergeCell ref="AC63:AE63"/>
    <mergeCell ref="AA305:AC305"/>
    <mergeCell ref="AA157:AB157"/>
    <mergeCell ref="N274:P274"/>
    <mergeCell ref="C180:D180"/>
    <mergeCell ref="C182:D182"/>
    <mergeCell ref="V250:W250"/>
    <mergeCell ref="Z266:AB266"/>
    <mergeCell ref="Q28:S28"/>
    <mergeCell ref="Q178:R178"/>
    <mergeCell ref="Z268:AB268"/>
    <mergeCell ref="C233:AE233"/>
    <mergeCell ref="V251:W251"/>
    <mergeCell ref="Q29:S29"/>
    <mergeCell ref="K159:M159"/>
    <mergeCell ref="V278:W278"/>
    <mergeCell ref="V253:W253"/>
    <mergeCell ref="Q240:S240"/>
    <mergeCell ref="N170:P170"/>
    <mergeCell ref="Q31:S31"/>
    <mergeCell ref="V157:X157"/>
    <mergeCell ref="K161:M161"/>
    <mergeCell ref="N172:P172"/>
    <mergeCell ref="N199:P199"/>
    <mergeCell ref="E172:G172"/>
    <mergeCell ref="AD108:AE108"/>
    <mergeCell ref="C251:D251"/>
    <mergeCell ref="V183:X183"/>
    <mergeCell ref="N257:P257"/>
    <mergeCell ref="K187:M187"/>
    <mergeCell ref="AA100:AC100"/>
    <mergeCell ref="S174:U174"/>
    <mergeCell ref="X246:Y246"/>
    <mergeCell ref="C253:D253"/>
    <mergeCell ref="V185:X185"/>
    <mergeCell ref="C108:N108"/>
    <mergeCell ref="E165:G165"/>
    <mergeCell ref="Q42:S42"/>
    <mergeCell ref="K189:M189"/>
    <mergeCell ref="N252:P252"/>
    <mergeCell ref="Q253:S253"/>
    <mergeCell ref="C20:N20"/>
    <mergeCell ref="X241:Y241"/>
    <mergeCell ref="C254:D254"/>
    <mergeCell ref="AC166:AE166"/>
    <mergeCell ref="C248:D248"/>
    <mergeCell ref="AC160:AE160"/>
    <mergeCell ref="AC43:AE43"/>
    <mergeCell ref="H173:J173"/>
    <mergeCell ref="T260:U260"/>
    <mergeCell ref="H3:W3"/>
    <mergeCell ref="C22:N22"/>
    <mergeCell ref="AC168:AE168"/>
    <mergeCell ref="T259:U259"/>
    <mergeCell ref="Y176:Z176"/>
    <mergeCell ref="E191:G191"/>
    <mergeCell ref="H5:W5"/>
    <mergeCell ref="AC161:AE161"/>
    <mergeCell ref="X148:AA148"/>
    <mergeCell ref="T261:U261"/>
    <mergeCell ref="S158:U158"/>
    <mergeCell ref="N59:P59"/>
    <mergeCell ref="V196:X196"/>
    <mergeCell ref="N270:P270"/>
    <mergeCell ref="AD281:AE281"/>
    <mergeCell ref="S159:U159"/>
    <mergeCell ref="V198:X198"/>
    <mergeCell ref="H67:J67"/>
    <mergeCell ref="N271:P271"/>
    <mergeCell ref="S161:U161"/>
    <mergeCell ref="E33:G33"/>
    <mergeCell ref="S188:U188"/>
    <mergeCell ref="AC62:AE62"/>
    <mergeCell ref="V37:W37"/>
    <mergeCell ref="E244:G244"/>
    <mergeCell ref="T272:U272"/>
    <mergeCell ref="X290:AA290"/>
    <mergeCell ref="V247:W247"/>
    <mergeCell ref="AA181:AB181"/>
    <mergeCell ref="V38:W38"/>
    <mergeCell ref="E245:G245"/>
    <mergeCell ref="T274:U274"/>
    <mergeCell ref="X15:Z15"/>
    <mergeCell ref="V249:W249"/>
    <mergeCell ref="AA166:AB166"/>
    <mergeCell ref="Q27:S27"/>
    <mergeCell ref="V63:W63"/>
    <mergeCell ref="AA168:AB168"/>
    <mergeCell ref="N168:P168"/>
    <mergeCell ref="C122:N122"/>
    <mergeCell ref="N195:P195"/>
    <mergeCell ref="H245:J245"/>
    <mergeCell ref="E255:G255"/>
    <mergeCell ref="C51:D51"/>
    <mergeCell ref="N197:P197"/>
    <mergeCell ref="Z250:AB250"/>
    <mergeCell ref="E263:G263"/>
    <mergeCell ref="AA192:AB192"/>
    <mergeCell ref="C38:D38"/>
    <mergeCell ref="AA194:AB194"/>
    <mergeCell ref="AC258:AE258"/>
    <mergeCell ref="K272:M272"/>
    <mergeCell ref="Q55:S55"/>
    <mergeCell ref="Q38:S38"/>
    <mergeCell ref="K185:M185"/>
    <mergeCell ref="V262:W262"/>
    <mergeCell ref="C33:D33"/>
    <mergeCell ref="AC260:AE260"/>
    <mergeCell ref="K178:M178"/>
    <mergeCell ref="T45:U45"/>
    <mergeCell ref="N179:P179"/>
    <mergeCell ref="N39:P39"/>
    <mergeCell ref="Q40:S40"/>
    <mergeCell ref="C105:N105"/>
    <mergeCell ref="C35:D35"/>
    <mergeCell ref="K186:M186"/>
    <mergeCell ref="AC164:AE164"/>
    <mergeCell ref="E187:G187"/>
    <mergeCell ref="H48:J48"/>
    <mergeCell ref="AC157:AE157"/>
    <mergeCell ref="T257:U257"/>
    <mergeCell ref="Y174:Z174"/>
    <mergeCell ref="E189:G189"/>
    <mergeCell ref="Q66:S66"/>
    <mergeCell ref="K196:M196"/>
    <mergeCell ref="C295:AE295"/>
    <mergeCell ref="O96:W96"/>
    <mergeCell ref="H43:J43"/>
    <mergeCell ref="Q68:S68"/>
    <mergeCell ref="AC190:AE190"/>
    <mergeCell ref="AA117:AC117"/>
    <mergeCell ref="N50:P50"/>
    <mergeCell ref="K198:M198"/>
    <mergeCell ref="N243:P243"/>
    <mergeCell ref="O98:W98"/>
    <mergeCell ref="AC183:AE183"/>
    <mergeCell ref="N236:P236"/>
    <mergeCell ref="E29:G29"/>
    <mergeCell ref="H68:J68"/>
    <mergeCell ref="C263:D263"/>
    <mergeCell ref="AC175:AE175"/>
    <mergeCell ref="H188:J188"/>
    <mergeCell ref="AD117:AE117"/>
    <mergeCell ref="AC185:AE185"/>
    <mergeCell ref="AA112:AC112"/>
    <mergeCell ref="E31:G31"/>
    <mergeCell ref="S186:U186"/>
    <mergeCell ref="O93:W93"/>
    <mergeCell ref="AD303:AE303"/>
    <mergeCell ref="Q236:S236"/>
    <mergeCell ref="V34:W34"/>
    <mergeCell ref="C147:G147"/>
    <mergeCell ref="T270:U270"/>
    <mergeCell ref="V28:W28"/>
    <mergeCell ref="E26:G26"/>
    <mergeCell ref="X100:Z100"/>
    <mergeCell ref="V30:W30"/>
    <mergeCell ref="C91:N91"/>
    <mergeCell ref="C9:AE9"/>
    <mergeCell ref="H74:W74"/>
    <mergeCell ref="O111:W111"/>
    <mergeCell ref="X95:Z95"/>
    <mergeCell ref="C11:AE11"/>
    <mergeCell ref="C86:N86"/>
    <mergeCell ref="E42:G42"/>
    <mergeCell ref="AD16:AE16"/>
    <mergeCell ref="X281:Z281"/>
    <mergeCell ref="X97:Z97"/>
    <mergeCell ref="AC198:AE198"/>
    <mergeCell ref="E44:G44"/>
    <mergeCell ref="T27:U27"/>
    <mergeCell ref="V62:W62"/>
    <mergeCell ref="V56:W56"/>
    <mergeCell ref="O108:W108"/>
    <mergeCell ref="Q158:R158"/>
    <mergeCell ref="C77:G77"/>
    <mergeCell ref="AA190:AB190"/>
    <mergeCell ref="C69:AE69"/>
    <mergeCell ref="Q160:R160"/>
    <mergeCell ref="AA281:AC281"/>
    <mergeCell ref="S196:U196"/>
    <mergeCell ref="AC256:AE256"/>
    <mergeCell ref="K270:M270"/>
    <mergeCell ref="K263:M263"/>
    <mergeCell ref="Q184:R184"/>
    <mergeCell ref="C106:N106"/>
    <mergeCell ref="AC257:AE257"/>
    <mergeCell ref="H264:J264"/>
    <mergeCell ref="K265:M265"/>
    <mergeCell ref="C60:D60"/>
    <mergeCell ref="C219:G219"/>
    <mergeCell ref="C101:N101"/>
    <mergeCell ref="AB149:AE149"/>
    <mergeCell ref="X44:Y44"/>
    <mergeCell ref="C57:D57"/>
    <mergeCell ref="C82:AE82"/>
    <mergeCell ref="AC275:AE275"/>
    <mergeCell ref="AC269:AE269"/>
    <mergeCell ref="C58:D58"/>
    <mergeCell ref="C83:AE83"/>
    <mergeCell ref="AD88:AE88"/>
    <mergeCell ref="AC181:AE181"/>
    <mergeCell ref="K195:M195"/>
    <mergeCell ref="C300:N300"/>
    <mergeCell ref="AC270:AE270"/>
    <mergeCell ref="H65:J65"/>
    <mergeCell ref="AD90:AE90"/>
    <mergeCell ref="K38:M38"/>
    <mergeCell ref="Y158:Z158"/>
    <mergeCell ref="O203:W203"/>
    <mergeCell ref="Y168:Z168"/>
    <mergeCell ref="X63:Y63"/>
    <mergeCell ref="H179:J179"/>
    <mergeCell ref="S177:U177"/>
    <mergeCell ref="X91:Z91"/>
    <mergeCell ref="C7:AE7"/>
    <mergeCell ref="AD12:AE12"/>
    <mergeCell ref="Y184:Z184"/>
    <mergeCell ref="H49:J49"/>
    <mergeCell ref="K252:M252"/>
    <mergeCell ref="AC194:AE194"/>
    <mergeCell ref="AD20:AE20"/>
    <mergeCell ref="Q259:S259"/>
    <mergeCell ref="AD14:AE14"/>
    <mergeCell ref="V176:X176"/>
    <mergeCell ref="AB221:AE221"/>
    <mergeCell ref="AD13:AE13"/>
    <mergeCell ref="C246:D246"/>
    <mergeCell ref="Q261:S261"/>
    <mergeCell ref="V178:X178"/>
    <mergeCell ref="X117:Z117"/>
    <mergeCell ref="AD15:AE15"/>
    <mergeCell ref="E66:G66"/>
    <mergeCell ref="AC36:AE36"/>
    <mergeCell ref="K236:M236"/>
    <mergeCell ref="E68:G68"/>
    <mergeCell ref="Z54:AB54"/>
    <mergeCell ref="E67:G67"/>
    <mergeCell ref="C97:N97"/>
    <mergeCell ref="T36:U36"/>
    <mergeCell ref="Q183:R183"/>
    <mergeCell ref="H251:J251"/>
    <mergeCell ref="C172:D172"/>
    <mergeCell ref="H278:J278"/>
    <mergeCell ref="Z239:AB239"/>
    <mergeCell ref="H253:J253"/>
    <mergeCell ref="C171:D171"/>
    <mergeCell ref="AA202:AC202"/>
    <mergeCell ref="C79:AE79"/>
    <mergeCell ref="C123:N123"/>
    <mergeCell ref="AB148:AE148"/>
    <mergeCell ref="T62:U62"/>
    <mergeCell ref="C173:D173"/>
    <mergeCell ref="K160:M160"/>
    <mergeCell ref="E237:G237"/>
    <mergeCell ref="AC266:AE266"/>
    <mergeCell ref="H273:J273"/>
    <mergeCell ref="T64:U64"/>
    <mergeCell ref="E239:G239"/>
    <mergeCell ref="H220:W220"/>
    <mergeCell ref="AC268:AE268"/>
    <mergeCell ref="K34:M34"/>
    <mergeCell ref="N160:P160"/>
    <mergeCell ref="K36:M36"/>
    <mergeCell ref="N159:P159"/>
    <mergeCell ref="Q196:R196"/>
    <mergeCell ref="K29:M29"/>
    <mergeCell ref="H177:J177"/>
    <mergeCell ref="C113:N113"/>
    <mergeCell ref="N161:P161"/>
    <mergeCell ref="AD226:AE226"/>
    <mergeCell ref="K31:M31"/>
    <mergeCell ref="E167:G167"/>
    <mergeCell ref="V269:W269"/>
    <mergeCell ref="Y180:Z180"/>
    <mergeCell ref="O202:W202"/>
    <mergeCell ref="AC165:AE165"/>
    <mergeCell ref="AD228:AE228"/>
    <mergeCell ref="E169:G169"/>
    <mergeCell ref="Z278:AB278"/>
    <mergeCell ref="Y182:Z182"/>
    <mergeCell ref="Q46:S46"/>
    <mergeCell ref="AD99:AE99"/>
    <mergeCell ref="K176:M176"/>
    <mergeCell ref="X93:Z93"/>
    <mergeCell ref="E162:G162"/>
    <mergeCell ref="C242:D242"/>
    <mergeCell ref="Q257:S257"/>
    <mergeCell ref="N187:P187"/>
    <mergeCell ref="Q48:S48"/>
    <mergeCell ref="V174:X174"/>
    <mergeCell ref="X239:Y239"/>
    <mergeCell ref="C252:D252"/>
    <mergeCell ref="E164:G164"/>
    <mergeCell ref="C244:D244"/>
    <mergeCell ref="K49:M49"/>
    <mergeCell ref="K171:M171"/>
    <mergeCell ref="S192:U192"/>
    <mergeCell ref="X306:AE306"/>
    <mergeCell ref="E195:G195"/>
    <mergeCell ref="H196:J196"/>
    <mergeCell ref="E180:G180"/>
    <mergeCell ref="K261:M261"/>
    <mergeCell ref="H191:J191"/>
    <mergeCell ref="E182:G182"/>
    <mergeCell ref="E65:G65"/>
    <mergeCell ref="X108:Z108"/>
    <mergeCell ref="Q270:S270"/>
    <mergeCell ref="X258:Y258"/>
    <mergeCell ref="C271:D271"/>
    <mergeCell ref="C265:D265"/>
    <mergeCell ref="AC60:AE60"/>
    <mergeCell ref="H249:J249"/>
    <mergeCell ref="E179:G179"/>
    <mergeCell ref="T276:U276"/>
    <mergeCell ref="H242:J242"/>
    <mergeCell ref="C80:AE80"/>
    <mergeCell ref="T278:U278"/>
    <mergeCell ref="V36:W36"/>
    <mergeCell ref="H244:J244"/>
    <mergeCell ref="T60:U60"/>
    <mergeCell ref="AA13:AC13"/>
    <mergeCell ref="S176:U176"/>
    <mergeCell ref="AA15:AC15"/>
    <mergeCell ref="C195:D195"/>
    <mergeCell ref="X304:Z304"/>
    <mergeCell ref="Z37:AB37"/>
    <mergeCell ref="AB289:AE289"/>
    <mergeCell ref="Z254:AB254"/>
    <mergeCell ref="C197:D197"/>
    <mergeCell ref="Z248:AB248"/>
    <mergeCell ref="E261:G261"/>
    <mergeCell ref="H262:J262"/>
    <mergeCell ref="Z247:AB247"/>
    <mergeCell ref="Q166:R166"/>
    <mergeCell ref="N186:P186"/>
    <mergeCell ref="O12:W12"/>
    <mergeCell ref="Z249:AB249"/>
    <mergeCell ref="E256:G256"/>
    <mergeCell ref="V266:W266"/>
    <mergeCell ref="O14:W14"/>
    <mergeCell ref="N183:P183"/>
    <mergeCell ref="X201:Z201"/>
    <mergeCell ref="O13:W13"/>
    <mergeCell ref="V268:W268"/>
    <mergeCell ref="X26:Y26"/>
    <mergeCell ref="C39:D39"/>
    <mergeCell ref="N54:P54"/>
    <mergeCell ref="X203:Z203"/>
    <mergeCell ref="O15:W15"/>
    <mergeCell ref="AB219:AE219"/>
    <mergeCell ref="K55:M55"/>
    <mergeCell ref="N56:P56"/>
    <mergeCell ref="C281:N281"/>
    <mergeCell ref="Q39:S39"/>
    <mergeCell ref="K169:M169"/>
    <mergeCell ref="X27:Y27"/>
    <mergeCell ref="Z267:AB267"/>
    <mergeCell ref="C280:N280"/>
    <mergeCell ref="E274:G274"/>
    <mergeCell ref="K46:M46"/>
    <mergeCell ref="K40:M40"/>
    <mergeCell ref="Q179:R179"/>
    <mergeCell ref="AA88:AC88"/>
    <mergeCell ref="X52:Y52"/>
    <mergeCell ref="E186:G186"/>
    <mergeCell ref="H187:J187"/>
    <mergeCell ref="Z262:AB262"/>
    <mergeCell ref="X37:Y37"/>
    <mergeCell ref="C50:D50"/>
    <mergeCell ref="T246:U246"/>
    <mergeCell ref="Q241:S241"/>
    <mergeCell ref="AD118:AE118"/>
    <mergeCell ref="N196:P196"/>
    <mergeCell ref="S157:U157"/>
    <mergeCell ref="V158:X158"/>
    <mergeCell ref="V193:X193"/>
    <mergeCell ref="K66:M66"/>
    <mergeCell ref="AB361:AE361"/>
    <mergeCell ref="K197:M197"/>
    <mergeCell ref="N198:P198"/>
    <mergeCell ref="H30:J30"/>
    <mergeCell ref="V160:X160"/>
    <mergeCell ref="X256:Y256"/>
    <mergeCell ref="X38:Y38"/>
    <mergeCell ref="X99:Z99"/>
    <mergeCell ref="T241:U241"/>
    <mergeCell ref="H29:J29"/>
    <mergeCell ref="K68:M68"/>
    <mergeCell ref="AC174:AE174"/>
    <mergeCell ref="T243:U243"/>
    <mergeCell ref="H31:J31"/>
    <mergeCell ref="H58:J58"/>
    <mergeCell ref="Y160:Z160"/>
    <mergeCell ref="C264:D264"/>
    <mergeCell ref="C293:G293"/>
    <mergeCell ref="H60:J60"/>
    <mergeCell ref="AC42:AE42"/>
    <mergeCell ref="Z33:AB33"/>
    <mergeCell ref="E46:G46"/>
    <mergeCell ref="X267:Y267"/>
    <mergeCell ref="C274:D274"/>
    <mergeCell ref="AC44:AE44"/>
    <mergeCell ref="H57:J57"/>
    <mergeCell ref="Z35:AB35"/>
    <mergeCell ref="X269:Y269"/>
    <mergeCell ref="O110:W110"/>
    <mergeCell ref="Q162:R162"/>
    <mergeCell ref="Z34:AB34"/>
    <mergeCell ref="Z28:AB28"/>
    <mergeCell ref="E41:G41"/>
    <mergeCell ref="H42:J42"/>
    <mergeCell ref="Z245:AB245"/>
    <mergeCell ref="X149:AA149"/>
    <mergeCell ref="Z36:AB36"/>
    <mergeCell ref="Z30:AB30"/>
    <mergeCell ref="E43:G43"/>
    <mergeCell ref="Q157:R157"/>
    <mergeCell ref="V53:W53"/>
    <mergeCell ref="X303:Z303"/>
    <mergeCell ref="Z61:AB61"/>
    <mergeCell ref="V46:W46"/>
    <mergeCell ref="O92:W92"/>
    <mergeCell ref="C179:D179"/>
    <mergeCell ref="N185:P185"/>
    <mergeCell ref="E276:G276"/>
    <mergeCell ref="E270:G270"/>
    <mergeCell ref="Q175:R175"/>
    <mergeCell ref="X291:AA291"/>
    <mergeCell ref="E271:G271"/>
    <mergeCell ref="Q177:R177"/>
    <mergeCell ref="C46:D46"/>
    <mergeCell ref="Q176:R176"/>
    <mergeCell ref="Z260:AB260"/>
    <mergeCell ref="E273:G273"/>
    <mergeCell ref="N27:P27"/>
    <mergeCell ref="K158:M158"/>
    <mergeCell ref="AD203:AE203"/>
    <mergeCell ref="C48:D48"/>
    <mergeCell ref="C87:N87"/>
    <mergeCell ref="X51:Y51"/>
    <mergeCell ref="X220:AA220"/>
    <mergeCell ref="T34:U34"/>
    <mergeCell ref="T28:U28"/>
    <mergeCell ref="X36:Y36"/>
    <mergeCell ref="C306:N306"/>
    <mergeCell ref="T245:U245"/>
    <mergeCell ref="T239:U239"/>
    <mergeCell ref="Y162:Z162"/>
    <mergeCell ref="AA226:AC226"/>
    <mergeCell ref="X221:AA221"/>
    <mergeCell ref="T30:U30"/>
    <mergeCell ref="X67:Y67"/>
    <mergeCell ref="AD229:AE229"/>
    <mergeCell ref="X61:Y61"/>
    <mergeCell ref="Y164:Z164"/>
    <mergeCell ref="C250:D250"/>
    <mergeCell ref="N247:P247"/>
    <mergeCell ref="V182:X182"/>
    <mergeCell ref="T240:U240"/>
    <mergeCell ref="N38:P38"/>
    <mergeCell ref="AA99:AC99"/>
    <mergeCell ref="Y157:Z157"/>
    <mergeCell ref="E197:G197"/>
    <mergeCell ref="N249:P249"/>
    <mergeCell ref="X62:Y62"/>
    <mergeCell ref="K179:M179"/>
    <mergeCell ref="C309:AE309"/>
    <mergeCell ref="H170:J170"/>
    <mergeCell ref="Y188:Z188"/>
    <mergeCell ref="V177:X177"/>
    <mergeCell ref="AD105:AE105"/>
    <mergeCell ref="X64:Y64"/>
    <mergeCell ref="AA94:AC94"/>
    <mergeCell ref="C19:N19"/>
    <mergeCell ref="S168:U168"/>
    <mergeCell ref="C311:AE311"/>
    <mergeCell ref="H172:J172"/>
    <mergeCell ref="Y190:Z190"/>
    <mergeCell ref="S167:U167"/>
    <mergeCell ref="AC158:AE158"/>
    <mergeCell ref="X145:AA145"/>
    <mergeCell ref="T258:U258"/>
    <mergeCell ref="Z32:AB32"/>
    <mergeCell ref="Y175:Z175"/>
    <mergeCell ref="E39:G39"/>
    <mergeCell ref="S169:U169"/>
    <mergeCell ref="C14:N14"/>
    <mergeCell ref="S165:U165"/>
    <mergeCell ref="N267:P267"/>
    <mergeCell ref="X147:AA147"/>
    <mergeCell ref="C3:G3"/>
    <mergeCell ref="X238:Y238"/>
    <mergeCell ref="S194:U194"/>
    <mergeCell ref="O88:W88"/>
    <mergeCell ref="C5:G5"/>
    <mergeCell ref="O99:W99"/>
    <mergeCell ref="N262:P262"/>
    <mergeCell ref="C24:AE24"/>
    <mergeCell ref="H66:J66"/>
    <mergeCell ref="C177:D177"/>
    <mergeCell ref="E57:G57"/>
    <mergeCell ref="V44:W44"/>
    <mergeCell ref="Z60:AB60"/>
    <mergeCell ref="E243:G243"/>
    <mergeCell ref="AA172:AB172"/>
    <mergeCell ref="X289:AA289"/>
    <mergeCell ref="Z45:AB45"/>
    <mergeCell ref="E58:G58"/>
    <mergeCell ref="X12:Z12"/>
    <mergeCell ref="S184:U184"/>
    <mergeCell ref="Z55:AB55"/>
    <mergeCell ref="AA173:AB173"/>
    <mergeCell ref="AC237:AE237"/>
    <mergeCell ref="K251:M251"/>
    <mergeCell ref="Q174:R174"/>
    <mergeCell ref="Q168:R168"/>
    <mergeCell ref="AA165:AB165"/>
    <mergeCell ref="X13:Z13"/>
    <mergeCell ref="K253:M253"/>
    <mergeCell ref="C112:N112"/>
    <mergeCell ref="Q199:R199"/>
    <mergeCell ref="N194:P194"/>
    <mergeCell ref="C114:N114"/>
    <mergeCell ref="T53:U53"/>
    <mergeCell ref="Q44:S44"/>
    <mergeCell ref="Q194:R194"/>
    <mergeCell ref="H27:J27"/>
    <mergeCell ref="T55:U55"/>
    <mergeCell ref="AA191:AB191"/>
    <mergeCell ref="AC255:AE255"/>
    <mergeCell ref="N34:P34"/>
    <mergeCell ref="AD227:AE227"/>
    <mergeCell ref="Q45:S45"/>
    <mergeCell ref="C124:AE124"/>
    <mergeCell ref="C188:D188"/>
    <mergeCell ref="X58:Y58"/>
    <mergeCell ref="K175:M175"/>
    <mergeCell ref="N36:P36"/>
    <mergeCell ref="H166:J166"/>
    <mergeCell ref="Q47:S47"/>
    <mergeCell ref="AA96:AC96"/>
    <mergeCell ref="X60:Y60"/>
    <mergeCell ref="AA90:AC90"/>
    <mergeCell ref="K177:M177"/>
    <mergeCell ref="H168:J168"/>
    <mergeCell ref="Y186:Z186"/>
    <mergeCell ref="C104:N104"/>
    <mergeCell ref="T37:U37"/>
    <mergeCell ref="H167:J167"/>
    <mergeCell ref="H161:J161"/>
    <mergeCell ref="AD96:AE96"/>
    <mergeCell ref="X361:AA361"/>
    <mergeCell ref="H169:J169"/>
    <mergeCell ref="N62:P62"/>
    <mergeCell ref="Q63:S63"/>
    <mergeCell ref="AA123:AC123"/>
    <mergeCell ref="Y181:Z181"/>
    <mergeCell ref="C99:N99"/>
    <mergeCell ref="T38:U38"/>
    <mergeCell ref="AD98:AE98"/>
    <mergeCell ref="N176:P176"/>
    <mergeCell ref="AA116:AC116"/>
    <mergeCell ref="N64:P64"/>
    <mergeCell ref="H194:J194"/>
    <mergeCell ref="O95:W95"/>
    <mergeCell ref="T63:U63"/>
    <mergeCell ref="O89:W89"/>
    <mergeCell ref="AA118:AC118"/>
    <mergeCell ref="AC180:AE180"/>
    <mergeCell ref="K48:M48"/>
    <mergeCell ref="AC182:AE182"/>
    <mergeCell ref="AA109:AC109"/>
    <mergeCell ref="H195:J195"/>
    <mergeCell ref="H189:J189"/>
    <mergeCell ref="O90:W90"/>
    <mergeCell ref="Y199:Z199"/>
    <mergeCell ref="S193:U193"/>
    <mergeCell ref="AD116:AE116"/>
    <mergeCell ref="H197:J197"/>
    <mergeCell ref="X110:Z110"/>
    <mergeCell ref="S180:U180"/>
    <mergeCell ref="Y194:Z194"/>
    <mergeCell ref="X247:Y247"/>
    <mergeCell ref="K247:M247"/>
    <mergeCell ref="K277:M277"/>
    <mergeCell ref="S175:U175"/>
    <mergeCell ref="K249:M249"/>
    <mergeCell ref="K276:M276"/>
    <mergeCell ref="K243:M243"/>
    <mergeCell ref="X92:Z92"/>
    <mergeCell ref="AC26:AE26"/>
    <mergeCell ref="E49:G49"/>
    <mergeCell ref="K278:M278"/>
    <mergeCell ref="X94:Z94"/>
    <mergeCell ref="V59:W59"/>
    <mergeCell ref="E163:G163"/>
    <mergeCell ref="AC251:AE251"/>
    <mergeCell ref="T26:U26"/>
    <mergeCell ref="E251:G251"/>
    <mergeCell ref="X275:Y275"/>
    <mergeCell ref="C76:G76"/>
    <mergeCell ref="V54:W54"/>
    <mergeCell ref="AC253:AE253"/>
    <mergeCell ref="C159:D159"/>
    <mergeCell ref="X277:Y277"/>
    <mergeCell ref="AC246:AE246"/>
    <mergeCell ref="H259:J259"/>
    <mergeCell ref="C186:D186"/>
    <mergeCell ref="AC254:AE254"/>
    <mergeCell ref="AC248:AE248"/>
    <mergeCell ref="H261:J261"/>
    <mergeCell ref="K262:M262"/>
    <mergeCell ref="Z238:AB238"/>
    <mergeCell ref="AB146:AE146"/>
    <mergeCell ref="C95:N95"/>
    <mergeCell ref="O301:W301"/>
    <mergeCell ref="Z240:AB240"/>
    <mergeCell ref="C54:D54"/>
    <mergeCell ref="C218:G218"/>
    <mergeCell ref="N60:P60"/>
    <mergeCell ref="AA201:AC201"/>
    <mergeCell ref="C56:D56"/>
    <mergeCell ref="C230:AE230"/>
    <mergeCell ref="X42:Y42"/>
    <mergeCell ref="X202:Z202"/>
    <mergeCell ref="AA203:AC203"/>
    <mergeCell ref="H272:J272"/>
    <mergeCell ref="T61:U61"/>
    <mergeCell ref="N55:P55"/>
    <mergeCell ref="Q56:S56"/>
    <mergeCell ref="C232:AE232"/>
    <mergeCell ref="AC267:AE267"/>
    <mergeCell ref="H274:J274"/>
    <mergeCell ref="AD87:AE87"/>
    <mergeCell ref="H193:J193"/>
    <mergeCell ref="AD122:AE122"/>
    <mergeCell ref="H64:J64"/>
    <mergeCell ref="X43:Y43"/>
    <mergeCell ref="Y165:Z165"/>
    <mergeCell ref="AA229:AC229"/>
    <mergeCell ref="AD107:AE107"/>
    <mergeCell ref="O226:W226"/>
    <mergeCell ref="O201:W201"/>
    <mergeCell ref="C297:N297"/>
    <mergeCell ref="AB73:AE73"/>
    <mergeCell ref="O228:W228"/>
    <mergeCell ref="C299:N299"/>
    <mergeCell ref="T238:U238"/>
    <mergeCell ref="AC191:AE191"/>
    <mergeCell ref="AC51:AE51"/>
    <mergeCell ref="K65:M65"/>
    <mergeCell ref="E159:G159"/>
    <mergeCell ref="E47:G47"/>
    <mergeCell ref="Q258:S258"/>
    <mergeCell ref="X271:Y271"/>
    <mergeCell ref="V175:X175"/>
    <mergeCell ref="V50:W50"/>
    <mergeCell ref="AB220:AE220"/>
    <mergeCell ref="Q260:S260"/>
    <mergeCell ref="N242:P242"/>
    <mergeCell ref="X273:Y273"/>
    <mergeCell ref="H2:W2"/>
    <mergeCell ref="X116:Z116"/>
    <mergeCell ref="E63:G63"/>
    <mergeCell ref="AD280:AE280"/>
    <mergeCell ref="AC33:AE33"/>
    <mergeCell ref="H46:J46"/>
    <mergeCell ref="C157:D157"/>
    <mergeCell ref="X266:Y266"/>
    <mergeCell ref="X118:Z118"/>
    <mergeCell ref="H257:J257"/>
    <mergeCell ref="X300:AE300"/>
    <mergeCell ref="AC35:AE35"/>
    <mergeCell ref="X268:Y268"/>
    <mergeCell ref="AC34:AE34"/>
    <mergeCell ref="AA301:AC301"/>
    <mergeCell ref="AC59:AE59"/>
    <mergeCell ref="AA303:AC303"/>
    <mergeCell ref="AC61:AE61"/>
    <mergeCell ref="N174:P174"/>
    <mergeCell ref="AB145:AE145"/>
    <mergeCell ref="C170:D170"/>
    <mergeCell ref="H276:J276"/>
    <mergeCell ref="H270:J270"/>
    <mergeCell ref="Z53:AB53"/>
    <mergeCell ref="E236:G236"/>
    <mergeCell ref="V254:W254"/>
    <mergeCell ref="V248:W248"/>
    <mergeCell ref="N169:P169"/>
    <mergeCell ref="Z264:AB264"/>
    <mergeCell ref="Q26:S26"/>
    <mergeCell ref="AA16:AC16"/>
    <mergeCell ref="C196:D196"/>
    <mergeCell ref="K157:M157"/>
    <mergeCell ref="N158:P158"/>
    <mergeCell ref="C198:D198"/>
    <mergeCell ref="K28:M28"/>
    <mergeCell ref="K30:M30"/>
    <mergeCell ref="Z275:AB275"/>
    <mergeCell ref="E160:G160"/>
    <mergeCell ref="Q37:S37"/>
    <mergeCell ref="V267:W267"/>
    <mergeCell ref="Q254:S254"/>
    <mergeCell ref="Z277:AB277"/>
    <mergeCell ref="AD106:AE106"/>
    <mergeCell ref="N184:P184"/>
    <mergeCell ref="V171:X171"/>
    <mergeCell ref="X236:Y236"/>
    <mergeCell ref="C249:D249"/>
    <mergeCell ref="V181:X181"/>
    <mergeCell ref="E161:G161"/>
    <mergeCell ref="Q256:S256"/>
    <mergeCell ref="AA98:AC98"/>
    <mergeCell ref="N238:P238"/>
    <mergeCell ref="V173:X173"/>
    <mergeCell ref="X229:Z229"/>
    <mergeCell ref="Q249:S249"/>
    <mergeCell ref="K56:M56"/>
    <mergeCell ref="V166:X166"/>
    <mergeCell ref="X237:Y237"/>
    <mergeCell ref="N240:P240"/>
    <mergeCell ref="AC162:AE162"/>
    <mergeCell ref="K170:M170"/>
    <mergeCell ref="V168:X168"/>
    <mergeCell ref="X298:AE298"/>
    <mergeCell ref="AA302:AC302"/>
    <mergeCell ref="V51:W51"/>
    <mergeCell ref="V192:X192"/>
    <mergeCell ref="N266:P266"/>
    <mergeCell ref="Q267:S267"/>
    <mergeCell ref="X255:Y255"/>
    <mergeCell ref="C262:D262"/>
    <mergeCell ref="AA299:AC299"/>
    <mergeCell ref="AC57:AE57"/>
    <mergeCell ref="V194:X194"/>
    <mergeCell ref="C292:G292"/>
    <mergeCell ref="N268:P268"/>
    <mergeCell ref="Q269:S269"/>
    <mergeCell ref="AA111:AC111"/>
    <mergeCell ref="AC58:AE58"/>
    <mergeCell ref="T275:U275"/>
    <mergeCell ref="V33:W33"/>
    <mergeCell ref="H241:J241"/>
    <mergeCell ref="T269:U269"/>
    <mergeCell ref="AA167:AB167"/>
    <mergeCell ref="T277:U277"/>
    <mergeCell ref="V35:W35"/>
    <mergeCell ref="H243:J243"/>
    <mergeCell ref="Z51:AB51"/>
    <mergeCell ref="AA12:AC12"/>
    <mergeCell ref="V245:W245"/>
    <mergeCell ref="C192:D192"/>
    <mergeCell ref="AA162:AB162"/>
    <mergeCell ref="X301:Z301"/>
    <mergeCell ref="AA14:AC14"/>
    <mergeCell ref="C194:D194"/>
    <mergeCell ref="E258:G258"/>
    <mergeCell ref="AA164:AB164"/>
    <mergeCell ref="K242:M242"/>
    <mergeCell ref="X146:AA146"/>
    <mergeCell ref="N193:P193"/>
    <mergeCell ref="Z246:AB246"/>
    <mergeCell ref="E259:G259"/>
    <mergeCell ref="C189:D189"/>
    <mergeCell ref="E253:G253"/>
    <mergeCell ref="AA188:AB188"/>
    <mergeCell ref="V263:W263"/>
    <mergeCell ref="C34:D34"/>
    <mergeCell ref="AA180:AB180"/>
    <mergeCell ref="N180:P180"/>
    <mergeCell ref="Q35:S35"/>
    <mergeCell ref="V265:W265"/>
    <mergeCell ref="Q34:S34"/>
    <mergeCell ref="N182:P182"/>
    <mergeCell ref="V258:W258"/>
    <mergeCell ref="C29:D29"/>
    <mergeCell ref="C65:D65"/>
    <mergeCell ref="Q36:S36"/>
    <mergeCell ref="Q30:S30"/>
    <mergeCell ref="K166:M166"/>
    <mergeCell ref="V260:W260"/>
    <mergeCell ref="C31:D31"/>
    <mergeCell ref="AC247:AE247"/>
    <mergeCell ref="N177:P177"/>
    <mergeCell ref="K168:M168"/>
    <mergeCell ref="K167:M167"/>
    <mergeCell ref="V195:X195"/>
    <mergeCell ref="AD113:AE113"/>
    <mergeCell ref="E272:G272"/>
    <mergeCell ref="E185:G185"/>
    <mergeCell ref="Q62:S62"/>
    <mergeCell ref="AD115:AE115"/>
    <mergeCell ref="X73:AA73"/>
    <mergeCell ref="K192:M192"/>
    <mergeCell ref="N53:P53"/>
    <mergeCell ref="Q54:S54"/>
    <mergeCell ref="C258:D258"/>
    <mergeCell ref="H39:J39"/>
    <mergeCell ref="C49:D49"/>
    <mergeCell ref="Q64:S64"/>
    <mergeCell ref="V190:X190"/>
    <mergeCell ref="K63:M63"/>
    <mergeCell ref="N264:P264"/>
    <mergeCell ref="N46:P46"/>
    <mergeCell ref="K194:M194"/>
    <mergeCell ref="AA107:AC107"/>
    <mergeCell ref="S181:U181"/>
    <mergeCell ref="C266:D266"/>
    <mergeCell ref="C260:D260"/>
    <mergeCell ref="C305:N305"/>
    <mergeCell ref="C42:D42"/>
    <mergeCell ref="N48:P48"/>
    <mergeCell ref="C259:D259"/>
    <mergeCell ref="AC171:AE171"/>
    <mergeCell ref="T271:U271"/>
    <mergeCell ref="V29:W29"/>
    <mergeCell ref="E27:G27"/>
    <mergeCell ref="H28:J28"/>
    <mergeCell ref="X248:Y248"/>
    <mergeCell ref="C261:D261"/>
    <mergeCell ref="AC173:AE173"/>
    <mergeCell ref="H186:J186"/>
    <mergeCell ref="T273:U273"/>
    <mergeCell ref="V31:W31"/>
    <mergeCell ref="AA110:AC110"/>
    <mergeCell ref="E196:G196"/>
    <mergeCell ref="T266:U266"/>
    <mergeCell ref="V60:W60"/>
    <mergeCell ref="E198:G198"/>
    <mergeCell ref="O106:W106"/>
    <mergeCell ref="V32:W32"/>
    <mergeCell ref="X96:Z96"/>
    <mergeCell ref="N250:P250"/>
    <mergeCell ref="V26:W26"/>
    <mergeCell ref="T268:U268"/>
    <mergeCell ref="N275:P275"/>
    <mergeCell ref="O105:W105"/>
    <mergeCell ref="H54:J54"/>
    <mergeCell ref="X98:Z98"/>
    <mergeCell ref="AC199:AE199"/>
    <mergeCell ref="K238:M238"/>
    <mergeCell ref="N277:P277"/>
    <mergeCell ref="V57:W57"/>
    <mergeCell ref="O107:W107"/>
    <mergeCell ref="N276:P276"/>
    <mergeCell ref="H56:J56"/>
    <mergeCell ref="S166:U166"/>
    <mergeCell ref="E38:G38"/>
    <mergeCell ref="K240:M240"/>
    <mergeCell ref="AC67:AE67"/>
    <mergeCell ref="V42:W42"/>
    <mergeCell ref="E249:G249"/>
    <mergeCell ref="N278:P278"/>
    <mergeCell ref="E40:G40"/>
    <mergeCell ref="V58:W58"/>
    <mergeCell ref="V52:W52"/>
    <mergeCell ref="E257:G257"/>
    <mergeCell ref="C4:G4"/>
    <mergeCell ref="AA186:AB186"/>
    <mergeCell ref="AB3:AE3"/>
    <mergeCell ref="AB5:AE5"/>
    <mergeCell ref="X109:Z109"/>
    <mergeCell ref="C25:AE25"/>
    <mergeCell ref="X22:Z22"/>
    <mergeCell ref="K259:M259"/>
    <mergeCell ref="Z59:AB59"/>
    <mergeCell ref="C27:D27"/>
    <mergeCell ref="T41:U41"/>
    <mergeCell ref="AC245:AE245"/>
    <mergeCell ref="Q182:R182"/>
    <mergeCell ref="T43:U43"/>
    <mergeCell ref="E262:G262"/>
    <mergeCell ref="Q58:S58"/>
    <mergeCell ref="X40:Y40"/>
    <mergeCell ref="AA199:AB199"/>
    <mergeCell ref="C45:D45"/>
    <mergeCell ref="Q60:S60"/>
    <mergeCell ref="AB147:AE147"/>
    <mergeCell ref="AC271:AE271"/>
    <mergeCell ref="O21:W21"/>
    <mergeCell ref="AC265:AE265"/>
    <mergeCell ref="C47:D47"/>
    <mergeCell ref="C40:D40"/>
    <mergeCell ref="C75:G75"/>
    <mergeCell ref="T236:U236"/>
    <mergeCell ref="Y159:Z159"/>
    <mergeCell ref="K274:M274"/>
    <mergeCell ref="K62:M62"/>
    <mergeCell ref="AD86:AE86"/>
    <mergeCell ref="K193:M193"/>
    <mergeCell ref="C298:N298"/>
    <mergeCell ref="T237:U237"/>
    <mergeCell ref="N246:P246"/>
    <mergeCell ref="C8:AE8"/>
    <mergeCell ref="X59:Y59"/>
    <mergeCell ref="N37:P37"/>
    <mergeCell ref="C66:D66"/>
    <mergeCell ref="AB77:AE77"/>
    <mergeCell ref="AC195:AE195"/>
    <mergeCell ref="N248:P248"/>
    <mergeCell ref="C308:AE308"/>
    <mergeCell ref="C16:N16"/>
    <mergeCell ref="C68:D68"/>
    <mergeCell ref="H52:J52"/>
    <mergeCell ref="H149:W149"/>
    <mergeCell ref="E34:G34"/>
    <mergeCell ref="AC197:AE197"/>
    <mergeCell ref="H45:J45"/>
    <mergeCell ref="T255:U255"/>
    <mergeCell ref="E36:G36"/>
    <mergeCell ref="H47:J47"/>
    <mergeCell ref="Q247:S247"/>
    <mergeCell ref="T250:U250"/>
    <mergeCell ref="C2:G2"/>
    <mergeCell ref="X105:Z105"/>
    <mergeCell ref="C96:N96"/>
    <mergeCell ref="O87:W87"/>
    <mergeCell ref="Z49:AB49"/>
    <mergeCell ref="E62:G62"/>
    <mergeCell ref="H63:J63"/>
    <mergeCell ref="AC32:AE32"/>
    <mergeCell ref="K266:M266"/>
    <mergeCell ref="X107:Z107"/>
    <mergeCell ref="H291:W291"/>
    <mergeCell ref="C98:N98"/>
    <mergeCell ref="O116:W116"/>
    <mergeCell ref="Z57:AB57"/>
    <mergeCell ref="E64:G64"/>
    <mergeCell ref="T39:U39"/>
    <mergeCell ref="AD21:AE21"/>
    <mergeCell ref="Z50:AB50"/>
    <mergeCell ref="V68:W68"/>
    <mergeCell ref="H292:W292"/>
    <mergeCell ref="C18:AE18"/>
    <mergeCell ref="C93:N93"/>
    <mergeCell ref="V67:W67"/>
    <mergeCell ref="T32:U32"/>
    <mergeCell ref="O113:W113"/>
    <mergeCell ref="Z52:AB52"/>
    <mergeCell ref="H76:W76"/>
    <mergeCell ref="AA170:AB170"/>
    <mergeCell ref="AC50:AE50"/>
    <mergeCell ref="C168:D168"/>
    <mergeCell ref="Q181:R181"/>
    <mergeCell ref="AC236:AE236"/>
    <mergeCell ref="K250:M250"/>
    <mergeCell ref="C103:AE103"/>
    <mergeCell ref="C167:D167"/>
    <mergeCell ref="H221:W221"/>
    <mergeCell ref="C169:D169"/>
    <mergeCell ref="C111:N111"/>
    <mergeCell ref="Q191:R191"/>
    <mergeCell ref="T52:U52"/>
    <mergeCell ref="AC264:AE264"/>
    <mergeCell ref="Q163:R163"/>
    <mergeCell ref="H218:W218"/>
    <mergeCell ref="V238:W238"/>
    <mergeCell ref="K32:M32"/>
    <mergeCell ref="N33:P33"/>
    <mergeCell ref="C62:D62"/>
    <mergeCell ref="T49:U49"/>
    <mergeCell ref="C187:D187"/>
    <mergeCell ref="C64:D64"/>
    <mergeCell ref="N157:P157"/>
    <mergeCell ref="T42:U42"/>
    <mergeCell ref="AC274:AE274"/>
    <mergeCell ref="K27:M27"/>
    <mergeCell ref="N28:P28"/>
    <mergeCell ref="T50:U50"/>
    <mergeCell ref="H158:J158"/>
    <mergeCell ref="T44:U44"/>
    <mergeCell ref="S162:U162"/>
    <mergeCell ref="N30:P30"/>
    <mergeCell ref="H160:J160"/>
    <mergeCell ref="Y178:Z178"/>
    <mergeCell ref="AD95:AE95"/>
    <mergeCell ref="AA113:AC113"/>
    <mergeCell ref="AB218:AE218"/>
    <mergeCell ref="S187:U187"/>
    <mergeCell ref="H148:W148"/>
    <mergeCell ref="AC277:AE277"/>
    <mergeCell ref="AD97:AE97"/>
    <mergeCell ref="N175:P175"/>
    <mergeCell ref="C240:D240"/>
    <mergeCell ref="AA115:AC115"/>
    <mergeCell ref="S189:U189"/>
    <mergeCell ref="Q238:S238"/>
    <mergeCell ref="K45:M45"/>
    <mergeCell ref="S182:U182"/>
    <mergeCell ref="K256:M256"/>
    <mergeCell ref="AC179:AE179"/>
    <mergeCell ref="H192:J192"/>
    <mergeCell ref="K47:M47"/>
    <mergeCell ref="E177:G177"/>
    <mergeCell ref="E60:G60"/>
    <mergeCell ref="S190:U190"/>
    <mergeCell ref="Y196:Z196"/>
    <mergeCell ref="K264:M264"/>
    <mergeCell ref="E176:G176"/>
    <mergeCell ref="AD123:AE123"/>
    <mergeCell ref="K257:M257"/>
    <mergeCell ref="E178:G178"/>
    <mergeCell ref="Z48:AB48"/>
    <mergeCell ref="Y191:Z191"/>
    <mergeCell ref="H290:W290"/>
    <mergeCell ref="Q266:S266"/>
    <mergeCell ref="X254:Y254"/>
    <mergeCell ref="K246:M246"/>
    <mergeCell ref="Q268:S268"/>
    <mergeCell ref="AC48:AE48"/>
    <mergeCell ref="O115:W115"/>
    <mergeCell ref="O229:W229"/>
    <mergeCell ref="AD22:AE22"/>
    <mergeCell ref="X3:AA3"/>
    <mergeCell ref="H240:J240"/>
    <mergeCell ref="K241:M241"/>
    <mergeCell ref="X5:AA5"/>
    <mergeCell ref="X272:Y272"/>
    <mergeCell ref="O280:W280"/>
    <mergeCell ref="AA179:AB179"/>
    <mergeCell ref="C183:D183"/>
    <mergeCell ref="Q190:R190"/>
    <mergeCell ref="C193:D193"/>
    <mergeCell ref="H258:J258"/>
    <mergeCell ref="C176:D176"/>
    <mergeCell ref="X302:Z302"/>
    <mergeCell ref="T40:U40"/>
    <mergeCell ref="H260:J260"/>
    <mergeCell ref="C178:D178"/>
    <mergeCell ref="E242:G242"/>
    <mergeCell ref="Z237:AB237"/>
    <mergeCell ref="V264:W264"/>
    <mergeCell ref="K41:M41"/>
    <mergeCell ref="N52:P52"/>
    <mergeCell ref="H182:J182"/>
    <mergeCell ref="K43:M43"/>
    <mergeCell ref="N166:P166"/>
    <mergeCell ref="Z263:AB263"/>
    <mergeCell ref="H190:J190"/>
    <mergeCell ref="T59:U59"/>
    <mergeCell ref="Z265:AB265"/>
    <mergeCell ref="X77:AA77"/>
    <mergeCell ref="H183:J183"/>
    <mergeCell ref="E174:G174"/>
    <mergeCell ref="AC172:AE172"/>
    <mergeCell ref="H185:J185"/>
    <mergeCell ref="V275:W275"/>
    <mergeCell ref="X33:Y33"/>
    <mergeCell ref="N192:P192"/>
    <mergeCell ref="Q53:S53"/>
    <mergeCell ref="K183:M183"/>
    <mergeCell ref="X41:Y41"/>
    <mergeCell ref="V277:W277"/>
    <mergeCell ref="X35:Y35"/>
    <mergeCell ref="N63:P63"/>
    <mergeCell ref="Q239:S239"/>
    <mergeCell ref="Q264:S264"/>
    <mergeCell ref="X252:Y252"/>
    <mergeCell ref="K54:M54"/>
    <mergeCell ref="C153:AE153"/>
    <mergeCell ref="O225:W225"/>
    <mergeCell ref="K64:M64"/>
    <mergeCell ref="O227:W227"/>
    <mergeCell ref="C202:N202"/>
    <mergeCell ref="C154:AE154"/>
    <mergeCell ref="E158:G158"/>
    <mergeCell ref="C156:AE156"/>
    <mergeCell ref="K268:M268"/>
    <mergeCell ref="H198:J198"/>
    <mergeCell ref="C277:D277"/>
    <mergeCell ref="X113:Z113"/>
    <mergeCell ref="Q275:S275"/>
    <mergeCell ref="Q250:S250"/>
    <mergeCell ref="X263:Y263"/>
    <mergeCell ref="C276:D276"/>
    <mergeCell ref="AC188:AE188"/>
    <mergeCell ref="N241:P241"/>
    <mergeCell ref="X115:Z115"/>
    <mergeCell ref="Q277:S277"/>
    <mergeCell ref="E184:G184"/>
    <mergeCell ref="Z31:AB31"/>
    <mergeCell ref="X265:Y265"/>
    <mergeCell ref="C278:D278"/>
    <mergeCell ref="H38:J38"/>
    <mergeCell ref="AD301:AE301"/>
    <mergeCell ref="Z26:AB26"/>
    <mergeCell ref="H40:J40"/>
    <mergeCell ref="V43:W43"/>
    <mergeCell ref="AA20:AC20"/>
    <mergeCell ref="AB292:AE292"/>
    <mergeCell ref="Z42:AB42"/>
    <mergeCell ref="Z259:AB259"/>
    <mergeCell ref="H267:J267"/>
    <mergeCell ref="Z44:AB44"/>
    <mergeCell ref="Q171:R171"/>
    <mergeCell ref="Z261:AB261"/>
    <mergeCell ref="E268:G268"/>
    <mergeCell ref="H269:J269"/>
    <mergeCell ref="Q173:R173"/>
    <mergeCell ref="V271:W271"/>
    <mergeCell ref="V246:W246"/>
    <mergeCell ref="O19:W19"/>
    <mergeCell ref="AA163:AB163"/>
    <mergeCell ref="N188:P188"/>
    <mergeCell ref="Z256:AB256"/>
    <mergeCell ref="V273:W273"/>
    <mergeCell ref="X31:Y31"/>
    <mergeCell ref="N165:P165"/>
    <mergeCell ref="Q51:S51"/>
    <mergeCell ref="O20:W20"/>
    <mergeCell ref="X39:Y39"/>
    <mergeCell ref="X218:AA218"/>
    <mergeCell ref="X32:Y32"/>
    <mergeCell ref="O22:W22"/>
    <mergeCell ref="C74:G74"/>
    <mergeCell ref="Z272:AB272"/>
    <mergeCell ref="Q251:S251"/>
    <mergeCell ref="Z274:AB274"/>
    <mergeCell ref="AD225:AE225"/>
    <mergeCell ref="X122:Z122"/>
    <mergeCell ref="X219:AA219"/>
    <mergeCell ref="C152:AE152"/>
    <mergeCell ref="X65:Y65"/>
    <mergeCell ref="AA95:AC95"/>
    <mergeCell ref="E193:G193"/>
    <mergeCell ref="Q246:S246"/>
    <mergeCell ref="C13:N13"/>
    <mergeCell ref="V163:X163"/>
    <mergeCell ref="AA97:AC97"/>
    <mergeCell ref="AC159:AE159"/>
    <mergeCell ref="N237:P237"/>
    <mergeCell ref="C241:D241"/>
    <mergeCell ref="X50:Y50"/>
    <mergeCell ref="T253:U253"/>
    <mergeCell ref="Q248:S248"/>
    <mergeCell ref="Z27:AB27"/>
    <mergeCell ref="C15:N15"/>
    <mergeCell ref="S164:U164"/>
    <mergeCell ref="V165:X165"/>
    <mergeCell ref="AC186:AE186"/>
    <mergeCell ref="N239:P239"/>
    <mergeCell ref="C243:D243"/>
    <mergeCell ref="H34:J34"/>
    <mergeCell ref="T254:U254"/>
    <mergeCell ref="T248:U248"/>
    <mergeCell ref="Y171:Z171"/>
    <mergeCell ref="H36:J36"/>
    <mergeCell ref="N263:P263"/>
    <mergeCell ref="T256:U256"/>
    <mergeCell ref="Y173:Z173"/>
    <mergeCell ref="AD299:AE299"/>
    <mergeCell ref="AC54:AE54"/>
    <mergeCell ref="V191:X191"/>
    <mergeCell ref="N265:P265"/>
    <mergeCell ref="AA108:AC108"/>
    <mergeCell ref="AC56:AE56"/>
    <mergeCell ref="N258:P258"/>
    <mergeCell ref="X280:Z280"/>
    <mergeCell ref="C291:G291"/>
    <mergeCell ref="O122:W122"/>
    <mergeCell ref="AC49:AE49"/>
    <mergeCell ref="H62:J62"/>
    <mergeCell ref="Z46:AB46"/>
    <mergeCell ref="N260:P260"/>
    <mergeCell ref="Z40:AB40"/>
    <mergeCell ref="E53:G53"/>
    <mergeCell ref="S183:U183"/>
    <mergeCell ref="AA22:AC22"/>
    <mergeCell ref="E55:G55"/>
    <mergeCell ref="V243:W243"/>
    <mergeCell ref="Q169:R169"/>
    <mergeCell ref="T267:U267"/>
    <mergeCell ref="Z41:AB41"/>
    <mergeCell ref="AA160:AB160"/>
    <mergeCell ref="E48:G48"/>
    <mergeCell ref="V242:W242"/>
    <mergeCell ref="V236:W236"/>
    <mergeCell ref="K248:M248"/>
    <mergeCell ref="AA159:AB159"/>
  </mergeCells>
  <printOptions horizontalCentered="1"/>
  <pageMargins left="0.5" right="0.5" top="0.6" bottom="0.6" header="0.5" footer="0.5"/>
  <pageSetup orientation="portrait" paperSize="9" scale="66" fitToHeight="0"/>
  <rowBreaks count="4" manualBreakCount="4">
    <brk id="73" min="0" max="16383" man="1"/>
    <brk id="145" min="0" max="16383" man="1"/>
    <brk id="217" min="0" max="16383" man="1"/>
    <brk id="289" min="0" max="16383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2026-10-06T10:35:51Z</dcterms:created>
  <dcterms:modified xmlns:dcterms="http://purl.org/dc/terms/" xmlns:xsi="http://www.w3.org/2001/XMLSchema-instance" xsi:type="dcterms:W3CDTF">2026-10-06T10:35:59Z</dcterms:modified>
</cp:coreProperties>
</file>